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7" rupBuild="9303" codeName="{8C4F1C90-05EB-6A55-5F09-09C24B55AC0B}"/>
  <x:workbookPr codeName="ThisWorkbook"/>
  <x:bookViews>
    <x:workbookView xWindow="69060" yWindow="-7395" windowWidth="20730" windowHeight="11760" tabRatio="500"/>
  </x:bookViews>
  <x:sheets>
    <x:sheet name="Legal Obligation Register" sheetId="1" r:id="rId1"/>
    <x:sheet name="Tools" sheetId="2" r:id="rId2"/>
    <x:sheet name="Standing Data" sheetId="3" r:id="rId3"/>
  </x:sheets>
  <x:functionGroups builtInGroupCount="17"/>
  <x:externalReferences>
    <x:externalReference r:id="rId4"/>
  </x:externalReferences>
  <x:definedNames>
    <x:definedName name="_xlnm._FilterDatabase" localSheetId="0" hidden="1">'Legal Obligation Register'!$A$11:$W$11</x:definedName>
    <x:definedName name="_xlnm._FilterDatabase" localSheetId="1" hidden="1">Tools!$A$5:$F$151</x:definedName>
    <x:definedName name="TopLeft" localSheetId="2">'[1]Legal Obligation Register'!#REF!</x:definedName>
    <x:definedName name="TopLeft">'Legal Obligation Register'!$A$8</x:definedName>
  </x:definedNames>
  <x:calcPr calcId="145621"/>
</x:workbook>
</file>

<file path=xl/calcChain.xml><?xml version="1.0" encoding="utf-8"?>
<calcChain xmlns="http://schemas.openxmlformats.org/spreadsheetml/2006/main">
  <c r="D2" i="2" l="1"/>
  <c r="B2" i="2"/>
  <c r="R6" i="1" l="1"/>
</calcChain>
</file>

<file path=xl/sharedStrings.xml><?xml version="1.0" encoding="utf-8"?>
<sst xmlns="http://schemas.openxmlformats.org/spreadsheetml/2006/main" count="52" uniqueCount="47">
  <si>
    <t>Legal Obligations</t>
  </si>
  <si>
    <t>Links</t>
  </si>
  <si>
    <t>Review Activity</t>
  </si>
  <si>
    <t>URN</t>
  </si>
  <si>
    <t>Type</t>
  </si>
  <si>
    <t>Title</t>
  </si>
  <si>
    <t>Practical Guidance</t>
  </si>
  <si>
    <t>Remediation</t>
  </si>
  <si>
    <t>Consequence</t>
  </si>
  <si>
    <t>Compliance Source</t>
  </si>
  <si>
    <t>Date Reviewed</t>
  </si>
  <si>
    <t>Risk Impact</t>
  </si>
  <si>
    <t>Risk Likelihood</t>
  </si>
  <si>
    <t>Control Action</t>
  </si>
  <si>
    <t>Tools</t>
  </si>
  <si>
    <t>Tool Type</t>
  </si>
  <si>
    <t>Tool Title</t>
  </si>
  <si>
    <t>Tool</t>
  </si>
  <si>
    <t>Description</t>
  </si>
  <si>
    <t>Jurisdiction</t>
  </si>
  <si>
    <t>1 - Very Low</t>
  </si>
  <si>
    <t>2 - Low</t>
  </si>
  <si>
    <t>3 - Moderate</t>
  </si>
  <si>
    <t>4 - High</t>
  </si>
  <si>
    <t>5 - Very High</t>
  </si>
  <si>
    <t>Risk</t>
  </si>
  <si>
    <t>N/A - this obligation is not relevant</t>
  </si>
  <si>
    <t>No - the organisation is not compliant with this obligation</t>
  </si>
  <si>
    <t>Yes - the organisation is compliant with this obligation</t>
  </si>
  <si>
    <t>Attestations</t>
  </si>
  <si>
    <t>Obligation</t>
  </si>
  <si>
    <t>ACT</t>
  </si>
  <si>
    <t>COMMONWEALTH</t>
  </si>
  <si>
    <t>NSW</t>
  </si>
  <si>
    <t>NT</t>
  </si>
  <si>
    <t>QLD</t>
  </si>
  <si>
    <t>SA</t>
  </si>
  <si>
    <t>TAS</t>
  </si>
  <si>
    <t>WA</t>
  </si>
  <si>
    <t>VIC</t>
  </si>
  <si>
    <t>Sub Obligation</t>
  </si>
  <si>
    <t>Responsibility for Ensuring Compliance</t>
  </si>
  <si>
    <t>Compliance Status</t>
  </si>
  <si>
    <t>Jurisdiction:</t>
  </si>
  <si>
    <t xml:space="preserve">    Register Owner:  </t>
  </si>
  <si>
    <t>Ref</t>
  </si>
  <si>
    <t>All</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</si>
</sst>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theme="1"/>
      <name val="Calibri"/>
      <family val="2"/>
      <scheme val="minor"/>
    </font>
    <font>
      <b/>
      <sz val="11"/>
      <name val="Calibri"/>
      <family val="2"/>
      <scheme val="minor"/>
    </font>
    <font>
      <b/>
      <u/>
      <sz val="11"/>
      <color rgb="FF0066FF"/>
      <name val="Calibri"/>
      <family val="2"/>
      <scheme val="minor"/>
    </font>
    <font>
      <u/>
      <sz val="12"/>
      <color rgb="FF0066FF"/>
      <name val="Calibri"/>
      <family val="2"/>
      <scheme val="minor"/>
    </font>
    <font>
      <u/>
      <sz val="12"/>
      <color theme="4" tint="-0.249977111117893"/>
      <name val="Calibri"/>
      <family val="2"/>
      <scheme val="minor"/>
    </font>
    <font>
      <u/>
      <sz val="12"/>
      <color theme="10"/>
      <name val="Calibri"/>
      <family val="2"/>
      <scheme val="minor"/>
    </font>
    <font>
      <b/>
      <sz val="12"/>
      <color theme="0"/>
      <name val="Calibri"/>
      <family val="2"/>
      <scheme val="minor"/>
    </font>
    <font>
      <sz val="12"/>
      <color theme="0"/>
      <name val="Calibri"/>
      <family val="2"/>
      <scheme val="minor"/>
    </font>
  </fonts>
  <fills count="8">
    <fill>
      <patternFill patternType="none"/>
    </fill>
    <fill>
      <patternFill patternType="gray125"/>
    </fill>
    <fill>
      <patternFill patternType="solid">
        <fgColor rgb="FFFFFF00"/>
        <bgColor indexed="64"/>
      </patternFill>
    </fill>
    <fill>
      <patternFill patternType="solid">
        <fgColor rgb="FF00B0F0"/>
        <bgColor indexed="64"/>
      </patternFill>
    </fill>
    <fill>
      <patternFill patternType="solid">
        <fgColor rgb="FFFF0000"/>
        <bgColor indexed="64"/>
      </patternFill>
    </fill>
    <fill>
      <patternFill patternType="solid">
        <fgColor rgb="FFC00000"/>
        <bgColor indexed="64"/>
      </patternFill>
    </fill>
    <fill>
      <patternFill patternType="solid">
        <fgColor theme="4" tint="-0.24994659260841701"/>
        <bgColor indexed="64"/>
      </patternFill>
    </fill>
    <fill>
      <patternFill patternType="solid">
        <fgColor theme="0" tint="-0.24994659260841701"/>
        <bgColor indexed="64"/>
      </patternFill>
    </fill>
  </fills>
  <borders count="7">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s>
  <cellStyleXfs count="3">
    <xf numFmtId="0" fontId="0" fillId="0" borderId="0"/>
    <xf numFmtId="0" fontId="9" fillId="0" borderId="0" applyNumberFormat="0" applyFill="0" applyBorder="0" applyAlignment="0" applyProtection="0"/>
    <xf numFmtId="0" fontId="3" fillId="0" borderId="0"/>
  </cellStyleXfs>
  <cellXfs count="47">
    <xf numFmtId="0" fontId="0" fillId="0" borderId="0" xfId="0"/>
    <xf numFmtId="0" fontId="0" fillId="0" borderId="0" xfId="0" applyAlignment="1">
      <alignment wrapText="1"/>
    </xf>
    <xf numFmtId="0" fontId="4" fillId="0" borderId="1" xfId="0" applyFont="1" applyBorder="1" applyAlignment="1">
      <alignment horizontal="center" wrapText="1"/>
    </xf>
    <xf numFmtId="0" fontId="0" fillId="0" borderId="0" xfId="0" applyAlignment="1">
      <alignment horizontal="center" wrapText="1"/>
    </xf>
    <xf numFmtId="0" fontId="0" fillId="0" borderId="0" xfId="0" applyAlignment="1">
      <alignment horizontal="center"/>
    </xf>
    <xf numFmtId="0" fontId="5" fillId="0" borderId="1" xfId="0" applyFont="1" applyBorder="1" applyAlignment="1">
      <alignment horizontal="center" wrapText="1"/>
    </xf>
    <xf numFmtId="0" fontId="7" fillId="0" borderId="0" xfId="0" applyFont="1"/>
    <xf numFmtId="0" fontId="7" fillId="0" borderId="0" xfId="0" applyFont="1" applyAlignment="1">
      <alignment horizontal="center" wrapText="1"/>
    </xf>
    <xf numFmtId="0" fontId="7" fillId="0" borderId="0" xfId="0" applyFont="1" applyAlignment="1">
      <alignment wrapText="1"/>
    </xf>
    <xf numFmtId="0" fontId="8" fillId="0" borderId="0" xfId="0" applyFont="1"/>
    <xf numFmtId="0" fontId="0" fillId="0" borderId="0" xfId="0" applyAlignment="1">
      <alignment vertical="top" wrapText="1"/>
    </xf>
    <xf numFmtId="0" fontId="9" fillId="0" borderId="0" xfId="1" applyAlignment="1">
      <alignment wrapText="1"/>
    </xf>
    <xf numFmtId="0" fontId="9" fillId="0" borderId="0" xfId="1"/>
    <xf numFmtId="0" fontId="3" fillId="0" borderId="0" xfId="2"/>
    <xf numFmtId="0" fontId="4" fillId="2" borderId="1" xfId="0" applyFont="1" applyFill="1" applyBorder="1" applyAlignment="1">
      <alignment horizontal="center"/>
    </xf>
    <xf numFmtId="0" fontId="6" fillId="3" borderId="2" xfId="0" applyFont="1" applyFill="1" applyBorder="1" applyAlignment="1">
      <alignment horizontal="center"/>
    </xf>
    <xf numFmtId="0" fontId="6" fillId="3" borderId="3" xfId="0" applyFont="1" applyFill="1" applyBorder="1" applyAlignment="1">
      <alignment horizontal="center"/>
    </xf>
    <xf numFmtId="0" fontId="6" fillId="3" borderId="4" xfId="0" applyFont="1" applyFill="1" applyBorder="1" applyAlignment="1">
      <alignment horizontal="center"/>
    </xf>
    <xf numFmtId="0" fontId="4" fillId="4" borderId="1" xfId="0" applyFont="1" applyFill="1" applyBorder="1" applyAlignment="1">
      <alignment horizontal="center"/>
    </xf>
    <xf numFmtId="0" fontId="2" fillId="0" borderId="0" xfId="2" applyFont="1"/>
    <xf numFmtId="0" fontId="4" fillId="2" borderId="1" xfId="0" applyFont="1" applyFill="1" applyBorder="1" applyAlignment="1">
      <alignment horizontal="center"/>
    </xf>
    <xf numFmtId="0" fontId="6" fillId="3" borderId="2" xfId="0" applyFont="1" applyFill="1" applyBorder="1" applyAlignment="1">
      <alignment horizontal="center"/>
    </xf>
    <xf numFmtId="0" fontId="6" fillId="3" borderId="3" xfId="0" applyFont="1" applyFill="1" applyBorder="1" applyAlignment="1">
      <alignment horizontal="center"/>
    </xf>
    <xf numFmtId="0" fontId="6" fillId="3" borderId="4" xfId="0" applyFont="1" applyFill="1" applyBorder="1" applyAlignment="1">
      <alignment horizontal="center"/>
    </xf>
    <xf numFmtId="0" fontId="4" fillId="4" borderId="1" xfId="0" applyFont="1" applyFill="1" applyBorder="1" applyAlignment="1">
      <alignment horizontal="center"/>
    </xf>
    <xf numFmtId="0" fontId="4" fillId="2" borderId="1" xfId="0" applyFont="1" applyFill="1" applyBorder="1" applyAlignment="1">
      <alignment horizontal="center"/>
    </xf>
    <xf numFmtId="0" fontId="4" fillId="2" borderId="1" xfId="0" applyFont="1" applyFill="1" applyBorder="1" applyAlignment="1"/>
    <xf numFmtId="0" fontId="0" fillId="0" borderId="0" xfId="0" applyAlignment="1"/>
    <xf numFmtId="0" fontId="10" fillId="6" borderId="1" xfId="0" applyFont="1" applyFill="1" applyBorder="1" applyAlignment="1">
      <alignment horizontal="center" wrapText="1"/>
    </xf>
    <xf numFmtId="0" fontId="4" fillId="7" borderId="1" xfId="0" applyFont="1" applyFill="1" applyBorder="1" applyAlignment="1">
      <alignment horizontal="center" wrapText="1"/>
    </xf>
    <xf numFmtId="0" fontId="10" fillId="5" borderId="1" xfId="1" applyFont="1" applyFill="1" applyBorder="1" applyAlignment="1">
      <alignment horizontal="center"/>
    </xf>
    <xf numFmtId="2" fontId="0" fillId="0" borderId="0" xfId="0" applyNumberFormat="1" applyAlignment="1">
      <alignment horizontal="center"/>
    </xf>
    <xf numFmtId="0" fontId="4" fillId="7" borderId="1" xfId="0" applyFont="1" applyFill="1" applyBorder="1" applyAlignment="1">
      <alignment wrapText="1"/>
    </xf>
    <xf numFmtId="0" fontId="5" fillId="7" borderId="1" xfId="0" applyFont="1" applyFill="1" applyBorder="1" applyAlignment="1">
      <alignment wrapText="1"/>
    </xf>
    <xf numFmtId="0" fontId="11" fillId="5" borderId="0" xfId="1" applyFont="1" applyFill="1" applyAlignment="1">
      <alignment horizontal="center"/>
    </xf>
    <xf numFmtId="0" fontId="1" fillId="0" borderId="0" xfId="2" applyFont="1"/>
    <xf numFmtId="0" fontId="6" fillId="3" borderId="2" xfId="0" applyFont="1" applyFill="1" applyBorder="1" applyAlignment="1">
      <alignment horizontal="center"/>
    </xf>
    <xf numFmtId="0" fontId="6" fillId="3" borderId="3" xfId="0" applyFont="1" applyFill="1" applyBorder="1" applyAlignment="1">
      <alignment horizontal="center"/>
    </xf>
    <xf numFmtId="0" fontId="6" fillId="3" borderId="4" xfId="0" applyFont="1" applyFill="1" applyBorder="1" applyAlignment="1">
      <alignment horizontal="center"/>
    </xf>
    <xf numFmtId="0" fontId="4" fillId="4" borderId="1" xfId="0" applyFont="1" applyFill="1" applyBorder="1" applyAlignment="1">
      <alignment horizontal="center"/>
    </xf>
    <xf numFmtId="0" fontId="4" fillId="2" borderId="2" xfId="0" applyFont="1" applyFill="1" applyBorder="1" applyAlignment="1">
      <alignment horizontal="center"/>
    </xf>
    <xf numFmtId="0" fontId="4" fillId="2" borderId="3" xfId="0" applyFont="1" applyFill="1" applyBorder="1" applyAlignment="1">
      <alignment horizontal="center"/>
    </xf>
    <xf numFmtId="0" fontId="4" fillId="2" borderId="4" xfId="0" applyFont="1" applyFill="1" applyBorder="1" applyAlignment="1">
      <alignment horizontal="center"/>
    </xf>
    <xf numFmtId="0" fontId="10" fillId="6" borderId="2" xfId="0" applyFont="1" applyFill="1" applyBorder="1" applyAlignment="1">
      <alignment horizontal="left" wrapText="1"/>
    </xf>
    <xf numFmtId="0" fontId="10" fillId="6" borderId="4" xfId="0" applyFont="1" applyFill="1" applyBorder="1" applyAlignment="1">
      <alignment horizontal="left" wrapText="1"/>
    </xf>
    <xf numFmtId="0" fontId="4" fillId="2" borderId="5" xfId="0" applyFont="1" applyFill="1" applyBorder="1" applyAlignment="1">
      <alignment horizontal="center"/>
    </xf>
    <xf numFmtId="0" fontId="4" fillId="2" borderId="6" xfId="0" applyFont="1" applyFill="1" applyBorder="1" applyAlignment="1">
      <alignment horizontal="center"/>
    </xf>
  </cellXfs>
  <cellStyles count="3">
    <cellStyle name="Hyperlink" xfId="1" builtinId="8"/>
    <cellStyle name="Normal" xfId="0" builtinId="0"/>
    <cellStyle name="Normal 2" xfId="2"/>
  </cellStyles>
  <dxfs count="12">
    <dxf>
      <font>
        <color rgb="FF00B050"/>
      </font>
      <fill>
        <patternFill>
          <bgColor rgb="FF92D050"/>
        </patternFill>
      </fill>
    </dxf>
    <dxf>
      <font>
        <color theme="7" tint="-0.24994659260841701"/>
      </font>
      <fill>
        <patternFill>
          <bgColor theme="7" tint="0.59996337778862885"/>
        </patternFill>
      </fill>
    </dxf>
    <dxf>
      <font>
        <color rgb="FFC00000"/>
      </font>
      <fill>
        <patternFill>
          <bgColor rgb="FFFE877A"/>
        </patternFill>
      </fill>
    </dxf>
    <dxf>
      <font>
        <color rgb="FF00B050"/>
      </font>
      <fill>
        <patternFill>
          <bgColor rgb="FF92D050"/>
        </patternFill>
      </fill>
    </dxf>
    <dxf>
      <font>
        <color theme="7" tint="-0.24994659260841701"/>
      </font>
      <fill>
        <patternFill>
          <bgColor theme="7" tint="0.59996337778862885"/>
        </patternFill>
      </fill>
    </dxf>
    <dxf>
      <font>
        <color rgb="FFC00000"/>
      </font>
      <fill>
        <patternFill>
          <bgColor rgb="FFFE877A"/>
        </patternFill>
      </fill>
    </dxf>
    <dxf>
      <font>
        <color rgb="FF00B050"/>
      </font>
      <fill>
        <patternFill>
          <bgColor rgb="FF92D050"/>
        </patternFill>
      </fill>
    </dxf>
    <dxf>
      <font>
        <color theme="7" tint="-0.24994659260841701"/>
      </font>
      <fill>
        <patternFill>
          <bgColor theme="7" tint="0.59996337778862885"/>
        </patternFill>
      </fill>
    </dxf>
    <dxf>
      <font>
        <color rgb="FFC00000"/>
      </font>
      <fill>
        <patternFill>
          <bgColor rgb="FFFE877A"/>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s>
  <tableStyles count="0" defaultTableStyle="TableStyleMedium9" defaultPivotStyle="PivotStyleMedium7"/>
  <colors>
    <mruColors>
      <color rgb="FFFE877A"/>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2676525</xdr:colOff>
      <xdr:row>4</xdr:row>
      <xdr:rowOff>161925</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4276725" cy="1076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nvironmen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egal Obligation Register"/>
      <sheetName val="Standing Data"/>
      <sheetName val="Tools"/>
    </sheetNames>
    <sheetDataSet>
      <sheetData sheetId="0"/>
      <sheetData sheetId="1" refreshError="1"/>
      <sheetData sheetId="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x:worksheet xmlns:x14="http://schemas.microsoft.com/office/spreadsheetml/2009/9/main" xmlns:xm="http://schemas.microsoft.com/office/excel/2006/main"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filterMode="1"/>
  <x:dimension ref="A2:AD2509"/>
  <x:sheetViews>
    <x:sheetView showGridLines="0" tabSelected="1" workbookViewId="0">
      <x:pane ySplit="11" topLeftCell="A12" activePane="bottomLeft" state="frozen"/>
      <x:selection pane="bottomLeft" activeCell="E12" sqref="E12"/>
    </x:sheetView>
  </x:sheetViews>
  <x:sheetFormatPr defaultColWidth="11" defaultRowHeight="18" customHeight="1" outlineLevelCol="1" x14ac:dyDescent="0.25"/>
  <x:cols>
    <x:col min="1" max="1" width="9.875" style="4" hidden="1" customWidth="1"/>
    <x:col min="2" max="2" width="43.25" style="4" hidden="1" customWidth="1"/>
    <x:col min="3" max="3" width="16.875" style="1" hidden="1" customWidth="1"/>
    <x:col min="4" max="4" width="21" style="1" hidden="1" customWidth="1"/>
    <x:col min="5" max="5" width="21" style="1" customWidth="1"/>
    <x:col min="6" max="6" width="41.875" style="1" customWidth="1"/>
    <x:col min="7" max="7" width="44.875" style="1" customWidth="1"/>
    <x:col min="8" max="8" width="9.875" style="1" customWidth="1"/>
    <x:col min="9" max="9" width="19.75" style="10" hidden="1" customWidth="1"/>
    <x:col min="10" max="10" width="15.625" style="8" hidden="1" customWidth="1"/>
    <x:col min="11" max="11" width="16.875" style="7" hidden="1" customWidth="1"/>
    <x:col min="12" max="12" width="16.25" style="8" hidden="1" customWidth="1"/>
    <x:col min="13" max="13" width="16.875" style="7" hidden="1" customWidth="1"/>
    <x:col min="14" max="14" width="16.875" style="8" hidden="1" customWidth="1"/>
    <x:col min="15" max="15" width="16.875" style="7" hidden="1" customWidth="1"/>
    <x:col min="16" max="16" width="16.875" style="8" hidden="1" customWidth="1"/>
    <x:col min="17" max="17" width="21.875" style="7" hidden="1" customWidth="1"/>
    <x:col min="18" max="18" width="26.625" style="1" customWidth="1"/>
    <x:col min="19" max="19" width="21.375" style="1" customWidth="1"/>
    <x:col min="20" max="20" width="16.875" style="1" customWidth="1" outlineLevel="1"/>
    <x:col min="21" max="23" width="16.875" customWidth="1" outlineLevel="1"/>
    <x:col min="24" max="24" width="5.375" customWidth="1"/>
  </x:cols>
  <x:sheetData>
    <x:row r="2" spans="1:30" ht="18" customHeight="1" x14ac:dyDescent="0.25">
      <x:c r="G2" s="28" t="str">
        <x:v>WHS</x:v>
      </x:c>
      <x:c r="R2" s="43" t="s">
        <x:v>44</x:v>
      </x:c>
      <x:c r="S2" s="44"/>
    </x:row>
    <x:row r="4" spans="1:30" ht="18" customHeight="1" x14ac:dyDescent="0.25">
      <x:c r="R4" s="25" t="s">
        <x:v>43</x:v>
      </x:c>
      <x:c r="S4" s="25"/>
    </x:row>
    <x:row r="5" spans="1:30" ht="18" customHeight="1" x14ac:dyDescent="0.25">
      <x:c r="R5" s="27"/>
      <x:c r="S5" s="27"/>
    </x:row>
    <x:row r="6" spans="1:30" ht="18" customHeight="1" x14ac:dyDescent="0.25">
      <x:c r="R6" s="30" t="str">
        <x:f>HYPERLINK("#R6","Tools")</x:f>
        <x:v>Tools</x:v>
      </x:c>
      <x:c r="S6" s="27"/>
    </x:row>
    <x:row r="7" spans="1:30" ht="18" customHeight="1" x14ac:dyDescent="0.25">
      <x:c r="R7" s="27"/>
      <x:c r="S7" s="27"/>
    </x:row>
    <x:row r="8" spans="1:30" ht="15.75" hidden="1" x14ac:dyDescent="0.25">
      <x:c r="A8" s="40" t="s">
        <x:v>0</x:v>
      </x:c>
      <x:c r="B8" s="41"/>
      <x:c r="C8" s="41"/>
      <x:c r="D8" s="41"/>
      <x:c r="E8" s="41"/>
      <x:c r="F8" s="41"/>
      <x:c r="G8" s="41"/>
      <x:c r="H8" s="42"/>
      <x:c r="I8" s="26"/>
      <x:c r="J8" s="36" t="s">
        <x:v>1</x:v>
      </x:c>
      <x:c r="K8" s="37"/>
      <x:c r="L8" s="37"/>
      <x:c r="M8" s="37"/>
      <x:c r="N8" s="37"/>
      <x:c r="O8" s="37"/>
      <x:c r="P8" s="37"/>
      <x:c r="Q8" s="38"/>
      <x:c r="R8" s="39" t="s">
        <x:v>2</x:v>
      </x:c>
      <x:c r="S8" s="39"/>
      <x:c r="T8" s="39"/>
      <x:c r="U8" s="39"/>
      <x:c r="V8" s="39"/>
      <x:c r="W8" s="39"/>
    </x:row>
    <x:row r="9" spans="1:30" ht="15.75" hidden="1" x14ac:dyDescent="0.25">
      <x:c r="A9" s="20"/>
      <x:c r="B9" s="25"/>
      <x:c r="C9" s="20"/>
      <x:c r="D9" s="20"/>
      <x:c r="E9" s="25"/>
      <x:c r="F9" s="25"/>
      <x:c r="G9" s="25"/>
      <x:c r="H9" s="20"/>
      <x:c r="I9" s="20"/>
      <x:c r="J9" s="21"/>
      <x:c r="K9" s="22"/>
      <x:c r="L9" s="22"/>
      <x:c r="M9" s="22"/>
      <x:c r="N9" s="22"/>
      <x:c r="O9" s="22"/>
      <x:c r="P9" s="22"/>
      <x:c r="Q9" s="23"/>
      <x:c r="R9" s="24"/>
      <x:c r="S9" s="24"/>
      <x:c r="T9" s="24"/>
      <x:c r="U9" s="24"/>
      <x:c r="V9" s="24"/>
      <x:c r="W9" s="24"/>
    </x:row>
    <x:row r="10" spans="1:30" ht="15.75" hidden="1" x14ac:dyDescent="0.25">
      <x:c r="A10" s="14"/>
      <x:c r="B10" s="25"/>
      <x:c r="C10" s="14"/>
      <x:c r="D10" s="14"/>
      <x:c r="E10" s="25"/>
      <x:c r="F10" s="25"/>
      <x:c r="G10" s="25"/>
      <x:c r="H10" s="14"/>
      <x:c r="I10" s="14"/>
      <x:c r="J10" s="15"/>
      <x:c r="K10" s="16"/>
      <x:c r="L10" s="16"/>
      <x:c r="M10" s="16"/>
      <x:c r="N10" s="16"/>
      <x:c r="O10" s="16"/>
      <x:c r="P10" s="16"/>
      <x:c r="Q10" s="17"/>
      <x:c r="R10" s="18"/>
      <x:c r="S10" s="18"/>
      <x:c r="T10" s="18"/>
      <x:c r="U10" s="18"/>
      <x:c r="V10" s="18"/>
      <x:c r="W10" s="18"/>
    </x:row>
    <x:row r="11" spans="1:30" s="4" customFormat="1" ht="30" customHeight="1" x14ac:dyDescent="0.25">
      <x:c r="A11" s="29" t="s">
        <x:v>3</x:v>
      </x:c>
      <x:c r="B11" s="29" t="s">
        <x:v>19</x:v>
      </x:c>
      <x:c r="C11" s="2" t="s">
        <x:v>4</x:v>
      </x:c>
      <x:c r="D11" s="2" t="s">
        <x:v>5</x:v>
      </x:c>
      <x:c r="E11" s="29" t="s">
        <x:v>45</x:v>
      </x:c>
      <x:c r="F11" s="29" t="s">
        <x:v>30</x:v>
      </x:c>
      <x:c r="G11" s="29" t="s">
        <x:v>40</x:v>
      </x:c>
      <x:c r="H11" s="29" t="s">
        <x:v>14</x:v>
      </x:c>
      <x:c r="I11" s="5" t="s">
        <x:v>18</x:v>
      </x:c>
      <x:c r="J11" s="5"/>
      <x:c r="K11" s="5" t="s">
        <x:v>6</x:v>
      </x:c>
      <x:c r="L11" s="5"/>
      <x:c r="M11" s="5" t="s">
        <x:v>7</x:v>
      </x:c>
      <x:c r="N11" s="5"/>
      <x:c r="O11" s="5" t="s">
        <x:v>8</x:v>
      </x:c>
      <x:c r="P11" s="5"/>
      <x:c r="Q11" s="5" t="s">
        <x:v>9</x:v>
      </x:c>
      <x:c r="R11" s="29" t="s">
        <x:v>41</x:v>
      </x:c>
      <x:c r="S11" s="29" t="s">
        <x:v>42</x:v>
      </x:c>
      <x:c r="T11" s="29" t="s">
        <x:v>10</x:v>
      </x:c>
      <x:c r="U11" s="29" t="s">
        <x:v>11</x:v>
      </x:c>
      <x:c r="V11" s="29" t="s">
        <x:v>12</x:v>
      </x:c>
      <x:c r="W11" s="29" t="s">
        <x:v>13</x:v>
      </x:c>
      <x:c r="X11" s="3"/>
      <x:c r="Y11" s="3"/>
      <x:c r="Z11" s="3"/>
      <x:c r="AA11" s="3"/>
      <x:c r="AB11" s="3"/>
      <x:c r="AC11" s="3"/>
      <x:c r="AD11" s="3"/>
    </x:row>
    <x:row r="12" spans="1:30" ht="15.75" x14ac:dyDescent="0.25">
      <x:c r="A12" t="n">
        <x:v>14178</x:v>
      </x:c>
      <x:c r="B12" t="str">
        <x:v>NSW,NT,QLD,SA,TAS,ACT,COMMONWEALTH</x:v>
      </x:c>
      <x:c r="C12" t="str">
        <x:v>Obligation</x:v>
      </x:c>
      <x:c r="D12" t="str">
        <x:v>Overview</x:v>
      </x:c>
      <x:c r="E12" s="31" t="n">
        <x:v>1.00</x:v>
      </x:c>
      <x:c r="F12" s="8" t="n">
        <x:f>=HYPERLINK("#Obligation()","Overview")</x:f>
      </x:c>
      <x:c r="G12" s="8"/>
      <x:c r="H12" s="6" t="n">
        <x:f>=HYPERLINK("#H12","Tools")</x:f>
      </x:c>
      <x:c r="I12" s="27" t="str">
        <x:v>&lt;b&gt;&lt;p&gt;Overview&lt;/p&gt;What are the harmonised work health and safety laws?&lt;/b&gt;</x:v>
      </x:c>
      <x:c r="J12" s="6" t="str">
        <x:v>&lt;p&gt;Work health and safety is an essential component of every organisation&amp;rsquo;s risk management framework. The aim of work health and safety legislation is to protect the health and safety of people in the workplace so far as is reasonably practicable by setting a minimum standard of care, creating duties, facilitating cooperation between stakeholders and establishing a regulator to apply and enforce the law.&lt;/p&gt;&lt;p&gt;&lt;strong&gt;Harmonisation of work health and safety laws&lt;/strong&gt;&lt;/p&gt;&lt;p&gt;In 2008, the Council of Australian Governments committed to harmonise work health and safety laws across Australia to ensure nationally consistent standards of health and safety protection at work, and to assist organisations operating in more than one jurisdiction. Following extensive consultation, Safe Work Australia finalised a model Work Health and Safety (WHS) Act and model WHS Regulations in 2011. In addition to the model Act and Regulations, the harmonised legal framework for work health and safety is supported by:&lt;/p&gt;&lt;ul&gt;&lt;li&gt;codes of practice&lt;/li&gt;&lt;li&gt;guidance material&lt;/li&gt;&lt;li&gt;Australian standards.&lt;/li&gt;&lt;/ul&gt;&lt;p&gt;The Commonwealth and all states and territories, except Victoria and Western Australia, have enacted laws based on the model Act and Regulations, but with some variations to the models in several jurisdictions. In addition, the harmonised laws exist alongside various Commonwealth, state and territory Acts and regulations that relate to work health and safety in specific areas such as aviation, oil and gas, mines, electrical safety and transport. It can be very complex to establish which law applies at any time, and the applicable law usually depends on the activity being performed. This module only covers the legal obligations contained in the primary WHS Acts and Regulations in each jurisdiction.&lt;/p&gt;&lt;p&gt;Work health and safety is an essential component of every organisation&amp;rsquo;s risk management framework. The aim of work health and safety legislation is to protect the health and safety of people in the workplace so far as is reasonably practicable by setting a minimum standard of care, creating duties, facilitating cooperation between stakeholders and establishing a regulator to apply and enforce the law.&lt;/p&gt;&lt;p&gt;&lt;strong&gt;Harmonisation of work health and safety laws&lt;/strong&gt;&lt;/p&gt;&lt;p&gt;In 2008, the Council of Australian Governments committed to harmonise work health and safety laws across Australia to ensure nationally consistent standards of health and safety protection at work, and to assist organisations operating in more than one jurisdiction. Following extensive consultation, Safe Work Australia finalised a model Work Health and Safety (WHS) Act and model WHS Regulations in 2011. In addition to the model Act and Regulations, the harmonised legal framework for work health and safety is supported by:&lt;/p&gt;&lt;ul&gt;&lt;li&gt;codes of practice&lt;/li&gt;&lt;li&gt;guidance material&lt;/li&gt;&lt;li&gt;Australian standards.&lt;/li&gt;&lt;/ul&gt;&lt;p&gt;The Commonwealth and all states and territories, except Victoria and Western Australia, have enacted laws based on the model Act and Regulations, but with some variations to the models in several jurisdictions. In addition, the harmonised laws exist alongside various Commonwealth, state and territory Acts and regulations that relate to work health and safety in specific areas such as aviation, oil and gas, mines, electrical safety and transport. It can be very complex to establish which law applies at any time, and the applicable law usually depends on the activity being performed. This module only covers the legal obligations contained in the primary WHS Acts and Regulations in each jurisdiction.&lt;/p&gt;&lt;p&gt;&lt;strong&gt;Compliance across jurisdictions&lt;/strong&gt;&lt;/p&gt;&lt;p&gt;An organisation must comply with the local work health and safety laws of the jurisdiction where it carries out work. For example, if a company based in New South Wales undertakes a project or opens a branch in Victoria, the company&amp;rsquo;s work activities in Victoria will be subject to Victorian work health and safety legislation. Similarly, an organisation based in Victoria or Western Australia must consider if its operations mean that it must comply with the laws of a &amp;lsquo;harmonised&amp;rsquo; jurisdiction. Obligations can arise from a number of activities, including sending workers on a business trip to another jurisdiction or supplying goods into a jurisdiction.&lt;/p&gt;&lt;p&gt;&lt;strong&gt;Key elements of the harmonised legislation&lt;/strong&gt;&lt;/p&gt;&lt;p&gt;The harmonised work health and safety legislation imposes duties on a &amp;lsquo;person conducting a business or undertaking&amp;rsquo; (PCBU), which includes all businesses, partnerships, not-for-profit organisations and sole traders, but excludes volunteer associations (if none of its workers are paid) and elected members of local government. The laws require such organisations to eliminate or minimise risks and hazards to workers and third parties arising from their business or undertaking, wherever that may occur, according to a hierarchy of control measures. This module generally uses the term &amp;lsquo;organisations&amp;rsquo; when referring to PCBUs.&lt;/p&gt;&lt;p&gt;In addition to creating obligations for organisations, the legislation also sets out the duty for individuals who are senior decision-makers within an organisation, such as company directors, to exercise due diligence on health and safety matters. The harmonised legislation refers to these individuals as &amp;lsquo;officers&amp;rsquo;.&lt;/p&gt;&lt;p&gt;The harmonised work health and safety legislation also:&lt;/p&gt;&lt;ul&gt;&lt;li&gt;sets out duties for workers and other people at&amp;nbsp;&amp;nbsp;a workplace (e.g. visitors and customers)&lt;/li&gt;&lt;li&gt;creates obligations relating to equipment and&amp;nbsp;&amp;nbsp;other items used at work, how the work is carried out, and how work is managed&lt;/li&gt;&lt;li&gt;requires incident notification in certain&amp;nbsp;&amp;nbsp;circumstances&lt;/li&gt;&lt;li&gt;promotes health and safety through training and&amp;nbsp;&amp;nbsp;instruction&lt;/li&gt;&lt;li&gt;provides for fair representation of workers&lt;/li&gt;&lt;li&gt;requires consultation and cooperation in&amp;nbsp;&amp;nbsp;ensuring health and safety and resolving issues&lt;/li&gt;&lt;li&gt;encourages continuous improvement in health and&amp;nbsp;&amp;nbsp;safety standards through the collaboration of workers, unions and employers&lt;/li&gt;&lt;li&gt;details the regulator&amp;rsquo;s role and powers&lt;/li&gt;&lt;li&gt;includes criminal and civil penalties and other&amp;nbsp;&amp;nbsp;enforcement mechanisms for noncompliance.&lt;/li&gt;&lt;/ul&gt;&lt;p&gt;When citing maximum penalties for offences under the harmonised work health and safety legislation, this module draws on the penalties set out in the model WHS Act and Regulations. While the harmonised jurisdictions have generally adopted the model penalties without change, some enacted penalty amounts diverge from the model, particularly in Queensland. Module users should check penalty amounts in the applicable jurisdiction by consulting that jurisdiction&amp;rsquo;s WHS Act and Regulations.&lt;/p&gt;&lt;p&gt;This module provides links to model codes of practice and guidance material developed by Safe Work Australia. Module users should check with the regulator in the relevant jurisdiction to find out which codes of practice have been approved and have legal effect in that particular jurisdiction.&lt;/p&gt;&lt;p&gt;&lt;strong&gt;Regulators&lt;/strong&gt;&lt;/p&gt;&lt;p&gt;The Commonwealth and each state and territory has its own regulator to administer work health and safety legislation and provide guidance (including publishing codes of practice) on complying with the legislation. Under the harmonised legislation, regulators can appoint inspectors to assist in monitoring, enforcing and resolving work health and safety issues. Inspectors have the power to:&lt;/p&gt;&lt;ul&gt;&lt;li&gt;acquire relevant documents and information&lt;/li&gt;&lt;li&gt;enter a workplace&lt;/li&gt;&lt;li&gt;investigate suspected noncompliance&lt;/li&gt;&lt;li&gt;apply for search warrants&lt;/li&gt;&lt;li&gt;issue compliance notices&lt;/li&gt;&lt;li&gt;assist in the prosecution of work health and safety&amp;nbsp;&amp;nbsp;offences&lt;/li&gt;&lt;li&gt;examine witnesses in coronial inquests.&lt;/li&gt;&lt;/ul&gt;&lt;p&gt;Organisations can ensure that they comply with health and safety duties by implementing appropriate management systems, including risk management processes, allocating sufficient resources to their health and safety program, and enforcing their health and safety measures. Other factors that will contribute to a strong work health and safety culture within an organisation include a work health and safety policy endorsed by senior management, consultation between managers, supervisors and workers, and effective health and safety training.&lt;/p&gt;</x:v>
      </x:c>
      <x:c r="K12" s="6" t="n">
        <x:f>=HYPERLINK("#K12","Guidance Notes")</x:f>
      </x:c>
      <x:c r="L12" s="6" t="str">
        <x:v>&lt;p&gt;Put in place effective management systems to ensure compliance with health and safety laws, and ensure that everyone understands their work health and safety duties.&lt;/p&gt;</x:v>
      </x:c>
      <x:c r="M12" s="6" t="n">
        <x:f>=HYPERLINK("#M12","Remediation")</x:f>
      </x:c>
      <x:c r="N12" s="6" t="str">
        <x:v>&lt;p&gt;The harmonised work health and safety laws impose penalties on organisations, and penalties and imprisonment on officers (such as company directors), workers and others, who do not fulfil their compliance obligations. For serious offences involving reckless conduct which amount to a crime:&lt;/p&gt;&lt;ul&gt;&lt;li&gt;organisations may be liable for up to $3 million&lt;/li&gt;&lt;li&gt;individuals may be liable for up to $600,000 and/or a 5-year jail term (s 31).&lt;/li&gt;&lt;/ul&gt;&lt;p&gt;Other offences not involving recklessness can attract penalties of up to $1.5 million for organisations, $300,000 for officers and $150,000 for workers (ss 32&amp;ndash;33).&lt;/p&gt;&lt;p&gt;Convicted defendants may also be liable for the regulator&amp;rsquo;s compliance monitoring costs. Other remedies available under the harmonised laws are improvement notices, prohibition notices, adverse publicity orders, orders for restoration, work health and safety project orders, enforceable undertakings, injunctions and training orders.&lt;/p&gt;</x:v>
      </x:c>
      <x:c r="O12" s="6" t="n">
        <x:f>=HYPERLINK("#O12","Consequence")</x:f>
      </x:c>
      <x:c r="P12" s="6" t="str">
        <x:v>&lt;p&gt;&lt;a href="https://www.legislation.gov.au/Details/C2011A00137" target="_blank" &gt;Work Health and Safety Act 2011 (Cth)&lt;/a&gt;&lt;/p&gt;&lt;p&gt;&lt;a href="https://www.legislation.gov.au/Details/F2011L02664" target="_blank" &gt;Work Health and Safety Regulations 2011 (Cth)&lt;/a&gt;&lt;/p&gt;&lt;p&gt;&lt;a href="http://www.legislation.act.gov.au/a/2011-35/" target="_blank" &gt;Work Health and Safety Act 2011 (ACT)&lt;/a&gt;&lt;/p&gt;&lt;p&gt;&lt;a href="http://www.legislation.act.gov.au/sl/2011-36/default.asp" target="_blank" &gt;Work Health and Safety Regulation 2011 (ACT)&lt;/a&gt;&lt;/p&gt;&lt;p&gt;&lt;a href="http://www.legislation.nsw.gov.au/#/view/act/2011/10?autoquery=(Content%3D((%22work%20health%22)))%20AND%20((Type%3D%22act%22%20AND%20Repealed%3D%22N%22)%20OR%20(Type%3D%22subordleg%22%20AND%20Repealed%3D%22N%22))%20AND%20(%22Historical%20Document%22%3D%220%22)&amp;amp;dq=Document%20Types%3D%22%3Cspan%20class%3D%22dq%22%3EActs%3C%2Fspan%3E,%20%3Cspan%20class%3D%22dq%22%3ERegs%3C%2Fspan%3E%22,%20Exact%20Phrase%3D%22%3Cspan%20class%3D%22dq%22%3Ework%20health%3C%2Fspan%3E%22,%20Search%20In%3D%22%3Cspan%20class%3D%22dq%22%3EText%3C%2Fspan%3E%22&amp;amp;fullquery=(((%22work%20health%22)))&amp;amp;multititlesearch=&amp;amp;withintitle=" target="_blank" &gt;Work Health and Safety Act 2011 (NSW)&lt;/a&gt;&lt;/p&gt;&lt;p&gt;&lt;a href="http://www.legislation.nsw.gov.au/#/view/regulation/2011/674" target="_blank" &gt;Work Health and Safety Regulation 2011 (NSW)&lt;/a&gt;&lt;/p&gt;&lt;p&gt;&lt;a href="http://notes.nt.gov.au/dcm/legislat/legislat.nsf/d989974724db65b1482561cf0017cbd2/26a6b78c93bc726169257f8e001b499e?OpenDocument" target="_blank" &gt;Work Health and Safety (National Uniform Legislation) Act 2011 (NT)&lt;/a&gt;&lt;/p&gt;&lt;p&gt;&lt;a href="https://www.legislation.qld.gov.au/legisltn/current/w/workhsa11.pdf" target="_blank" &gt;Work Health and Safety Act 2011 (Qld)&lt;/a&gt;&lt;/p&gt;&lt;p&gt;&lt;a href="https://www.legislation.qld.gov.au/LEGISLTN/SLS/2011/11SL240.pdf" target="_blank" &gt;Work Health and Safety Regulation 2011 (Qld)&lt;/a&gt;&lt;/p&gt;&lt;p&gt;&lt;a href="https://www.legislation.sa.gov.au/lz/c/a/work%20health%20and%20safety%20act%202012.aspx" target="_blank" &gt;Work Health and Safety Act 2012 (SA)&lt;/a&gt;&lt;/p&gt;&lt;p&gt;&lt;a href="http://www.thelaw.tas.gov.au/tocview/index.w3p;cond=;doc_id=1%2B%2B2012%2BAT%40EN%2B20160505000000;histon=;pdfauthverid=;prompt=;rec=;rtfauthverid=;term=;webauthverid=" target="_blank" &gt;Work Health and Safety Act 2012 (Tas)&lt;/a&gt;&lt;/p&gt;</x:v>
      </x:c>
      <x:c r="Q12" s="6" t="n">
        <x:f>=HYPERLINK("#Q12","Source")</x:f>
      </x:c>
      <x:c r="R12"/>
      <x:c r="S12"/>
      <x:c r="T12"/>
    </x:row>
    <x:row r="13" spans="1:30" ht="15.75" x14ac:dyDescent="0.25">
      <x:c r="A13" t="n">
        <x:v>11062</x:v>
      </x:c>
      <x:c r="B13" t="str">
        <x:v>NSW,NT,QLD,SA,TAS,ACT,COMMONWEALTH</x:v>
      </x:c>
      <x:c r="C13" t="str">
        <x:v>Obligation</x:v>
      </x:c>
      <x:c r="D13" t="str">
        <x:v>Work Health and Safety Duties</x:v>
      </x:c>
      <x:c r="E13" s="31" t="n">
        <x:v>2.00</x:v>
      </x:c>
      <x:c r="F13" s="8" t="n">
        <x:f>=HYPERLINK("#Obligation()","Work Health and Safety Duties")</x:f>
      </x:c>
      <x:c r="G13" s="8"/>
      <x:c r="H13" s="6" t="n">
        <x:f>=HYPERLINK("#H13","Tools")</x:f>
      </x:c>
      <x:c r="I13" s="27" t="str">
        <x:v>&lt;b&gt;&lt;p&gt;Work Health and Safety Duties&lt;/p&gt;Does the organisation ensure, so far as is reasonably practicable, the health and safety of workers and others by eliminating or minimising risks that arise from its business or undertaking?&lt;/b&gt;</x:v>
      </x:c>
      <x:c r="J13" s="6" t="str">
        <x:v>&lt;p&gt;The harmonised Work Health and Safety (WHS) Acts place a primary duty of care on an organisation to ensure the health and safety of workers and others by eliminating, so far as is reasonably practicable, the risks that arise from its business or undertaking. Where the organisation is unable to eliminate risks, it must minimise them so far as is reasonably practicable.&lt;/p&gt;&lt;p&gt;Officers within an organisation (for example, company directors) must exercise due diligence to ensure that their organisation complies with its duties under the relevant WHS Act.&lt;/p&gt;&lt;p&gt;The legal duties for ensuring safe and healthy workplaces are often multiple, reciprocal and overlapping. The WHS Acts set up duties for various duty holders, including:&lt;/p&gt;&lt;ul&gt;&lt;li&gt;Businesses and undertakings (whether or not for profit or gain, and including partnerships and unincorporated associations)&lt;/li&gt;&lt;li&gt;Individual officers of a business or undertaking&lt;/li&gt;&lt;li&gt;Organisations that manage or control workplaces&lt;/li&gt;&lt;li&gt;Organisations that design, manufacture, import, supply, install, erect, commission and/or maintain plant, substances, buildings or structures to be used at a workplace&lt;/li&gt;&lt;li&gt;All workers&lt;/li&gt;&lt;li&gt;Other people at a workplace&lt;/li&gt;&lt;/ul&gt;&lt;p&gt;An organisation should aim to achieve the highest level of protection that is both practicable and reasonable in the circumstances. When deciding what is reasonably practicable, the organisation should weigh up:&lt;/p&gt;&lt;ul&gt;&lt;li&gt;The likelihood of a hazard or risk occurring&lt;/li&gt;&lt;li&gt;The degree of harm that might result from the hazard or risk&lt;/li&gt;&lt;li&gt;What the organisation knows, or ought reasonably to know, about the hazard or risk and ways of eliminating or minimising it&lt;/li&gt;&lt;li&gt;The availability and suitability of ways to eliminate or minimise the hazard or risk&lt;/li&gt;&lt;li&gt;The cost associated with ways of eliminating or minimising the hazard or risk, including whether the cost is grossly disproportionate to the risk&lt;/li&gt;&lt;/ul&gt;&lt;p&gt;A number of general principles apply to duties under the WHS Acts:&lt;/p&gt;&lt;ul&gt;&lt;li&gt;If you have a duty, you cannot transfer it to another person&lt;/li&gt;&lt;li&gt;You can have more than one duty if you fit into more than one class of duty holder&amp;mdash;an organisation will frequently have more than one duty at any given time&lt;/li&gt;&lt;li&gt;A duty holder can concurrently share a duty with other duty holders&amp;mdash;for example, a company director will have concurrent duties with his or her fellow directors in the company, and subcontractors on a building site all have a duty to comply with the site-wide traffic management plan&lt;/li&gt;&lt;li&gt;If more than one organisation has a duty for the same matter, each organisation:&lt;p&gt;- Must comply with the duty&lt;/p&gt;&lt;p&gt;- Retains individual responsibility for the duty&lt;/p&gt;&lt;p&gt;- Must discharge the duty to the extent that it can control or influence the matter&lt;/p&gt;&lt;p&gt;- Must comply with its obligation to consult, cooperate and coordinate work with other duty holders (this obligation is discussed in more detail in a separate section of this Compliance Solutions module)&lt;/p&gt;&lt;/li&gt;&lt;/ul&gt;&lt;p&gt;Organisations (and individuals within organisations) also have an obligation not to engage in discriminatory conduct toward workers or prospective workers when it comes to work health and safety matters. The WHS Acts also prohibit discriminatory conduct toward people with whom the organisation has current or prospective commercial arrangements. Prohibitions also apply to coercion, inducement and misrepresentation in relation to work health and safety matters.&lt;/p&gt;&lt;p&gt;The organisation should make sure that management is aware of its health and safety responsibilities and the various principles that apply to duties under the WHS Laws as they apply in the jurisdiction in which they operate. Management should also demonstrate its commitment to health and safety by being involved in decision-making and investing appropriate resources in health and safety.&lt;/p&gt;&lt;p&gt;The organisation should have in place a health and safety management system. This is typically built on a risk register, which identifies risks arising from the business or undertaking and then ranks them according to their seriousness. The organisation should seek effective and practical approaches that address the most serious risks as a priority and do not introduce new and higher risks, taking into account factors such as workplace layout, skills of relevant workers, or the particular way in which the work is done.&lt;/p&gt;&lt;p&gt;The organisation should be proactive in maintaining up-to-date knowledge about actual or foreseeable risks by consulting its workers and others in the industry, undertaking risk assessments, analysing previous incidents, and considering relevant regulations, codes of practice, technical standards, industry publications, scientific and technical literature and guidance material published by regulators. Where appropriate, the organisation will need to employ or engage suitably qualified occupational health and safety specialists to provide advice.&lt;/p&gt;&lt;p&gt;The organisation should keep accurate and up-to-date records of its risk management process to help demonstrate compliance with the legislation and to inform subsequent risk assessments. Periodic internal and external auditing is a typical method of determining:&lt;/p&gt;&lt;ul&gt;&lt;li&gt;Whether risks have been correctly identified and eliminated or mitigated (risk audits)&lt;/li&gt;&lt;li&gt;Whether appropriate systems exist (systems audits)&lt;/li&gt;&lt;li&gt;The adequacy of those systems (effectiveness audits)&lt;/li&gt;&lt;li&gt;The extent to which policies are being complied with in practice (compliance audits)&lt;/li&gt;&lt;/ul&gt;</x:v>
      </x:c>
      <x:c r="K13" s="6" t="n">
        <x:f>=HYPERLINK("#K13","Guidance Notes")</x:f>
      </x:c>
      <x:c r="L13" s="6" t="str">
        <x:v>&lt;p&gt;Ensure that management is aware of its health and safety duties; oversees the development and implementation of, and compliance with, a work health and safety policy; and maintains up-to-date knowledge about risks at the workplace.&lt;/p&gt;</x:v>
      </x:c>
      <x:c r="M13" s="6" t="n">
        <x:f>=HYPERLINK("#M13","Remediation")</x:f>
      </x:c>
      <x:c r="N13" s="6" t="str">
        <x:v>&lt;p&gt;&lt;u&gt; &lt;/u&gt;&lt;/p&gt;&lt;p&gt;The maximum penalties for reckless conduct (that is, engaging without reasonable excuse in conduct that exposes someone to a risk of death or serious injury or illness) are:&lt;/p&gt;&lt;ul&gt;&lt;li&gt;$3 million for a body corporate&lt;/li&gt;&lt;li&gt;$600,000 and/or 5 years&amp;rsquo; imprisonment for an individual person conducting a business or undertaking or an officer of a business or undertaking&lt;/li&gt;&lt;li&gt;$300,000 and/or 5 years&amp;rsquo; imprisonment for other individuals (s 31)&lt;/li&gt;&lt;/ul&gt;&lt;p&gt;The lesser offence of failing to comply with a health and safety duty carries maximum penalties of:&lt;/p&gt;&lt;ul&gt;&lt;li&gt;$1.5 million for a body corporate&lt;/li&gt;&lt;li&gt;$300,000 for an individual person conducting a business or undertaking or an officer of a business or undertaking&lt;/li&gt;&lt;li&gt;$150,000 for other individuals (ss 32&amp;ndash;33)&lt;/li&gt;&lt;/ul&gt;&lt;p&gt;&lt;u&gt; &lt;/u&gt;&lt;/p&gt;&lt;p&gt;The maximum penalty for reckless conduct (that is, engaging without reasonable excuse in conduct that exposes someone to a risk of death or serious injury or illness) is $600,000 and/or 5 years' imprisonment for an officer of a business or undertaking (s 31).&lt;/p&gt;&lt;p&gt;The lesser offence of failing to comply with a health and safety duty carries a maximum penalty of $300,000 for an officer of a business or undertaking (ss 32 &amp;ndash;33).&lt;/p&gt;</x:v>
      </x:c>
      <x:c r="O13" s="6" t="n">
        <x:f>=HYPERLINK("#O13","Consequence")</x:f>
      </x:c>
      <x:c r="P13" s="6" t="str">
        <x:v>&lt;p&gt;&lt;a href="https://www.legislation.gov.au/Details/C2011A00137" target="_blank" &gt;Work Health and Safety Act 2011 (Cth)&lt;/a&gt; Pt 2, Pt 6 (see also corresponding Acts in ACT, NSW, NT, QLD, SA and TAS)&lt;/p&gt;&lt;p&gt;How to Manage Work Health and Safety Risks Code of Practice&amp;mdash;December 2011&lt;/p&gt;</x:v>
      </x:c>
      <x:c r="Q13" s="6" t="n">
        <x:f>=HYPERLINK("#Q13","Source")</x:f>
      </x:c>
      <x:c r="R13"/>
      <x:c r="S13"/>
      <x:c r="T13"/>
    </x:row>
    <x:row r="14" spans="1:30" ht="15.75" x14ac:dyDescent="0.25">
      <x:c r="A14" t="n">
        <x:v>11076</x:v>
      </x:c>
      <x:c r="B14" t="str">
        <x:v>NSW,NT,QLD,SA,TAS,ACT,COMMONWEALTH</x:v>
      </x:c>
      <x:c r="C14" t="inlineStr">
        <x:is>
          <x:t xml:space="preserve">  Subobligation</x:t>
        </x:is>
      </x:c>
      <x:c r="D14" t="inlineStr">
        <x:is>
          <x:t xml:space="preserve">  Primary Duty of Care</x:t>
        </x:is>
      </x:c>
      <x:c r="E14" s="31" t="n">
        <x:v>2.01</x:v>
      </x:c>
      <x:c r="F14" s="8" t="n">
        <x:f>=HYPERLINK("#Obligation()","Work Health and Safety Duties")</x:f>
      </x:c>
      <x:c r="G14" s="8" t="n">
        <x:f>=HYPERLINK("#SubObligation()","Primary Duty of Care")</x:f>
      </x:c>
      <x:c r="H14" s="6" t="n">
        <x:f>=HYPERLINK("#H14","Tools")</x:f>
      </x:c>
      <x:c r="I14" s="27" t="str">
        <x:v>&lt;b&gt;&lt;p&gt;Primary Duty of Care&lt;/p&gt;Does the organisation fulfil its primary duty of care by ensuring, so far as is reasonably practicable, the health and safety of its workers and of others at risk from the work that the organisation?&lt;/b&gt;</x:v>
      </x:c>
      <x:c r="J14" s="6" t="str">
        <x:v>&lt;p&gt;Under the harmonised Work Health and Safety (WHS) Acts, a person conducting a business or undertaking has the primary duty of care in relation to work health and safety. An organisation must ensure, so far as is reasonably practicable, the health and safety of its workers. This duty extends to other workers whose work activities the organisation influences or directs (for example, contractors, labour-hire workers and other temporary workers). The organisation must also ensure that it does not put people other than workers at risk from the work it does &amp;mdash; for example, it must do what is reasonably practicable to ensure the health and safety of visitors or customers at a workplace.&lt;/p&gt;&lt;p&gt;Employees are also required to take reasonable care to ensure the safety and health at work of themselves and others, including:&lt;/p&gt;&lt;ul&gt;&lt;li&gt;Complying with directions given by their employer with regard to safety and health&lt;/li&gt;&lt;li&gt;Using protective clothing and equipment (PPE) in the manner in which they have been instructed to use it&lt;/li&gt;&lt;li&gt;Not misusing or damaging equipment that has been provided by their employer in the interests of safety and health&lt;/li&gt;&lt;li&gt;Reporting hazardous situations or incidents of injury or harm to health to their employer&lt;/li&gt;&lt;li&gt;Cooperating with their employer in complying with the Act&lt;/li&gt;&lt;/ul&gt;&lt;p&gt;The organisation should ensure that management is aware of its primary duty of care in relation to work health and safety and should regularly review health and safety issues at board and executive meetings. Management should also show a commitment to health and safety by being actively involved in decision-making and investing time and money in health and safety. See Tools &amp;ndash; Model code of practice &amp;ndash; How to manage work health and safety risks, December 2011 (Safe Work Australia), Interpretive guideline&amp;mdash;model Work Health and Safety Act&amp;mdash;The meaning of &amp;lsquo;person conducting a business or undertaking&amp;rsquo;, September 2011 (Safe Work Australia).&lt;/p&gt;&lt;p&gt;As workplace supervision plays an important role in ensuring that the organisation fulfils its primary duty of care, management should ensure that workers receive adequate supervision. The organisation should also ensure that contractors and labour-hire workers understand and comply with the organisation&amp;rsquo;s health and safety rules and procedures. Management should also satisfy itself that human resources processes support and reinforce the organisation&amp;rsquo;s health and safety policy and procedures.&lt;/p&gt;&lt;p&gt;Management should ensure that a work health and safety policy and program, and associated procedures, are established and implemented in the organisation. Management should also monitor and periodically review the adequacy and effectiveness of the policy and program, and implement changes where necessary to ensure that the organisation continues to fulfil its primary duty of care. Management should also consider engaging qualified safety consultants or auditors to identify any deficiencies in the organisation&amp;rsquo;s health and safety system.&lt;/p&gt;&lt;p&gt;Management should be aware that the definition of &amp;lsquo;health&amp;rsquo; in the harmonised WHS Acts includes both physical and psychological health. The organisation has a primary duty to manage risks associated with exposure to hazards arising from work that could result in physical or psychological harm, such as workplace violence or bullying, harassment, fatigue, a traumatic event, and excessive or prolonged work pressures. See Tools &amp;ndash; Guide&amp;mdash;How to determine what is reasonably practicable to meet a health and safety duty, May 2013 (Safe Work Australia), Interpretive guideline&amp;mdash;model Work Health and Safety Act&amp;mdash;The meaning of &amp;lsquo;reasonably practicable&amp;rsquo;, September 2011 (Safe Work Australia), Guide for preventing and responding to workplace bullying, November 2013 (Safe Work Australia), Guide for managing the risk of fatigue at work, November 2013 (Safe Work Australia) and Preventing psychological injury under work health and safety laws (Safe Work Australia fact sheet, May 2014).&lt;/p&gt;&lt;p&gt;The organisation should keep accurate and up-to-date records of its risk management process to help demonstrate compliance with legislation, and to inform subsequent risk assessments.&lt;/p&gt;</x:v>
      </x:c>
      <x:c r="K14" s="6" t="n">
        <x:f>=HYPERLINK("#K14","Guidance Notes")</x:f>
      </x:c>
      <x:c r="L14" s="6" t="str">
        <x:v>&lt;p&gt;Ensure that management is aware of the primary duty of care in relation to work health and safety, and put in place and monitor policies and procedures to ensure that the organisation fulfils its primary duty of care.&lt;/p&gt;</x:v>
      </x:c>
      <x:c r="M14" s="6" t="n">
        <x:f>=HYPERLINK("#M14","Remediation")</x:f>
      </x:c>
      <x:c r="N14" s="6" t="str">
        <x:v>&lt;p&gt;The maximum penalty for reckless conduct (that is, engaging without reasonable excuse in conduct that exposes someone to a risk of death or serious injury or illness) is:&lt;/p&gt;&lt;ul&gt;&lt;li&gt;$3 million for a body corporate&lt;/li&gt;&lt;li&gt;$600,000 and/or 5 years&amp;rsquo; imprisonment for an individual person conducting a business or undertaking or an officer of a business or undertaking&lt;/li&gt;&lt;li&gt;$300,000 and/or 5 years&amp;rsquo; imprisonment for other individuals (s 31)&lt;/li&gt;&lt;/ul&gt;&lt;p&gt;The lesser offence of failing to comply with a health and safety duty carries a maximum penalty of:&lt;/p&gt;&lt;ul&gt;&lt;li&gt;$1.5 million for a body corporate&lt;/li&gt;&lt;li&gt;$300,000 for an individual person conducting a business or undertaking or an officer of a business or undertaking&lt;/li&gt;&lt;li&gt;$150,000 for other individuals (ss 32&amp;ndash;33)&lt;/li&gt;&lt;/ul&gt;</x:v>
      </x:c>
      <x:c r="O14" s="6" t="n">
        <x:f>=HYPERLINK("#O14","Consequence")</x:f>
      </x:c>
      <x:c r="P14" s="6" t="str">
        <x:v>&lt;p&gt;&lt;a href="https://www.legislation.gov.au/Details/C2011A00137" target="_blank" &gt;Work Health and Safety Act 2011 (Cth)&lt;/a&gt; s 19 (see also corresponding Acts in ACT, NSW, NT, QLD, SA and TAS)&lt;/p&gt;&lt;p&gt;Model Code of Practice &amp;ndash; How to Manage Work Health and Safety Risks &amp;mdash; December 2011&lt;/p&gt;</x:v>
      </x:c>
      <x:c r="Q14" s="6" t="n">
        <x:f>=HYPERLINK("#Q14","Source")</x:f>
      </x:c>
      <x:c r="R14"/>
      <x:c r="S14"/>
      <x:c r="T14"/>
    </x:row>
    <x:row r="15" spans="1:30" ht="15.75" x14ac:dyDescent="0.25">
      <x:c r="A15" t="n">
        <x:v>11094</x:v>
      </x:c>
      <x:c r="B15" t="str">
        <x:v>NSW,NT,QLD,SA,TAS,ACT,COMMONWEALTH</x:v>
      </x:c>
      <x:c r="C15" t="inlineStr">
        <x:is>
          <x:t xml:space="preserve">  Subobligation</x:t>
        </x:is>
      </x:c>
      <x:c r="D15" t="inlineStr">
        <x:is>
          <x:t xml:space="preserve">  Officer’s Duties</x:t>
        </x:is>
      </x:c>
      <x:c r="E15" s="31" t="n">
        <x:v>2.02</x:v>
      </x:c>
      <x:c r="F15" s="8" t="n">
        <x:f>=HYPERLINK("#Obligation()","Work Health and Safety Duties")</x:f>
      </x:c>
      <x:c r="G15" s="8" t="n">
        <x:f>=HYPERLINK("#SubObligation()","Officer’s Duties")</x:f>
      </x:c>
      <x:c r="H15" s="6" t="n">
        <x:f>=HYPERLINK("#H15","Tools")</x:f>
      </x:c>
      <x:c r="I15" s="27" t="str">
        <x:v>&lt;b&gt;&lt;p&gt;Officer’s Duties&lt;/p&gt;Do the organisation's officers exercise due diligence to ensure that the organisation complies with its health and safety duties?&lt;/b&gt;</x:v>
      </x:c>
      <x:c r="J15" s="6" t="str">
        <x:v>&lt;p&gt;Since organisations cannot make decisions or act other than through individuals, the harmonised Work Health and Safety (WHS) Acts places a duty on those who direct or manage an organisation (known as &amp;lsquo;officers&amp;rsquo;) to make appropriate decisions or allocate resources for work health and safety. In other words, an officer must exercise due diligence to ensure that the organisation complies with its health and safety duties and responsibilities, including its primary duty of care.&lt;/p&gt;&lt;p&gt;To exercise due diligence, an officer must take reasonable steps that include:&lt;/p&gt;&lt;ul&gt;&lt;li&gt;Acquiring and keeping up-to-date knowledge of work health and safety matters&lt;/li&gt;&lt;li&gt;Gaining an understanding of the organisation&amp;rsquo;s operations, and of the hazards and risks associated with those operations&lt;/li&gt;&lt;li&gt;Ensuring that the organisation has appropriate resources and processes to eliminate or minimise risks to health and safety&lt;/li&gt;&lt;li&gt;Ensuring that the organisation has appropriate processes for receiving and considering information about incidents, hazards and risks, and for responding in a timely way to that information&lt;/li&gt;&lt;li&gt;Ensuring that the organisation establishes and implements appropriate processes for complying with its duties under the WHS Acts&amp;mdash;for example, to report notifiable incidents, consult with workers, comply with notices issued under the Acts, provide training and instruction to workers, and ensure that health and safety representatives receive their training entitlements&lt;/li&gt;&lt;li&gt;Verifying that health and safety resources and processes are actually provided and used&lt;/li&gt;&lt;/ul&gt;&lt;p&gt;This is not an exhaustive list of reasonable steps. What is considered &amp;lsquo;reasonable&amp;rsquo; in exercising due diligence will depend on the particular circumstances, including the officer&amp;rsquo;s role and his or her level of influence within the organisation.&lt;/p&gt;&lt;p&gt;The organisation should ensure that its officers are aware of their duty to exercise due diligence in ensuring that the organisation&amp;rsquo;s systems and resources enable ongoing compliance with health and safety duties. If necessary, officers should seek advice on due diligence from advisers who are independent of those advising the organisation. See Tools&amp;mdash;Model code of practice&amp;mdash;How to manage work health and safety risks, December 2011 (Safe Work Australia), Interpretive guideline&amp;mdash;model Work Health and Safety Act&amp;mdash;The meaning of &amp;lsquo;person conducting a business or undertaking&amp;rsquo;, September 2011 (Safe Work Australia), Checklist: Who is an officer? and Checklist: Due diligence.&lt;/p&gt;&lt;p&gt;Officers should demonstrate their commitment to health and safety by persistently monitoring and auditing the organisation&amp;rsquo;s systems and procedures, taking an active and inquisitive role in planning and actioning health and safety initiatives, and responding personally and immediately when they become aware of incidents and system failures. Officers should ensure that the organisation has an appropriate governance structure in place, and that decision-makers are appropriately authorised and accountable.&lt;/p&gt;&lt;p&gt;Officers should ensure that the organisation has information-gathering and reporting processes&amp;mdash;such as regular consultation with workers&amp;mdash;that facilitate the flow of health and safety information to decision-makers. Officers should also ensure that the organisation keeps accurate and up-to-date records of its health and safety decisions and risk management process to help demonstrate compliance with the legislation, and to inform subsequent risk assessments.&lt;/p&gt;&lt;p&gt;An officer should not, knowingly, put workers in danger.&lt;/p&gt;</x:v>
      </x:c>
      <x:c r="K15" s="6" t="n">
        <x:f>=HYPERLINK("#K15","Guidance Notes")</x:f>
      </x:c>
      <x:c r="L15" s="6" t="str">
        <x:v>&lt;p&gt;Ensure that officers receive advice and training on how to exercise due diligence.&lt;/p&gt;</x:v>
      </x:c>
      <x:c r="M15" s="6" t="n">
        <x:f>=HYPERLINK("#M15","Remediation")</x:f>
      </x:c>
      <x:c r="N15" s="6" t="str">
        <x:v>&lt;p&gt;The maximum penalty for reckless conduct (that is, engaging without reasonable excuse in conduct that exposes someone to a risk of death or serious injury or illness) is $600,000 and/or 5 years&amp;rsquo; imprisonment for an officer of a business or undertaking (s 31).&lt;/p&gt;&lt;p&gt;The lesser offence of failing to comply with a health and safety duty carries a maximum penalty of $300,000 for an officer of a business or undertaking (ss 32 &amp;ndash;33).&lt;/p&gt;</x:v>
      </x:c>
      <x:c r="O15" s="6" t="n">
        <x:f>=HYPERLINK("#O15","Consequence")</x:f>
      </x:c>
      <x:c r="P15" s="6" t="str">
        <x:v>&lt;p&gt;&lt;a href="https://www.legislation.gov.au/Details/C2011A00137" target="_blank" &gt;Work Health and Safety Act 2011 (Cth)&lt;/a&gt; s 27 (see also corresponding Acts in ACT, NSW, NT, QLD, SA and TAS)&lt;/p&gt;&lt;p&gt;Model Code of Practice &amp;mdash; How to Manage Work Health and Safety Risks &amp;mdash; December 2011&lt;/p&gt;</x:v>
      </x:c>
      <x:c r="Q15" s="6" t="n">
        <x:f>=HYPERLINK("#Q15","Source")</x:f>
      </x:c>
      <x:c r="R15"/>
      <x:c r="S15"/>
      <x:c r="T15"/>
    </x:row>
    <x:row r="16" spans="1:30" ht="15.75" x14ac:dyDescent="0.25">
      <x:c r="A16" t="n">
        <x:v>11067</x:v>
      </x:c>
      <x:c r="B16" t="str">
        <x:v>NSW,NT,QLD,SA,TAS,ACT,COMMONWEALTH</x:v>
      </x:c>
      <x:c r="C16" t="str">
        <x:v>Obligation</x:v>
      </x:c>
      <x:c r="D16" t="str">
        <x:v>Work Health and Safety Management System</x:v>
      </x:c>
      <x:c r="E16" s="31" t="n">
        <x:v>3.00</x:v>
      </x:c>
      <x:c r="F16" s="8" t="n">
        <x:f>=HYPERLINK("#Obligation()","Work Health and Safety Management System")</x:f>
      </x:c>
      <x:c r="G16" s="8"/>
      <x:c r="H16" s="6" t="n">
        <x:f>=HYPERLINK("#H16","Tools")</x:f>
      </x:c>
      <x:c r="I16" s="27" t="str">
        <x:v>&lt;b&gt;&lt;p&gt;Work Health and Safety Management System&lt;/p&gt;Does the organisation adopt a systematic approach to managing work health and safety?&lt;/b&gt;</x:v>
      </x:c>
      <x:c r="J16" s="6" t="str">
        <x:v>&lt;p&gt;A work health and safety management system is a planned, documented and verifiable method of eliminating or reducing risks that arise from the work that an organisation carries out. Key elements of an effective work health and safety management system include:&lt;/p&gt;&lt;ul&gt;&lt;li&gt;developing a health and safety policy and objectives&lt;/li&gt;&lt;li&gt;planning activities that respond to legislative requirements and take account of identified hazards and system failures&lt;/li&gt;&lt;li&gt;setting targets and performance indicators against the organisation&amp;rsquo;s objectives&lt;/li&gt;&lt;li&gt;implementing a health and safety program and written procedures that give effect to the health and safety policy&lt;/li&gt;&lt;li&gt;monitoring, measuring and evaluating the effectiveness of the system&lt;/li&gt;&lt;li&gt;auditing the system&lt;/li&gt;&lt;li&gt;conducting management reviews of the system.&lt;/li&gt;&lt;/ul&gt;&lt;p&gt;An effective work health and safety management system can assist an organisation to:&lt;/p&gt;&lt;ul&gt;&lt;li&gt;maintain safe and healthy workplaces through the systematic elimination and reduction of risks&lt;/li&gt;&lt;li&gt;continually improve health and safety performance&lt;/li&gt;&lt;li&gt;comply with legal obligations&lt;/li&gt;&lt;li&gt;improve productivity through reduced injuries and illnesses&lt;/li&gt;&lt;li&gt;achieve conformance with the organisation&amp;rsquo;s work health and safety policy and objectives, and demonstrate such conformance to others via self-declaration or independent certification&lt;/li&gt;&lt;li&gt;enhance the organisation&amp;rsquo;s reputation&lt;/li&gt;&lt;li&gt;lower costs associated with workers&amp;rsquo; compensation claims.&lt;/li&gt;&lt;/ul&gt;&lt;p&gt;While the harmonised Work Health and Safety (WHS) Acts and Regulations do not require organisations to implement a work health and safety management system (with the exception of major hazard facilities), it is considered best practice to have a system in place in order to achieve optimal health and safety outcomes. A health and safety management system will also assist in demonstrating that an organisation has met its legal duty to provide safe systems of work.&lt;/p&gt;&lt;p&gt;Before implementing or revising its work health and safety management system, the organisation should review the wide range of support literature on work health and safety.&lt;/p&gt;&lt;p&gt;The organisation should ensure that workers (or their representatives) have an opportunity to provide meaningful input into the work health and safety management system.&lt;/p&gt;&lt;p&gt;The organisation should ensure that it commits the necessary resources to its work health and safety management system. Depending on the complexity of the organisation&amp;rsquo;s operations, it may be desirable to engage a qualified and experienced consultant to assist in establishing or reviewing the system. The organisation should also explore the availability of workshops, seminars and training courses on establishing or reviewing a work health and safety management system.&lt;/p&gt;&lt;p&gt;The organisation may choose to incorporate the requirements of the relevant Australian standards into its work health and safety management system, that is, Australian/New Zealand Standard (AS/NZS) 4801:2001 Occupational health and safety management systems&amp;mdash;Specification with guidance for use, and AS/NZS 4804:2001 Occupational health and safety management systems&amp;mdash;General guidelines on principles, systems and supporting techniques. The similar British Standard OHSAS 18001:2007 Occupational health and safety management systems&amp;mdash;Requirements is also widely recognised in Australia. These standards are applicable to all types and sizes of organisations and across diverse conditions, and are designed to be integrated with other management requirements (for example, risk management, quality management and environmental management). However, they are not compulsory and many organisations&amp;mdash;even very large ones&amp;mdash;do not have a system that is certified against these standards.&lt;/p&gt;&lt;p&gt;After implementing its work health and safety management system, the organisation may choose to seek independent certification of its conformance with AS/NZS 4801:2001 and/or OHSAS 18001:2007. When seeking certification, the organisation should engage a certifying body that is accredited under the Joint Accreditation System of Australia and New Zealand (JAS-ANZ).&lt;/p&gt;&lt;p&gt;The organisation should regularly evaluate and review its work health and safety management system to ensure continual improvement and ongoing effectiveness as conditions and laws change.&lt;/p&gt;</x:v>
      </x:c>
      <x:c r="K16" s="6" t="n">
        <x:f>=HYPERLINK("#K16","Guidance Notes")</x:f>
      </x:c>
      <x:c r="L16" s="6" t="str">
        <x:v>&lt;p&gt;Put in place an effective work health and safety management system.&lt;/p&gt;</x:v>
      </x:c>
      <x:c r="M16" s="6" t="n">
        <x:f>=HYPERLINK("#M16","Remediation")</x:f>
      </x:c>
      <x:c r="N16" s="6" t="str">
        <x:v>&lt;p&gt;If an organisation fails to implement an effective work health and safety management system, it may be increasing the risk of:&lt;/p&gt;&lt;ul&gt;&lt;li&gt;workplace injuries and illnesses&lt;/li&gt;&lt;li&gt;unidentified workplace hazards&lt;/li&gt;&lt;li&gt;increased downtime due to avoidable health and safety incidents&lt;/li&gt;&lt;li&gt;noncompliance with legal obligations&lt;/li&gt;&lt;li&gt;damage to the organisation&amp;rsquo;s reputation&lt;/li&gt;&lt;li&gt;increased costs associated with workers&amp;rsquo; compensation claims.&lt;/li&gt;&lt;/ul&gt;</x:v>
      </x:c>
      <x:c r="O16" s="6" t="n">
        <x:f>=HYPERLINK("#O16","Consequence")</x:f>
      </x:c>
      <x:c r="P16" s="6" t="str">
        <x:v>&lt;p&gt;&lt;a href="https://www.legislation.gov.au/Details/C2011A00137" target="_blank" &gt;Work Health and Safety Act 2011 (Cth)&lt;/a&gt; s 19 (see also corresponding Acts in ACT, NSW, NT, QLD, SA and TAS)&lt;/p&gt;&lt;p&gt;AS/NZS 4801:2001 Occupational Health and Safety Management Systems&amp;mdash;Specification With Guidance for Use&lt;/p&gt;&lt;p&gt;AS/NZS 4804:2001 Occupational Health and Safety Management Systems&amp;mdash;General Guidelines on Principles, Systems and Supporting Techniques&lt;/p&gt;&lt;p&gt;BS OHSAS 18001:2007 Occupational Health and Safety Management Systems&amp;mdash;Requirements&lt;/p&gt;</x:v>
      </x:c>
      <x:c r="Q16" s="6" t="n">
        <x:f>=HYPERLINK("#Q16","Source")</x:f>
      </x:c>
      <x:c r="R16"/>
      <x:c r="S16"/>
      <x:c r="T16"/>
    </x:row>
    <x:row r="17" spans="1:20" ht="15.75" x14ac:dyDescent="0.25">
      <x:c r="A17" t="n">
        <x:v>11088</x:v>
      </x:c>
      <x:c r="B17" t="str">
        <x:v>NSW,NT,QLD,SA,TAS,ACT,COMMONWEALTH</x:v>
      </x:c>
      <x:c r="C17" t="inlineStr">
        <x:is>
          <x:t xml:space="preserve">  Subobligation</x:t>
        </x:is>
      </x:c>
      <x:c r="D17" t="inlineStr">
        <x:is>
          <x:t xml:space="preserve">  Health and Safety Policy and Objectives</x:t>
        </x:is>
      </x:c>
      <x:c r="E17" s="31" t="n">
        <x:v>3.01</x:v>
      </x:c>
      <x:c r="F17" s="8" t="n">
        <x:f>=HYPERLINK("#Obligation()","Work Health and Safety Management System")</x:f>
      </x:c>
      <x:c r="G17" s="8" t="n">
        <x:f>=HYPERLINK("#SubObligation()","Health and Safety Policy and Objectives")</x:f>
      </x:c>
      <x:c r="H17" s="6" t="n">
        <x:f>=HYPERLINK("#H17","Tools")</x:f>
      </x:c>
      <x:c r="I17" s="27" t="str">
        <x:v>&lt;b&gt;&lt;p&gt;Health and Safety Policy and Objectives&lt;/p&gt;Does the organisation have a written health and safety policy and statement of objectives that are endorsed by senior management?&lt;/b&gt;</x:v>
      </x:c>
      <x:c r="J17" s="6" t="str">
        <x:v>&lt;p&gt;A health and safety policy is a written statement that outlines an organisation&amp;rsquo;s intentions and principles in relation to its overall work health and safety performance. It provides a framework for action and for setting the organisation&amp;rsquo;s health and safety objectives and targets. An organisation in the harmonised jurisdictions should have a written health and safety policy and statement of objectives. The policy should indicate the organisation&amp;rsquo;s commitment to achieving a high standard of health and safety at the workplace, and be consistent with the organisation&amp;rsquo;s legal obligations.&lt;/p&gt;&lt;p&gt;The policy should contain a reference to the organisation&amp;rsquo;s health and safety program, including the procedures for implementing the policy objectives. The policy may also deal with the role and functions of the health and safety committee, where applicable.&lt;/p&gt;&lt;p&gt;Health and safety objectives arise out of the organisation&amp;rsquo;s health and safety policy. The objectives are goals for the organisation&amp;rsquo;s health and safety performance, and should be quantified with targets where practicable. The objectives and targets should be tailored to the organisation&amp;rsquo;s risk exposure and take into account workers, the working environment and locations, technology, and any current information about health and safety risks.&lt;/p&gt;&lt;p&gt;The organisation should prepare its health and safety policy and objectives in consultation with workers, and senior management should endorse the policy and objectives.&lt;/p&gt;&lt;p&gt;Management should clearly communicate its policy and objectives to all workers at the workplace, and make the policy easily accessible. For example, it may post the policy and objectives in an easily accessible place, such as a noticeboard in a main thoroughfare or on the staff intranet. The organisation should also make the policy available to other interested parties, such as the regulator, suppliers, external contractors, and visitors to the workplace.&lt;/p&gt;&lt;p&gt;The organisation should review its health and safety policy and objectives at least annually to ensure that they remain relevant and appropriate. If the workplace has a health and safety committee, then the committee should be involved in the review. See Tools &amp;ndash; National self-insurer WHS management system audit tool, version 3, September 2014 (Comcare).&lt;/p&gt;</x:v>
      </x:c>
      <x:c r="K17" s="6" t="n">
        <x:f>=HYPERLINK("#K17","Guidance Notes")</x:f>
      </x:c>
      <x:c r="L17" s="6" t="str">
        <x:v>&lt;p&gt;Put in place a health and safety policy and statement of objectives.&lt;/p&gt;</x:v>
      </x:c>
      <x:c r="M17" s="6" t="n">
        <x:f>=HYPERLINK("#M17","Remediation")</x:f>
      </x:c>
      <x:c r="N17" s="6" t="str">
        <x:v>&lt;p&gt;Failure to articulate a health and safety policy could mean that the organisation&amp;rsquo;s health and safety activities lack coherent guiding principles and a clear, overarching intent. A lack of clearly stated objectives&amp;mdash;quantified where practicable&amp;mdash;would make it more difficult for an organisation to measure its health and safety performance and to improve the effectiveness of its health and safety program. The organisation may find it more difficult to consistently meet its legal obligations without a health and safety policy and objectives.&lt;/p&gt;</x:v>
      </x:c>
      <x:c r="O17" s="6" t="n">
        <x:f>=HYPERLINK("#O17","Consequence")</x:f>
      </x:c>
      <x:c r="P17" s="6" t="str">
        <x:v>&lt;p&gt;AS/NZS 4801:2001 Occupational Health and Safety Management Systems&amp;mdash;Specification With Guidance For Use&lt;/p&gt;&lt;p&gt;AS/NZS 4804:2001 Occupational Health and Safety Management Systems&amp;mdash;General Guidelines On Principles, Systems and Supporting Techniques&lt;/p&gt;&lt;p&gt;BS OHSAS 18001:2007 Occupational Health and Safety Management Systems&amp;mdash;Requirements&lt;/p&gt;</x:v>
      </x:c>
      <x:c r="Q17" s="6" t="n">
        <x:f>=HYPERLINK("#Q17","Source")</x:f>
      </x:c>
      <x:c r="R17"/>
      <x:c r="S17"/>
      <x:c r="T17"/>
    </x:row>
    <x:row r="18" spans="1:20" ht="15.75" x14ac:dyDescent="0.25">
      <x:c r="A18" t="n">
        <x:v>11100</x:v>
      </x:c>
      <x:c r="B18" t="str">
        <x:v>NSW,NT,QLD,SA,TAS,ACT,COMMONWEALTH</x:v>
      </x:c>
      <x:c r="C18" t="inlineStr">
        <x:is>
          <x:t xml:space="preserve">  Subobligation</x:t>
        </x:is>
      </x:c>
      <x:c r="D18" t="inlineStr">
        <x:is>
          <x:t xml:space="preserve">  Developing a Health and Safety Management Plan</x:t>
        </x:is>
      </x:c>
      <x:c r="E18" s="31" t="n">
        <x:v>3.02</x:v>
      </x:c>
      <x:c r="F18" s="8" t="n">
        <x:f>=HYPERLINK("#Obligation()","Work Health and Safety Management System")</x:f>
      </x:c>
      <x:c r="G18" s="8" t="n">
        <x:f>=HYPERLINK("#SubObligation()","Developing a Health and Safety Management Plan")</x:f>
      </x:c>
      <x:c r="H18" s="6" t="n">
        <x:f>=HYPERLINK("#H18","Tools")</x:f>
      </x:c>
      <x:c r="I18" s="27" t="str">
        <x:v>&lt;b&gt;&lt;p&gt;Developing a Health and Safety Management Plan&lt;/p&gt;Has the organisation developed a health and safety management plan?&lt;/b&gt;</x:v>
      </x:c>
      <x:c r="J18" s="6" t="str">
        <x:v>&lt;p&gt;Once an organisation in the harmonised jurisdictions has prepared its health and safety policy and objectives, it should develop a plan for how it will implement, evaluate and review its health and safety activities, taking account of current legislation, industry standards and available resources. The plan may include timeframes for implementing a health and safety program or particular procedures, evaluating performance and reviewing the work health and safety management system.&lt;/p&gt;&lt;p&gt;Organisations that have a high degree of complexity in their operations may need to develop specific, detailed plans that address different aspects of the organisation&amp;rsquo;s activities, in addition to an organisation-wide plan.&lt;/p&gt;&lt;p&gt;The plan may outline a hierarchy of tasks from most to least important, and indicate how easy or difficult it will be to achieve the tasks. The plan should specify which people are allocated primary responsibility for ensuring that each task is completed, and what measurements will be used to indicate that a task is complete.&lt;/p&gt;&lt;p&gt;In the planning phase, the organisation should undertake the following actions:&lt;/p&gt;&lt;ol&gt;&lt;li&gt;identify the extent and reach of its business or undertaking&lt;/li&gt;&lt;li&gt;identify and monitor all relevant health and safety legislation, standards, codes of&amp;nbsp;&amp;nbsp;practice, agreements and guidelines relevant to its activities&lt;/li&gt;&lt;li&gt;identify and analyse the health and safety risks that are relevant to its business or undertaking, taking account of any accidents or incidents&lt;/li&gt;&lt;li&gt;list the risks on what is typically called a risk register&lt;/li&gt;&lt;li&gt;use the risk register to prioritise the risks to be eliminated or, failing that, mitigated or minimised.&lt;/li&gt;&lt;/ol&gt;&lt;p&gt;The organisation should consult with workers and other relevant people as part of the planning process.&lt;/p&gt;&lt;p&gt;The organisation should also decide what resources it needs to allocate to its health and safety program&amp;mdash;for example, financial resources (time and money), physical resources (such as equipment and a reference library) and human resources (which may include a health and safety consultant). The organisation should also develop a training plan as part of its overall health and safety planning.&lt;/p&gt;</x:v>
      </x:c>
      <x:c r="K18" s="6" t="n">
        <x:f>=HYPERLINK("#K18","Guidance Notes")</x:f>
      </x:c>
      <x:c r="L18" s="6" t="str">
        <x:v>&lt;p&gt;Develop a written health and safety management plan.&lt;/p&gt;</x:v>
      </x:c>
      <x:c r="M18" s="6" t="n">
        <x:f>=HYPERLINK("#M18","Remediation")</x:f>
      </x:c>
      <x:c r="N18" s="6" t="str">
        <x:v>&lt;p&gt;Failure to undertake adequate planning could result in the organisation overlooking important considerations when implementing its health and safety program. A lack of planning may also result in the organisation allocating insufficient resources (or misallocating resources) to avoid or reduce the risk of harm, and staff missing out on important training. Without careful planning, the organisation may find it more difficult to measure and evaluate its health and safety performance, and to achieve continual improvement.&lt;/p&gt;</x:v>
      </x:c>
      <x:c r="O18" s="6" t="n">
        <x:f>=HYPERLINK("#O18","Consequence")</x:f>
      </x:c>
      <x:c r="P18" s="6" t="str">
        <x:v>&lt;p&gt;AS/NZS 4801:2001 Occupational Health and Safety Management Systems&amp;mdash;Specification with Guidance For Use&lt;/p&gt;&lt;p&gt;AS/NZS 4804:2001 Occupational Health and Safety Management Systems&amp;mdash;General Guidelines On Principles, Systems and Supporting Techniques&lt;/p&gt;&lt;p&gt;BS OHSAS 18001:2007 Occupational Health and Safety Management Systems&amp;mdash;Requirements&lt;/p&gt;</x:v>
      </x:c>
      <x:c r="Q18" s="6" t="n">
        <x:f>=HYPERLINK("#Q18","Source")</x:f>
      </x:c>
      <x:c r="R18"/>
      <x:c r="S18"/>
      <x:c r="T18"/>
    </x:row>
    <x:row r="19" spans="1:20" ht="15.75" x14ac:dyDescent="0.25">
      <x:c r="A19" t="n">
        <x:v>11108</x:v>
      </x:c>
      <x:c r="B19" t="str">
        <x:v>NSW,NT,QLD,SA,TAS,ACT,COMMONWEALTH</x:v>
      </x:c>
      <x:c r="C19" t="inlineStr">
        <x:is>
          <x:t xml:space="preserve">  Subobligation</x:t>
        </x:is>
      </x:c>
      <x:c r="D19" t="inlineStr">
        <x:is>
          <x:t xml:space="preserve">  Setting Targets and Performance Indicators</x:t>
        </x:is>
      </x:c>
      <x:c r="E19" s="31" t="n">
        <x:v>3.03</x:v>
      </x:c>
      <x:c r="F19" s="8" t="n">
        <x:f>=HYPERLINK("#Obligation()","Work Health and Safety Management System")</x:f>
      </x:c>
      <x:c r="G19" s="8" t="n">
        <x:f>=HYPERLINK("#SubObligation()","Setting Targets and Performance Indicators")</x:f>
      </x:c>
      <x:c r="H19" s="6" t="n">
        <x:f>=HYPERLINK("#H19","Tools")</x:f>
      </x:c>
      <x:c r="I19" s="27" t="str">
        <x:v>&lt;b&gt;&lt;p&gt;Setting Targets and Performance Indicators&lt;/p&gt;Has the organisation set targets and performance indicators for work health and safety?&lt;/b&gt;</x:v>
      </x:c>
      <x:c r="J19" s="6" t="str">
        <x:v>&lt;p&gt;An organisation in the harmonised jurisdictions should set measurable targets that enable it to monitor and evaluate its performance against its health and safety objectives.&lt;/p&gt;&lt;p&gt;The organisation should also develop a set of performance indicators that enable it to assess how effectively it is achieving its health and safety objectives. Performance indicators can be quantitative or qualitative, depending on what they are being used to measure.&lt;/p&gt;&lt;p&gt;The organisation should not limit itself to &amp;lsquo;negative&amp;rsquo; indicators, that is, the number and rate of work-related injuries and illnesses. It should also develop &amp;lsquo;positive&amp;rsquo; indicators that relate to active measures taken to prevent injury and illness. Positive indicators can include:&lt;/p&gt;&lt;ul&gt;&lt;li&gt;the number of safety inspections conducted, and their frequency&lt;/li&gt;&lt;li&gt;the amount and quality of training provided, and the percentage of staff who receive different types of training&lt;/li&gt;&lt;li&gt;the number and quality of risk assessments conducted&lt;/li&gt;&lt;li&gt;the number of safety-related reports received&amp;nbsp;&amp;nbsp;from workers.&lt;/li&gt;&lt;/ul&gt;&lt;p&gt;By using targets and performance indicators, the organisation can assess whether it is continually improving its performance in eliminating risks and work-related illness and injury.&lt;/p&gt;&lt;p&gt;When developing targets and performance indicators, the organisation should ensure that they are consistent with its health and safety policy, and clearly aligned with its health and safety objectives. The organisation should take into account relevant legislation, work-related hazards and risks, past health and safety performance, and technological developments when setting targets and performance indicators.&lt;/p&gt;&lt;p&gt;The organisation should ensure that it develops a comprehensive set of targets and indicators that cover all relevant functions and activities of its business or undertaking. The organisation should also allocate responsibility for meeting the targets to particular departments, and may decide to include health and safety indicators in individuals&amp;rsquo; performance appraisals, including at the most senior levels of management. The organisation should report periodically against the targets and indicators, and consider making the reporting publicly available where possible (for example, through the organisation&amp;rsquo;s annual report).&lt;/p&gt;&lt;p&gt;Participants in work health and safety training should have the opportunity to provide feedback on the relevance and effectiveness of the training.&lt;/p&gt;</x:v>
      </x:c>
      <x:c r="K19" s="6" t="n">
        <x:f>=HYPERLINK("#K19","Guidance Notes")</x:f>
      </x:c>
      <x:c r="L19" s="6" t="str">
        <x:v>&lt;p&gt;Put in place targets and performance indicators that align with the organisation&amp;rsquo;s health and safety policy and objectives.&lt;/p&gt;</x:v>
      </x:c>
      <x:c r="M19" s="6" t="n">
        <x:f>=HYPERLINK("#M19","Remediation")</x:f>
      </x:c>
      <x:c r="N19" s="6" t="str">
        <x:v>&lt;p&gt;Failure to set measurable targets and develop performance indicators will make it more difficult for an organisation to assess whether it is achieving its health and safety objectives and adhering to its health and safety policy. An absence of targets and indicators will also make it more difficult for the organisation to proactively identify any shortcomings in its work health and safety management system, and prepare meaningful reports on its health and safety performance.&lt;/p&gt;</x:v>
      </x:c>
      <x:c r="O19" s="6" t="n">
        <x:f>=HYPERLINK("#O19","Consequence")</x:f>
      </x:c>
      <x:c r="P19" s="6" t="str">
        <x:v>&lt;p&gt;AS/NZS 4801:2001 Occupational Health and Safety Management Systems&amp;mdash;Specification With Guidance For Use&lt;/p&gt;&lt;p&gt;AS/NZS 4804:2001 Occupational Health and Safety Management Systems&amp;mdash;General Guidelines on Principles, Systems and Supporting Techniques&lt;/p&gt;&lt;p&gt;BS OHSAS 18001:2007 Occupational Health and Safety Management Systems&amp;mdash;Requirements&lt;/p&gt;</x:v>
      </x:c>
      <x:c r="Q19" s="6" t="n">
        <x:f>=HYPERLINK("#Q19","Source")</x:f>
      </x:c>
      <x:c r="R19"/>
      <x:c r="S19"/>
      <x:c r="T19"/>
    </x:row>
    <x:row r="20" spans="1:20" ht="15.75" x14ac:dyDescent="0.25">
      <x:c r="A20" t="n">
        <x:v>11118</x:v>
      </x:c>
      <x:c r="B20" t="str">
        <x:v>NSW,NT,QLD,SA,TAS,ACT,COMMONWEALTH</x:v>
      </x:c>
      <x:c r="C20" t="inlineStr">
        <x:is>
          <x:t xml:space="preserve">  Subobligation</x:t>
        </x:is>
      </x:c>
      <x:c r="D20" t="inlineStr">
        <x:is>
          <x:t xml:space="preserve">  Implementing a Health and Safety Program and Procedures</x:t>
        </x:is>
      </x:c>
      <x:c r="E20" s="31" t="n">
        <x:v>3.04</x:v>
      </x:c>
      <x:c r="F20" s="8" t="n">
        <x:f>=HYPERLINK("#Obligation()","Work Health and Safety Management System")</x:f>
      </x:c>
      <x:c r="G20" s="8" t="n">
        <x:f>=HYPERLINK("#SubObligation()","Implementing a Health and Safety Program and Procedures")</x:f>
      </x:c>
      <x:c r="H20" s="6" t="n">
        <x:f>=HYPERLINK("#H20","Tools")</x:f>
      </x:c>
      <x:c r="I20" s="27" t="str">
        <x:v>&lt;b&gt;&lt;p&gt;Implementing a Health and Safety Program and Procedures&lt;/p&gt;Has the organisation implemented a work health and safety program, including up-to-date procedures, to give effect to the health and safety policy?&lt;/b&gt;</x:v>
      </x:c>
      <x:c r="J20" s="6" t="str">
        <x:v>&lt;p&gt;A health and safety program is a set of planned, practical activities that an organisation carries out to eliminate and reduce hazards and risks at the workplace. The program gives effect to the organisation&amp;rsquo;s health and safety policy.&lt;/p&gt;&lt;p&gt;An organisation&amp;rsquo;s overall health and safety program may consist of several components or subprograms&amp;mdash;for example, a risk management program, a training program and a workplace inspection program.&lt;/p&gt;&lt;p&gt;Procedures are written documents&amp;mdash;in text and/or graphic format&amp;mdash;that describe how to carry out specific activities, and are sometimes in the form of a manual. Procedures might be quite broad for activities that require individual assessment of the risks (e.g. a procedure on arranging overseas travel and considering risks of deployment to overseas locations). They might also be quite specific for particular repetitive tasks that are performed on a day-to-day basis at a workplace (e.g. filling a tank at the workplace with a substance that is found at the workplace).&lt;/p&gt;&lt;p&gt;Procedures should provide clear, step-by-step instructions on the various jobs and tasks at the workplace. A collection of written procedures with a common purpose may constitute a program&amp;mdash;for example, a risk management program would consist of documented procedures for identifying hazards, assessing risk, and implementing, maintaining and reviewing risk controls.&lt;/p&gt;&lt;p&gt;In the work health and safety context, written procedures may cover activities such as:&lt;/p&gt;&lt;ul&gt;&lt;li&gt;performing hazardous work, e.g. working at heights or in confined spaces&lt;/li&gt;&lt;li&gt;using and maintaining machinery and other equipment, e.g. personal protective equipment&lt;/li&gt;&lt;li&gt;locking out, isolating and tagging plant&lt;/li&gt;&lt;li&gt;handling and storing materials, including chemicals&lt;/li&gt;&lt;li&gt;maintaining the work environment and work spaces&lt;/li&gt;&lt;li&gt;inspecting the workplace&lt;/li&gt;&lt;li&gt;managing people issues, including discrimination and bullying&lt;/li&gt;&lt;li&gt;consulting workers&lt;/li&gt;&lt;li&gt;providing information and training to workers&lt;/li&gt;&lt;li&gt;electing health and safety representatives, and establishing health and safety committees&lt;/li&gt;&lt;li&gt;consulting, cooperating and coordinating with other duty holders&lt;/li&gt;&lt;li&gt;resolving health and safety issues&lt;/li&gt;&lt;li&gt;reporting hazards and near misses&lt;/li&gt;&lt;li&gt;preventing and responding to incidents and emergencies&lt;/li&gt;&lt;li&gt;monitoring the health of workers&lt;/li&gt;&lt;li&gt;managing health and safety records.&lt;/li&gt;&lt;/ul&gt;&lt;p&gt;The development of appropriate procedures will assist an organisation in complying with its primary duty of care to ensure, so far as is reasonably practicable, the health and safety of its workers and others, including (among other things) the provision of safe systems of work.&lt;/p&gt;&lt;p&gt;The organisation&amp;rsquo;s health and safety program and procedures should be consistent with legislative requirements and seek to incorporate industry best practice. The temptation to create paper for its own sake should be avoided. Work health and safety procedures will only ever be effective if they are understood by workers and are implemented. Therefore, overly complex systems that are difficult to understand and that do not reflect the practices of the workplace will be ineffective.&lt;/p&gt;&lt;p&gt;The organisation should seek input from workers when developing and implementing its health and safety program and procedures. A senior person with suitable authority in the organisation should have overall responsibility for the program&amp;rsquo;s development and implementation. The organisation should consider incorporating a role for the health and safety committee, where applicable, into the program and various procedures.&lt;/p&gt;&lt;p&gt;The organisation should ensure that the program and procedures are available to all relevant individuals, and are easy to understand. Supervisors and managers should ensure that all workers (including contractors) are not only aware of the procedures, but also carry out work in accordance with the procedures. The procedures may include provisions for internal disciplinary action against individuals who fail to enforce or comply with the organisation&amp;rsquo;s health and safety rules.&lt;/p&gt;&lt;p&gt;The organisation should routinely measure and evaluate the effectiveness of its health and safety program, and update its procedures regularly to incorporate changes at the workplace and minimise any risk associated with those changes. Senior management should periodically review the program to assess whether it is achieving the organisation&amp;rsquo;s health and safety objectives.&lt;/p&gt;</x:v>
      </x:c>
      <x:c r="K20" s="6" t="n">
        <x:f>=HYPERLINK("#K20","Guidance Notes")</x:f>
      </x:c>
      <x:c r="L20" s="6" t="str">
        <x:v>&lt;p&gt;Put in place a written health and safety program and procedures.&lt;/p&gt;</x:v>
      </x:c>
      <x:c r="M20" s="6" t="n">
        <x:f>=HYPERLINK("#M20","Remediation")</x:f>
      </x:c>
      <x:c r="N20" s="6" t="str">
        <x:v>&lt;p&gt;Failure to implement a written health and safety program and clear procedures is likely to significantly increase the risk of workplace injuries and illnesses. A lack of adequate procedures will also increase the likelihood that the organisation fails to comply with its obligations under work health and safety legislation.&lt;/p&gt;</x:v>
      </x:c>
      <x:c r="O20" s="6" t="n">
        <x:f>=HYPERLINK("#O20","Consequence")</x:f>
      </x:c>
      <x:c r="P20" s="6" t="str">
        <x:v>&lt;p&gt;&lt;a href="https://www.legislation.gov.au/Details/C2011A00137" target="_blank" &gt;Work Health and Safety Act 2011 (Cth)&lt;/a&gt; s 19 (see also corresponding Acts in ACT, NSW, NT, QLD, SA and TAS)&lt;/p&gt;&lt;p&gt;AS/NZS 4801:2001 Occupational Health and Safety Management Systems&amp;mdash;Specification With Guidance For Use&lt;/p&gt;&lt;p&gt;AS/NZS 4804:2001 Occupational Health and Safety Management Systems&amp;mdash;General Guidelines on Principles, Systems and Supporting Techniques&lt;/p&gt;&lt;p&gt;BS OHSAS 18001:2007 Occupational Health and Safety Management Systems&amp;mdash;Requirements&lt;/p&gt;</x:v>
      </x:c>
      <x:c r="Q20" s="6" t="n">
        <x:f>=HYPERLINK("#Q20","Source")</x:f>
      </x:c>
      <x:c r="R20"/>
      <x:c r="S20"/>
      <x:c r="T20"/>
    </x:row>
    <x:row r="21" spans="1:20" ht="15.75" x14ac:dyDescent="0.25">
      <x:c r="A21" t="n">
        <x:v>11128</x:v>
      </x:c>
      <x:c r="B21" t="str">
        <x:v>NSW,NT,QLD,SA,TAS,ACT,COMMONWEALTH</x:v>
      </x:c>
      <x:c r="C21" t="inlineStr">
        <x:is>
          <x:t xml:space="preserve">  Subobligation</x:t>
        </x:is>
      </x:c>
      <x:c r="D21" t="inlineStr">
        <x:is>
          <x:t xml:space="preserve">  Training and Competency</x:t>
        </x:is>
      </x:c>
      <x:c r="E21" s="31" t="n">
        <x:v>3.05</x:v>
      </x:c>
      <x:c r="F21" s="8" t="n">
        <x:f>=HYPERLINK("#Obligation()","Work Health and Safety Management System")</x:f>
      </x:c>
      <x:c r="G21" s="8" t="n">
        <x:f>=HYPERLINK("#SubObligation()","Training and Competency")</x:f>
      </x:c>
      <x:c r="H21" s="6" t="n">
        <x:f>=HYPERLINK("#H21","Tools")</x:f>
      </x:c>
      <x:c r="I21" s="27" t="str">
        <x:v>&lt;b&gt;&lt;p&gt;Training and Competency&lt;/p&gt;Does the organisation provide training and instruction to ensure that workers have the necessary skills and competencies to carry out their work safely?&lt;/b&gt;</x:v>
      </x:c>
      <x:c r="J21" s="6" t="str">
        <x:v>&lt;p&gt;Training is a key factor in the successful operation of a work health and safety management system. An organisation in the harmonised jurisdictions should ensure that all managers, supervisors and workers (including temporary workers such as contractors and volunteers) receive appropriate health and safety training. The harmonised Work Health and Safety (WHS) Acts require organisations to provide health and safety training and instruction as part of their primary duty of care to workers. To fulfil their legal duty to exercise due diligence, officers (such as company directors) must take reasonable steps to ensure that their organisation has, and implements, a process to provide workers with health and safety training and instruction.&lt;/p&gt;&lt;p&gt;The organisation should develop and implement a written health and safety training plan based on the skills and competencies that managers, supervisors and workers need to do their jobs safely and effectively. Training should cover topics such as:&lt;/p&gt;&lt;ul&gt;&lt;li&gt;relevant work health and safety laws, rules and procedures&lt;/li&gt;&lt;li&gt;hazardous work and materials&lt;/li&gt;&lt;li&gt;safe use of equipment&lt;/li&gt;&lt;li&gt;use of personal protective equipment&lt;/li&gt;&lt;li&gt;emergency procedures&lt;/li&gt;&lt;li&gt;first aid.&lt;/li&gt;&lt;/ul&gt;&lt;p&gt;The training plan should include a training calendar and an induction program for all new and transferred workers. Induction training should be provided as soon as reasonably practicable and cover all relevant aspects of the organisation&amp;rsquo;s health and safety policy and procedures.&lt;/p&gt;&lt;p&gt;When recruiting and placing workers, the organisation should ensure that it allocates tasks according to workers&amp;rsquo; competency and level of training. Where necessary, the organisation should provide additional competency-based training to individuals to perform particular tasks at the workplace. Refresher training should be available to workers to ensure that they can continue to carry out their tasks safely. The Work Health and Safety (WHS) Regulations stipulate specific training and licensing requirements that apply to certain kinds of high-risk work, such as construction work, electrical work and asbestos removal.&lt;/p&gt;&lt;p&gt;Management should receive appropriate training in health and safety management principles and practices, and in the relevant health and safety legislation, including officers&amp;rsquo; duty to exercise due diligence.&lt;/p&gt;&lt;p&gt;The WHS Acts require organisations to consult with workers when making decisions about procedures for providing information and training for workers.&lt;/p&gt;&lt;p&gt;An organisation has a legal obligation to allow health and safety representatives to receive their training entitlement as a health and safety representative, and the organisation must cover the reasonable costs of that training. Members of health and safety committees should also receive appropriate training so they can undertake their duties effectively. Fire wardens and first aiders will also require specific training.&lt;/p&gt;&lt;p&gt;In consultation with workers, the organisation should develop a process for identifying and defining health and safety training needs. As part of this process, management should develop a competency profile (skills, knowledge, experience and qualifications) for each position in the organisation, identify any skills gaps, and prepare training plans for individuals. Job descriptions should detail the skills and competencies required for each position. See Tools &amp;ndash; Checklist: Training and instruction.&lt;/p&gt;&lt;p&gt;The organisation&amp;rsquo;s training plan should identify what resources are needed to deliver appropriate training&amp;mdash;for example, funds to cover training fees and attendance at workshops and seminars, suitable on-site training facilities, and reference materials such as manuals.&lt;/p&gt;&lt;p&gt;The organisation should ensure that all training and instruction is delivered by competent people with appropriate levels of knowledge, skills and experience.&lt;/p&gt;&lt;p&gt;The organisation should also ensure that the content of training is easy to understand, taking into account the language, literacy and numeracy skills of workers. It may need to use resources such as subtitled audio-visual material and on-the-job demonstrations to maximise workers&amp;rsquo; understanding.&lt;/p&gt;&lt;p&gt;The organisation should have a method for testing workers&amp;rsquo; understanding and skills after they receive training, and should provide additional training where results are unsatisfactory.&lt;/p&gt;&lt;p&gt;The organisation should ensure that it keeps accurate and up-to-date records of its training activities, including the type of training delivered, the names of the managers, supervisors and workers who received the training, and the results of any testing.&lt;/p&gt;&lt;p&gt;The organisation should review its health and safety training program on a regular basis to ensure that it remains up to date and continues to meet workers&amp;rsquo; needs. If changes occur in the work environment or the way work is carried out, the organisation should adapt its training program to ensure that workers&amp;rsquo; skills and competencies remain relevant.&lt;/p&gt;</x:v>
      </x:c>
      <x:c r="K21" s="6" t="n">
        <x:f>=HYPERLINK("#K21","Guidance Notes")</x:f>
      </x:c>
      <x:c r="L21" s="6" t="str">
        <x:v>&lt;p&gt;Put in place a training program to ensure that workers have the necessary skills and competencies to do their jobs safely.&lt;/p&gt;</x:v>
      </x:c>
      <x:c r="M21" s="6" t="n">
        <x:f>=HYPERLINK("#M21","Remediation")</x:f>
      </x:c>
      <x:c r="N21" s="6" t="str">
        <x:v>&lt;p&gt;An organisation&amp;rsquo;s failure to provide suitable and adequate training may be regarded as reckless conduct if that failure exposes someone to the risk of death or serious injury or illness, and if the organisation does not have a reasonable excuse for failing to provide the training. The maximum penalties for reckless conduct are:&lt;/p&gt;&lt;ul&gt;&lt;li&gt;$3 million for a body corporate&lt;/li&gt;&lt;li&gt;$600,000 and/or 5 years&amp;rsquo; imprisonment for an individual person conducting a business or undertaking or an officer of a business or undertaking&lt;/li&gt;&lt;li&gt;$300,000 and/or 5 years&amp;rsquo; imprisonment for other individuals (s 31).&lt;/li&gt;&lt;/ul&gt;&lt;p&gt;Lesser penalties apply where the failure to comply with a duty does not involve reckless conduct (ss&amp;nbsp;32&amp;ndash;33).&lt;/p&gt;&lt;p&gt;An organisation must ensure that information, training and instruction provided to a worker is suitable and adequate, and is provided in a way that is readily understandable to workers. Failure to comply with this obligation could result in a penalty of up to $30,000 for an organisation and $6,000 for an individual (reg 39). The same maximum penalties apply for failing to provide information, training and instruction to relevant workers in relation to:&lt;/p&gt;&lt;ul&gt;&lt;li&gt;implementing emergency procedures (regs 43 and 80)&lt;/li&gt;&lt;li&gt;using, wearing, storing and maintaining personal protective equipment (reg 44)&lt;/li&gt;&lt;li&gt;working in a confined space (reg 76)&lt;/li&gt;&lt;li&gt;operating amusement devices and passenger ropeways (reg 238)&lt;/li&gt;&lt;li&gt;operating, testing, maintaining or decommissioning a hazardous chemicals system (reg 363)&lt;/li&gt;&lt;li&gt;removing asbestos and carrying out other asbestos-related work (penalties also apply for failing to keep records of asbestos training) (reg 445, regs 460&amp;ndash;461).&lt;/li&gt;&lt;/ul&gt;&lt;p&gt;Failure to provide general construction induction training to relevant workers can result in a penalty of up to $18,000 for an organisation and $3,600 for an individual (reg 316). The same maximum penalties apply if an organisation directs or allows untrained workers to carry out construction work (reg 317).&lt;/p&gt;&lt;p&gt;Penalties apply for failing to meet the obligation to train health and safety representatives. The maximum penalties are $50,000 for an organisation and $10,000 for an individual (s 72).&lt;/p&gt;</x:v>
      </x:c>
      <x:c r="O21" s="6" t="n">
        <x:f>=HYPERLINK("#O21","Consequence")</x:f>
      </x:c>
      <x:c r="P21" s="6" t="str">
        <x:v>&lt;p&gt;&lt;a href="https://www.legislation.gov.au/Details/C2011A00137" target="_blank" &gt;Work Health and Safety Act 2011 (Cth)&lt;/a&gt; ss 19, 27, 49, 72 (see also corresponding Acts in ACT, NSW, NT, QLD, SA and TAS)&lt;/p&gt;&lt;p&gt;&lt;a href="https://www.legislation.gov.au/Details/F2011L02664" target="_blank" &gt;Work Health and Safety Regulations 2011 (Cth)&lt;/a&gt; regs 21, 39, 43, 76, 80, 82, 95, 109, 146, 168, 171, 171A, 238, 316&amp;ndash;325, 363, 379, 434, 445, 544, 584 (see also corresponding regulations in ACT, NSW, NT, QLD, SA and TAS)&lt;/p&gt;&lt;p&gt;AS/NZS 4801:2001 Occupational Health and Safety Management Systems&amp;mdash;Specification With Guidance For Use&lt;/p&gt;&lt;p&gt;AS/NZS 4804:2001 Occupational Health and Safety Management Systems&amp;mdash;General Guidelines on Principles, Systems and Supporting Techniques&lt;/p&gt;&lt;p&gt;BS OHSAS 18001:2007 Occupational Health and Safety Management Systems&amp;mdash;Requirements&lt;/p&gt;&lt;p&gt;Communicating Occupational Health and Safety Across Languages Compliance Code &amp;ndash; September 2008&lt;/p&gt;</x:v>
      </x:c>
      <x:c r="Q21" s="6" t="n">
        <x:f>=HYPERLINK("#Q21","Source")</x:f>
      </x:c>
      <x:c r="R21"/>
      <x:c r="S21"/>
      <x:c r="T21"/>
    </x:row>
    <x:row r="22" spans="1:20" ht="15.75" x14ac:dyDescent="0.25">
      <x:c r="A22" t="n">
        <x:v>11137</x:v>
      </x:c>
      <x:c r="B22" t="str">
        <x:v>NSW,NT,QLD,SA,TAS,ACT,COMMONWEALTH</x:v>
      </x:c>
      <x:c r="C22" t="inlineStr">
        <x:is>
          <x:t xml:space="preserve">  Subobligation</x:t>
        </x:is>
      </x:c>
      <x:c r="D22" t="inlineStr">
        <x:is>
          <x:t xml:space="preserve">  Monitoring, Measurement and Evaluation</x:t>
        </x:is>
      </x:c>
      <x:c r="E22" s="31" t="n">
        <x:v>3.06</x:v>
      </x:c>
      <x:c r="F22" s="8" t="n">
        <x:f>=HYPERLINK("#Obligation()","Work Health and Safety Management System")</x:f>
      </x:c>
      <x:c r="G22" s="8" t="n">
        <x:f>=HYPERLINK("#SubObligation()","Monitoring, Measurement and Evaluation")</x:f>
      </x:c>
      <x:c r="H22" s="6" t="n">
        <x:f>=HYPERLINK("#H22","Tools")</x:f>
      </x:c>
      <x:c r="I22" s="27" t="str">
        <x:v>&lt;b&gt;&lt;p&gt;Monitoring, Measurement and Evaluation&lt;/p&gt;Does the organisation routinely monitor, measure and evaluate its health and safety performance?&lt;/b&gt;</x:v>
      </x:c>
      <x:c r="J22" s="6" t="str">
        <x:v>&lt;p&gt;An organisation in the harmonised jurisdictions should have in place a process for monitoring, measuring and evaluating its work health and safety performance. A rigorous monitoring and evaluation process will enable the organisation to identify any failures or weaknesses in the implementation of its health and safety program and procedures, and take timely corrective action. Monitoring, measuring and evaluating also provide assurance that the organisation is complying with its legal obligations.&lt;/p&gt;&lt;p&gt;An organisation with management or control over a workplace must, so far as is reasonably practicable, monitor the health of workers and conditions at the workplace to prevent illness or injury. The organisation must consult workers when deciding on procedures for monitoring health and workplace conditions. Additional health monitoring requirements apply to workers who use, generate, handle or store hazardous chemicals, and workers who carry out lead-risk work, asbestos removal and other asbestos-related work.&lt;/p&gt;&lt;p&gt;Some types of workplace monitoring are mandatory under the harmonised Work Health and Safety (WHS) Regulations or other specific laws, such as electrical safety laws in some jurisdictions. These include monitoring of:&lt;/p&gt;&lt;ul&gt;&lt;li&gt;airborne contaminant levels in certain circumstances&lt;/li&gt;&lt;li&gt;noise&lt;/li&gt;&lt;li&gt;conditions within a confined space&lt;/li&gt;&lt;li&gt;risk control measures for electrical work on energised electrical equipment&lt;/li&gt;&lt;li&gt;risks associated with installing, constructing, commissioning, decommissioning and dismantling plant&lt;/li&gt;&lt;li&gt;risk control measures for high-risk construction work&lt;/li&gt;&lt;li&gt;air in an asbestos removal area.&lt;/li&gt;&lt;/ul&gt;&lt;p&gt;Similarly, some types of testing and inspection are mandatory under WHS Regulations. These include testing and inspection to ensure the safety of:&lt;/p&gt;&lt;ul&gt;&lt;li&gt;electrical equipment&lt;/li&gt;&lt;li&gt;general plant and structures, such as pressure equipment, scaffolds, presence-sensing safeguarding systems, cranes, amusement devices and passenger ropeways.&lt;/li&gt;&lt;/ul&gt;&lt;p&gt;The organisation should ensure that monitoring and testing is always carried out by competent people who have the necessary skills, knowledge and experience to identify hazards and system or equipment failures. It should also ensure that specialised testing equipment is appropriately calibrated, maintained and stored.&lt;/p&gt;&lt;p&gt;The organisation should regularly inspect, test and monitor equipment and the work environment, based on the assessed level of risk, and seek input and involvement from workers in these processes. Engineering controls, including safety devices, should be regularly inspected and tested. The organisation should develop tailored checklists and schedules for inspections and tests.&lt;/p&gt;&lt;p&gt;The organisation should put in place appropriate procedures to monitor the health of workers exposed to specific hazards. It should tailor the health monitoring regime to the specific risks of the workplace. The organisation should record&amp;mdash;and report as required&amp;mdash;the results of health monitoring and take action to address any adverse effects of exposure.&lt;/p&gt;&lt;p&gt;The organisation should refer to its targets and performance indicators when measuring and evaluating its health and safety performance. The evaluation process should include both quantitative elements (e.g. the number of workplace inspections conducted, and the number of notifiable incidents in a given period) and qualitative elements (e.g. the quality of training provided, and workers&amp;rsquo; perceptions of health and safety standards at the workplace). The organisation should analyse its data to identify any adverse trends, and take corrective action where necessary.&lt;/p&gt;&lt;p&gt;A reliable record management system is essential for accurately measuring and evaluating health and safety performance, and comparing results over time. The organisation should keep up-to-date records of incidents, workplace inspections, safety tests, health monitoring, training, audits, reviews and other relevant matters. It should ensure that documents are easily retrievable and retained for an appropriate period. Under work health and safety legislation, certain kinds of records must be retained for a prescribed period.&lt;/p&gt;&lt;p&gt;The benefits of monitoring the workplace and recording results include early identification of hazards and an ability to disprove exposure in the event of future claims (e.g. for asbestos-related illnesses).&lt;/p&gt;</x:v>
      </x:c>
      <x:c r="K22" s="6" t="n">
        <x:f>=HYPERLINK("#K22","Guidance Notes")</x:f>
      </x:c>
      <x:c r="L22" s="6" t="str">
        <x:v>&lt;p&gt;Put in place a program for monitoring, measuring and evaluating health and safety performance, including health monitoring and safety inspections.&lt;/p&gt;</x:v>
      </x:c>
      <x:c r="M22" s="6" t="n">
        <x:f>=HYPERLINK("#M22","Remediation")</x:f>
      </x:c>
      <x:c r="N22" s="6" t="str">
        <x:v>&lt;p&gt;An organisation&amp;rsquo;s failure to adequately monitor the health of workers and the conditions at the workplace may be regarded as reckless conduct if that failure exposes someone to the risk of death or serious injury or illness, and if the organisation does not have a reasonable excuse for failing to undertake the monitoring. The maximum penalties for reckless conduct are:&lt;/p&gt;&lt;ul&gt;&lt;li&gt;$3 million for a body corporate&lt;/li&gt;&lt;li&gt;$600,000 and/or 5 years' imprisonment for an individual person conducting a business or undertaking or an officer of a business or undertaking&lt;/li&gt;&lt;li&gt;$300,000 and/or 5 years' imprisonment for other individuals (s 31).&lt;/li&gt;&lt;/ul&gt;&lt;p&gt;Lesser penalties apply where the failure to comply with a duty does not involve reckless conduct (ss&amp;nbsp;32&amp;ndash;33).&lt;/p&gt;&lt;p&gt;The WHS Regulations prescribe a range of penalties for failing to adequately monitor specified workplace conditions and failing to properly inspect and test certain kinds of plant.&lt;/p&gt;</x:v>
      </x:c>
      <x:c r="O22" s="6" t="n">
        <x:f>=HYPERLINK("#O22","Consequence")</x:f>
      </x:c>
      <x:c r="P22" s="6" t="str">
        <x:v>&lt;p&gt;&lt;a href="https://www.legislation.gov.au/Details/C2011A00137" target="_blank" &gt;Work Health and Safety Act 2011 (Cth)&lt;/a&gt; ss 19, 49 (see also corresponding Acts in ACT, NSW, NT, QLD, SA and TAS)&lt;/p&gt;&lt;p&gt;&lt;a href="https://www.legislation.gov.au/Details/F2011L02664" target="_blank" &gt;Work Health and Safety Regulations 2011 (Cth)&lt;/a&gt; regs 50, 58, 69, 150, 161, 165, 204, 213, 224&amp;ndash;226, 235, 240&amp;ndash;241, 299, 309, 368&amp;ndash;378, 405&amp;ndash;418, 435&amp;ndash;444, 473&amp;ndash;477, 482 (see also corresponding regulations in ACT, NSW, NT, QLD, SA and TAS). Note industry-specific legislation in relation to some requirements, e.g. the Electrical Safety Act 2002 (Qld), which has different requirements to regs 150, 161 and 165 above.&lt;/p&gt;&lt;p&gt;AS/NZS 4801:2001 Occupational Health and Safety Management Systems&amp;mdash;Specification With Guidance For Use&lt;/p&gt;&lt;p&gt;AS/NZS 4804:2001 Occupational Health and Safety Management Systems&amp;mdash;General Guidelines On Principles, Systems and Supporting Techniques&lt;/p&gt;&lt;p&gt;BS OHSAS 18001:2007 Occupational Health and Safety Management Systems&amp;mdash;Requirements&lt;/p&gt;</x:v>
      </x:c>
      <x:c r="Q22" s="6" t="n">
        <x:f>=HYPERLINK("#Q22","Source")</x:f>
      </x:c>
      <x:c r="R22"/>
      <x:c r="S22"/>
      <x:c r="T22"/>
    </x:row>
    <x:row r="23" spans="1:20" ht="15.75" x14ac:dyDescent="0.25">
      <x:c r="A23" t="n">
        <x:v>11147</x:v>
      </x:c>
      <x:c r="B23" t="str">
        <x:v>NSW,NT,QLD,SA,TAS,ACT,COMMONWEALTH</x:v>
      </x:c>
      <x:c r="C23" t="inlineStr">
        <x:is>
          <x:t xml:space="preserve">  Subobligation</x:t>
        </x:is>
      </x:c>
      <x:c r="D23" t="inlineStr">
        <x:is>
          <x:t xml:space="preserve">  Auditing a Health and Safety System</x:t>
        </x:is>
      </x:c>
      <x:c r="E23" s="31" t="n">
        <x:v>3.07</x:v>
      </x:c>
      <x:c r="F23" s="8" t="n">
        <x:f>=HYPERLINK("#Obligation()","Work Health and Safety Management System")</x:f>
      </x:c>
      <x:c r="G23" s="8" t="n">
        <x:f>=HYPERLINK("#SubObligation()","Auditing a Health and Safety System")</x:f>
      </x:c>
      <x:c r="H23" s="6" t="n">
        <x:f>=HYPERLINK("#H23","Tools")</x:f>
      </x:c>
      <x:c r="I23" s="27" t="str">
        <x:v>&lt;b&gt;&lt;p&gt;Auditing a Health and Safety System&lt;/p&gt;Does the organisation arrange periodic audits of its work health and safety management system?&lt;/b&gt;</x:v>
      </x:c>
      <x:c r="J23" s="6" t="str">
        <x:v>&lt;p&gt;It is important that an organisation implements an audit program to verify the effectiveness of its work health and safety management system. By gathering objective evidence, auditors can help an organisation to identify problems and determine whether the organisation is meeting its performance objectives.&lt;/p&gt;&lt;p&gt;An organisation should ensure that periodic audits are performed to verify that workplace activities comply with health and safety procedures, and that those procedures are properly implemented and maintained across the organisation.&lt;/p&gt;&lt;p&gt;The organisation should give priority to addressing any deficiencies highlighted by an audit, ensuring that corrective actions are implemented promptly and effectively.&lt;/p&gt;&lt;p&gt;Some large businesses and local councils are registered as self-insured employers who manage their own workers&amp;rsquo; compensation claims. Potential and existing self-insured employers must undergo audits of their work health and safety management systems by a self-insurance auditor who is accredited by the relevant regulator.&lt;/p&gt;&lt;p&gt;The organisation should develop a documented health and safety audit program that covers:&lt;/p&gt;&lt;ul&gt;&lt;li&gt;the scope, frequency and duration of audits&lt;/li&gt;&lt;li&gt;audit criteria and methodologies&lt;/li&gt;&lt;li&gt;auditor selection&lt;/li&gt;&lt;li&gt;reporting and analysis of results&lt;/li&gt;&lt;li&gt;the communication of results to workers&lt;/li&gt;&lt;li&gt;corrective action.&lt;/li&gt;&lt;/ul&gt;&lt;p&gt;The organisation needs to decide what audit standard it will use. For example, it may decide to use AS/NZS 4801:2001 Occupational health and safety management systems&amp;mdash;Specification with guidance for use and AS/NZS 4804:2001 Occupational health and safety management systems&amp;mdash;General guidelines on principles, systems and supporting techniques, or OHSAS 18001:2007 Occupational health and safety management systems&amp;mdash;Requirements. An audit by an accredited certifying body is required to achieve certification against these standards.&lt;/p&gt;&lt;p&gt;How often an organisation audits its entire work health and safety management system will depend in part on the assessed level of risk at the workplace. The organisation may decide to perform targeted audits of higher-risk areas at more frequent intervals. Each audit should take into account the results of previous audits.&lt;/p&gt;&lt;p&gt;The organisation should appoint a qualified auditor or audit team that has technical knowledge of the sector in which the organisation operates, as well as technical competence in health and safety, and training and experience in auditing techniques. The organisation may select either an internal or external auditor, and should ensure that auditors are free to carry out their work independently and objectively. Internal auditors may need to receive training to perform their auditing functions effectively.&lt;/p&gt;&lt;p&gt;The audit procedure should include observation of work practices and discussions and/or interviews with a reasonable number of workers. The auditors should document their findings in an audit report that highlights any deficiencies against the audit criteria.&lt;/p&gt;&lt;p&gt;The findings of audits should be reported to management and officers of the organisation. Receiving information on audits and responding appropriately to the information will assist officers in discharging their due diligence obligations.&lt;/p&gt;&lt;p&gt;The National self-insurer WHS management system audit tool (version 3), which is based on AS/NZS 4801:2001 and AS/NZS 4804:2001, is a useful guidance document for assessing the legislative compliance and the effectiveness of an organisation&amp;rsquo;s health and safety policy and procedures, and its overall health and safety management system. It applies specifically to those organisations that are self-insured for workers&amp;rsquo; compensation under the Comcare scheme. See Tool &amp;ndash; National self-insurer WHS management system audit tool, version 3, September 2014 (Comcare).&lt;/p&gt;</x:v>
      </x:c>
      <x:c r="K23" s="6" t="n">
        <x:f>=HYPERLINK("#K23","Guidance Notes")</x:f>
      </x:c>
      <x:c r="L23" s="6" t="str">
        <x:v>&lt;p&gt;Arrange periodic audits of the entire work health and safety management system, and more frequent audits of higher-risk areas where necessary.&lt;/p&gt;</x:v>
      </x:c>
      <x:c r="M23" s="6" t="n">
        <x:f>=HYPERLINK("#M23","Remediation")</x:f>
      </x:c>
      <x:c r="N23" s="6" t="str">
        <x:v>&lt;p&gt;Failure to arrange independent health and safety audits is likely to increase the risk that deficiencies in the organisation&amp;rsquo;s work health and safety management system will go undetected, which in turn may increase the risk of workplace injuries and illnesses. In the absence of audit reports, the organisation may also find it more difficult to demonstrate its compliance with work health and safety legislation. Officers may also find it difficult to demonstrate that they are appropriately discharging their due diligence obligations.&lt;/p&gt;</x:v>
      </x:c>
      <x:c r="O23" s="6" t="n">
        <x:f>=HYPERLINK("#O23","Consequence")</x:f>
      </x:c>
      <x:c r="P23" s="6" t="str">
        <x:v>&lt;p&gt;AS/NZS 4801:2001 Occupational Health and Safety Management Systems&amp;mdash;Specification With Guidance For Use&lt;/p&gt;&lt;p&gt;AS/NZS 4804:2001 Occupational Health and Safety Management Systems&amp;mdash;General Guidelines on Principles, Systems and Supporting Techniques&lt;/p&gt;&lt;p&gt;BS OHSAS 18001:2007 Occupational Health and Safety Management Systems&amp;mdash;Requirements&lt;/p&gt;</x:v>
      </x:c>
      <x:c r="Q23" s="6" t="n">
        <x:f>=HYPERLINK("#Q23","Source")</x:f>
      </x:c>
      <x:c r="R23"/>
      <x:c r="S23"/>
      <x:c r="T23"/>
    </x:row>
    <x:row r="24" spans="1:20" ht="15.75" x14ac:dyDescent="0.25">
      <x:c r="A24" t="n">
        <x:v>11161</x:v>
      </x:c>
      <x:c r="B24" t="str">
        <x:v>NSW,NT,QLD,SA,TAS,ACT,COMMONWEALTH</x:v>
      </x:c>
      <x:c r="C24" t="inlineStr">
        <x:is>
          <x:t xml:space="preserve">  Subobligation</x:t>
        </x:is>
      </x:c>
      <x:c r="D24" t="inlineStr">
        <x:is>
          <x:t xml:space="preserve">  Reviewing a Health and Safety System</x:t>
        </x:is>
      </x:c>
      <x:c r="E24" s="31" t="n">
        <x:v>3.08</x:v>
      </x:c>
      <x:c r="F24" s="8" t="n">
        <x:f>=HYPERLINK("#Obligation()","Work Health and Safety Management System")</x:f>
      </x:c>
      <x:c r="G24" s="8" t="n">
        <x:f>=HYPERLINK("#SubObligation()","Reviewing a Health and Safety System")</x:f>
      </x:c>
      <x:c r="H24" s="6" t="n">
        <x:f>=HYPERLINK("#H24","Tools")</x:f>
      </x:c>
      <x:c r="I24" s="27" t="str">
        <x:v>&lt;b&gt;&lt;p&gt;Reviewing a Health and Safety System&lt;/p&gt;Does the organisation review its work health and safety management system at least annually?&lt;/b&gt;</x:v>
      </x:c>
      <x:c r="J24" s="6" t="str">
        <x:v>&lt;p&gt;An organisation should have a documented program to review its work health and safety management system at least annually to ensure that the system is continuing to eliminate or reduce risks and prevent workplace injuries and illnesses. A review program enables the organisation to identify any failures or gaps in its system and provides a foundation for implementing ongoing improvements.&lt;/p&gt;&lt;p&gt;In certain industries, such as for major hazard facilities, there are specific requirements in the harmonised Work Health and Safety Regulations that prescribe when a health and safety management system must be reviewed.&lt;/p&gt;&lt;p&gt;The review should seek to establish whether duty holders in the organisation can demonstrate that they have discharged their legal obligations effectively.&lt;/p&gt;&lt;p&gt;The organisation should establish clear terms of reference for the review of its work health and safety management system. The review should take into account monitoring and evaluation and audit results, and the organisation&amp;rsquo;s health and safety policy, objectives, targets and performance indicators.&lt;/p&gt;&lt;p&gt;The organisation may appoint either an internal reviewer or review team, or an external health and safety consultant, to conduct the review. Senior management should carefully oversee the review and be accountable for the results. Workers should participate in the review process.&lt;/p&gt;&lt;p&gt;The review should pay particular attention to changing circumstances within the organisation and its operating environment&amp;mdash;such as a change in production methods or new legal requirements&amp;mdash;to ensure that the system remains suitable and relevant.&lt;/p&gt;&lt;p&gt;The reviewer or review team should prepare a written report at the conclusion of the review. The report should contain a list of recommended actions to improve health and safety performance. Senior management should provide leadership in ensuring that the recommendations are implemented. The review may result in changes to the organisation&amp;rsquo;s health and safety policy, objectives, targets, performance indicators, program and procedures.&lt;/p&gt;</x:v>
      </x:c>
      <x:c r="K24" s="6" t="n">
        <x:f>=HYPERLINK("#K24","Guidance Notes")</x:f>
      </x:c>
      <x:c r="L24" s="6" t="str">
        <x:v>&lt;p&gt;Put in place a written program to review the work health and safety management system.&lt;/p&gt;</x:v>
      </x:c>
      <x:c r="M24" s="6" t="n">
        <x:f>=HYPERLINK("#M24","Remediation")</x:f>
      </x:c>
      <x:c r="N24" s="6" t="str">
        <x:v>&lt;p&gt;Failure to review a work health and safety management system is likely to result in the decreased effectiveness of the system in preventing workplace injuries and illnesses. In the absence of a documented review process, the organisation is less likely to identify system failures and adapt the system to changing circumstances in a timely way. By not reviewing its management system at least annually, the organisation may also increase the risk of noncompliance with work health and safety legal obligations.&lt;/p&gt;&lt;p&gt;For major hazard facilities where a review of the safety management system is specifically required on the happening of certain events, a failure to review the system exposes an organisation to a penalty of up to $30,000 (reg 559).&lt;/p&gt;</x:v>
      </x:c>
      <x:c r="O24" s="6" t="n">
        <x:f>=HYPERLINK("#O24","Consequence")</x:f>
      </x:c>
      <x:c r="P24" s="6" t="str">
        <x:v>&lt;p&gt;&lt;a href="https://www.legislation.gov.au/Details/F2011L02664" target="_blank" &gt;Work Health and Safety Regulations 2011 (Cth)&lt;/a&gt; reg 559 (see also corresponding regulations in NSW, NT, QLD, SA and TAS).&lt;/p&gt;&lt;p&gt;AS/NZS 4801:2001 Occupational Health and Safety Management Systems&amp;mdash;Specification With Guidance For Use&lt;/p&gt;&lt;p&gt;AS/NZS 4804:2001 Occupational Health and Safety Management Systems&amp;mdash;General Guidelines on Principles, Systems and Supporting Techniques&lt;/p&gt;&lt;p&gt;BS OHSAS 18001:2007 Occupational Health and Safety Management Systems&amp;mdash;Requirements&lt;/p&gt;</x:v>
      </x:c>
      <x:c r="Q24" s="6" t="n">
        <x:f>=HYPERLINK("#Q24","Source")</x:f>
      </x:c>
      <x:c r="R24"/>
      <x:c r="S24"/>
      <x:c r="T24"/>
    </x:row>
    <x:row r="25" spans="1:20" ht="15.75" x14ac:dyDescent="0.25">
      <x:c r="A25" t="n">
        <x:v>11104</x:v>
      </x:c>
      <x:c r="B25" t="str">
        <x:v>NSW,NT,QLD,SA,TAS,ACT,COMMONWEALTH</x:v>
      </x:c>
      <x:c r="C25" t="str">
        <x:v>Obligation</x:v>
      </x:c>
      <x:c r="D25" t="str">
        <x:v>Risk and Hazard Management</x:v>
      </x:c>
      <x:c r="E25" s="31" t="n">
        <x:v>4.00</x:v>
      </x:c>
      <x:c r="F25" s="8" t="n">
        <x:f>=HYPERLINK("#Obligation()","Risk and Hazard Management")</x:f>
      </x:c>
      <x:c r="G25" s="8"/>
      <x:c r="H25" s="6" t="n">
        <x:f>=HYPERLINK("#H25","Tools")</x:f>
      </x:c>
      <x:c r="I25" s="27" t="str">
        <x:v>&lt;b&gt;&lt;p&gt;Risk and Hazard Management&lt;/p&gt;Does the organisation have a structured, documented and effective process for managing risks and hazards at the workplace?&lt;/b&gt;</x:v>
      </x:c>
      <x:c r="J25" s="6" t="str">
        <x:v>&lt;p&gt;Work health and safety legislation places a primary duty of care on organisations to eliminate, so far as is reasonably practicable, the risks that workplace hazards pose to workers, others at the workplace (for example, customers or visitors) and other people who might be exposed to risks from the work undertaken by the organisation. If it is not reasonably practicable to eliminate the risks, an organisation must do what is reasonably practicable to minimise them.&lt;/p&gt;&lt;p&gt;A &amp;lsquo;hazard&amp;rsquo; refers to a situation or thing that has the potential to harm a person physically and/or psychologically, such as chemicals, a moving forklift or bullying. A &amp;lsquo;risk&amp;rsquo; is the possibility that harm (death, injury or illness) might occur if someone is exposed to a hazard.&lt;/p&gt;&lt;p&gt;Risk control measures are required to follow a hierarchy of controls, where elimination of the risk is the most preferable control and the use of administrative controls and personal protective equipment is the lowest-order control.&lt;/p&gt;&lt;p&gt;Officers (for example, company directors) must exercise due diligence to ensure that the organisation manages health and safety risks effectively. This includes taking reasonable steps to:&lt;/p&gt;&lt;ul&gt;&lt;li&gt;Understand the workplace hazards and risks by acquiring relevant knowledge&lt;/li&gt;&lt;li&gt;Investigate the availability and suitability of ways to eliminate or minimise the risks&lt;/li&gt;&lt;li&gt;Ensure that appropriate resources and processes are in place to manage the risks&lt;/li&gt;&lt;/ul&gt;&lt;p&gt;A comprehensive risk management program consists of the following steps:&lt;/p&gt;&lt;ol&gt;&lt;li&gt;Hazard identification&lt;/li&gt;&lt;li&gt;Risk assessment&lt;/li&gt;&lt;li&gt;Risk control implementation&lt;/li&gt;&lt;li&gt;Risk control maintenance&lt;/li&gt;&lt;li&gt;Risk control review&lt;/li&gt;&lt;/ol&gt;&lt;p&gt;An effective risk management program requires the participation of staff at all levels of the organisation. Senior management should promote a strong culture of health and safety risk management in the organisation, and encourage staff to report hazards immediately. If the workplace has a health and safety committee, then committee members should be involved in managing risks in the workplace. The organisation should also consult, cooperate and coordinate with other duty holders with whom it shares responsibility for a work health and safety matter.&lt;/p&gt;&lt;p&gt;After assessing a risk and ways of eliminating or minimising the risk, the organisation should then consider whether the cost of implementing available and suitable control measures is proportionate to the risk. The greater the risk of harm occurring, the less weight the organisation should give to the financial cost of implementing the most effective control measures for that risk. An organisation can only argue that it is not reasonably practicable for it to implement a control measure if the cost of doing so is grossly disproportionate to the risk being controlled.&lt;/p&gt;&lt;p&gt;When managing risks, the organisation should give special consideration to vulnerable groups, including:&lt;/p&gt;&lt;ul&gt;&lt;li&gt;Shift workers, contractors and other temporary workers who may be less familiar with the workplace and work procedures&lt;/li&gt;&lt;li&gt;New and young workers who may be inexperienced or lack the maturity to recognise risks&lt;/li&gt;&lt;li&gt;Workers with poor literacy skills&lt;/li&gt;&lt;li&gt;New or expectant mothers who may be more prone to health-related risks&lt;/li&gt;&lt;li&gt;People with a disability&lt;/li&gt;&lt;/ul&gt;&lt;p&gt;Early identification and assessment of hazards and risks, coupled with timely and effective intervention, are essential to preventing workplace injuries and illnesses. Once the organisation has established its work health and safety policy and overarching objectives, it should plan its approach to risk management, and then develop and implement a written risk management program.&lt;/p&gt;&lt;p&gt;Triggers for activating the organisation&amp;rsquo;s risk management process may be:&lt;/p&gt;&lt;ul&gt;&lt;li&gt;A workplace incident&lt;/li&gt;&lt;li&gt;Changes that give rise to potential new hazards (e.g. the use of new equipment, or a change in work processes or work location)&lt;/li&gt;&lt;li&gt;Monitoring or testing results that reveal a failure of risk control measures&lt;/li&gt;&lt;li&gt;Concerns raised by workers, health and safety representatives or the health and safety committee&lt;/li&gt;&lt;li&gt;The availability of new information about a particular hazard&lt;/li&gt;&lt;li&gt;A change in legal requirements&lt;/li&gt;&lt;/ul&gt;&lt;p&gt;Once it has implemented a program of risk control measures, the organisation should have in place procedures for monitoring and evaluating the ongoing effectiveness of those measures, and take corrective action where necessary. The organisation should also periodically review the performance of its health and safety risk management system.&lt;/p&gt;&lt;p&gt;The organisation should ensure that any person who carries out an activity under the risk management process has the necessary skills and experience to perform that activity competently &amp;ndash; including providing training where required. The organisation may decide to engage an external consultant if it does not have sufficient in-house knowledge or experience to identify and manage risks, or if risks are complex.&lt;/p&gt;&lt;p&gt;Consultation with workers and record keeping are required throughout the risk management process. The organisation should ensure that it documents its risk management activities, including consultation, to demonstrate compliance with legal obligations and facilitate future reviews. For example, the organisation may maintain a risk register that details the hazards identified, the risks assessed, the control measures selected, and how and when those measures are implemented, monitored and reviewed. Appendix B of the Model code of practice - How to manage work health and safety risks, December 2011 (Safe Work Australia) provides a sample risk register.&lt;/p&gt;</x:v>
      </x:c>
      <x:c r="K25" s="6" t="n">
        <x:f>=HYPERLINK("#K25","Guidance Notes")</x:f>
      </x:c>
      <x:c r="L25" s="6" t="str">
        <x:v>&lt;p&gt;Put in place a structured, documented and effective process for identifying and managing risks and hazards at the workplace.&lt;/p&gt;</x:v>
      </x:c>
      <x:c r="M25" s="6" t="n">
        <x:f>=HYPERLINK("#M25","Remediation")</x:f>
      </x:c>
      <x:c r="N25" s="6" t="str">
        <x:v>&lt;p&gt;The harmonised Acts state that an organisation&amp;rsquo;s failure to take reasonably practicable steps to eliminate or minimise risks may be regarded as reckless conduct if that failure exposes someone to the risk of death or serious injury or illness, and if the organisation does not have a reasonable excuse for failing to identify and control the risks. The maximum penalties for reckless conduct are:&lt;/p&gt;&lt;ul&gt;&lt;li&gt;$3 million for a body corporate&lt;/li&gt;&lt;li&gt;$600,000 and/or 5 years&amp;rsquo; imprisonment for an individual person conducting a business or undertaking or an officer of a business or undertaking&lt;/li&gt;&lt;li&gt;$300,000 and/or 5 years&amp;rsquo; imprisonment for other individuals (s 31).&lt;/li&gt;&lt;/ul&gt;&lt;p&gt;Lesser penalties apply where the failure to comply with a duty does not involve reckless conduct (ss&amp;nbsp;32&amp;ndash;33).&lt;/p&gt;&lt;p&gt;The harmonised Work Health and Safety Regulations impose penalties for failing to adequately manage risks or implement specific control measures for plant and structures and various kinds of hazardous work, such as work in confined spaces, electrical work, diving work, construction, and work with hazardous chemicals and asbestos. In such cases, the maximum penalties are $30,000 for an organisation and $6,000 for an individual. Similar penalties apply in some cases for failing to keep written records of risk assessments and control measures.&lt;/p&gt;&lt;p&gt;Penalties also apply for failing to provide adequate information, training and instruction to workers on the nature of the risks associated with the work they carry out, and on the risk control measures implemented. The maximum penalties are $30,000 for an organisation and $6,000 for an individual (reg 39).&lt;/p&gt;&lt;p&gt;Penalties for not consulting workers can be up to $100,000 for an organisation and $20,000 for an individual (s 47).&lt;/p&gt;</x:v>
      </x:c>
      <x:c r="O25" s="6" t="n">
        <x:f>=HYPERLINK("#O25","Consequence")</x:f>
      </x:c>
      <x:c r="P25" s="6" t="str">
        <x:v>&lt;p&gt;&lt;a href="file:///C:\Users\T0166020\AppData\Local\Temp\Temp1_files-Core%20Obligations%20(to%20be%20approved)%20-%20Harmonised.zip\Work%20Health%20and%20Safety%20Act%202011%20(Cth)" target="_blank" &gt;Work Health and Safety Act 2011 (Cth)&lt;/a&gt; (ss 17&amp;ndash;19) (see also corresponding Acts in ACT, NSW, NT, QLD, SA and TAS)&lt;/p&gt;&lt;p&gt;&lt;a href="https://www.legislation.gov.au/Details/F2011L02664" target="_blank" &gt;Work Health and Safety Regulations 2011 (Cth)&lt;/a&gt; (reg 36) (see also corresponding regulations in ACT, NSW, NT, QLD, SA and TAS)&lt;/p&gt;&lt;p&gt;AS/NZS ISO31000:2009 Risk Management &amp;ndash; Principles and Guidelines&lt;/p&gt;</x:v>
      </x:c>
      <x:c r="Q25" s="6" t="n">
        <x:f>=HYPERLINK("#Q25","Source")</x:f>
      </x:c>
      <x:c r="R25"/>
      <x:c r="S25"/>
      <x:c r="T25"/>
    </x:row>
    <x:row r="26" spans="1:20" ht="15.75" x14ac:dyDescent="0.25">
      <x:c r="A26" t="n">
        <x:v>11115</x:v>
      </x:c>
      <x:c r="B26" t="str">
        <x:v>NSW,NT,QLD,SA,TAS,ACT,COMMONWEALTH</x:v>
      </x:c>
      <x:c r="C26" t="inlineStr">
        <x:is>
          <x:t xml:space="preserve">  Subobligation</x:t>
        </x:is>
      </x:c>
      <x:c r="D26" t="inlineStr">
        <x:is>
          <x:t xml:space="preserve">  Hazard Identification</x:t>
        </x:is>
      </x:c>
      <x:c r="E26" s="31" t="n">
        <x:v>4.01</x:v>
      </x:c>
      <x:c r="F26" s="8" t="n">
        <x:f>=HYPERLINK("#Obligation()","Risk and Hazard Management")</x:f>
      </x:c>
      <x:c r="G26" s="8" t="n">
        <x:f>=HYPERLINK("#SubObligation()","Hazard Identification")</x:f>
      </x:c>
      <x:c r="H26" s="6" t="n">
        <x:f>=HYPERLINK("#H26","Tools")</x:f>
      </x:c>
      <x:c r="I26" s="27" t="str">
        <x:v>&lt;b&gt;&lt;p&gt;Hazard Identification&lt;/p&gt;Does the organisation have a structured, well-documented process for identifying workplace hazards?&lt;/b&gt;</x:v>
      </x:c>
      <x:c r="J26" s="6" t="str">
        <x:v>&lt;p&gt;The health and safety risk management process starts with hazard identification. A hazard can be defined as anything that has the potential to cause someone harm or injury&amp;mdash;both physical and psychological. Hazards can arise from the work environment, work processes (including work arrangements such as shift lengths and work pressures), or equipment, substances and structures used at the workplace. Table 1 in the code of practice How to Manage Work Health and Safety Risks provides examples of common types of workplace hazard. See Tools &amp;ndash; Model code of practice &amp;ndash; How to manage work health and safety risks, December 2011 (Safe Work Australia) and Managing risks to health and safety at the workplace (Safe Work Australia fact sheet, August 2012).&lt;/p&gt;&lt;p&gt;An organisation must identify reasonably foreseeable hazards that could give rise to health and safety risks. A structured process for hazard identification would include:&lt;/p&gt;&lt;ul&gt;&lt;li&gt;Understanding the types of hazards&lt;/li&gt;&lt;li&gt;Understanding the potential impact of hazards&lt;/li&gt;&lt;li&gt;Developing methods for identifying hazards&lt;/li&gt;&lt;li&gt;Recording hazards in writing&lt;/li&gt;&lt;/ul&gt;&lt;p&gt;The methods for identifying hazards include:&lt;/p&gt;&lt;ul&gt;&lt;li&gt;Regular inspection and observation of the workplace, including tools and equipment, ventilation, lighting, any spills or obstructions to movement, and signs of stress or fatigue among workers&lt;/li&gt;&lt;li&gt;Close consultation with workers&lt;/li&gt;&lt;li&gt;Consultation, cooperation and coordination with any other duty holders who are involved in the same activity at the workplace&lt;/li&gt;&lt;li&gt;Review of external information sources such as industry-specific data from regulators, industry associations, unions and technical specialists, and instructions provided by manufacturers and suppliers&lt;/li&gt;&lt;li&gt;Review of internal records and reporting on matters such as health monitoring, workplace incidents, and inspections and investigations&lt;/li&gt;&lt;li&gt;Observable or measurable impacts on workers&lt;/li&gt;&lt;/ul&gt;&lt;p&gt;Hazard identification should not be a one-off exercise, but rather a regular process. It should also be undertaken when any change occurs that could give rise to potential new hazards at the workplace.&lt;/p&gt;&lt;p&gt;The organisation should consider risks from hazards in the context of:&lt;/p&gt;&lt;ul&gt;&lt;li&gt;Inherent risk&amp;mdash;the risk arising&amp;nbsp;&amp;nbsp;from the situation&lt;/li&gt;&lt;li&gt;Residual risk&amp;mdash;the risk remaining after any controls or mitigation have been applied&lt;/li&gt;&lt;/ul&gt;&lt;p&gt;The organisation should document identified hazards, and keep records of consultation with workers and training in hazard identification, as evidence of compliance with legal obligations. Some hazards may have mandatory record-keeping requirements, such as hazardous chemicals. The organisation should ensure that workers are aware of those hazards and have access to the relevant records.&lt;/p&gt;&lt;p&gt;AS/NZS ISO31000:2009 Risk Management &amp;ndash; Principles and Guidelines should be used as a model of best practice.&lt;/p&gt;</x:v>
      </x:c>
      <x:c r="K26" s="6" t="n">
        <x:f>=HYPERLINK("#K26","Guidance Notes")</x:f>
      </x:c>
      <x:c r="L26" s="6" t="str">
        <x:v>&lt;p&gt;Put in place a structured hazard identification process.&lt;/p&gt;</x:v>
      </x:c>
      <x:c r="M26" s="6" t="n">
        <x:f>=HYPERLINK("#M26","Remediation")</x:f>
      </x:c>
      <x:c r="N26" s="6" t="str">
        <x:v>&lt;p&gt;An organisation&amp;rsquo;s failure to take reasonably practicable steps to identify workplace hazards may be regarded as reckless conduct if that failure exposes someone to the risk of death or serious injury or illness, and if the organisation does not have a reasonable excuse for failing to identify the hazards. The maximum penalties for reckless conduct are:&lt;/p&gt;&lt;ul&gt;&lt;li&gt;$3 million for a body corporate&lt;/li&gt;&lt;li&gt;$600,000 and/or 5 years&amp;rsquo; imprisonment for an individual person conducting a business or undertaking or an officer of a business or undertaking&lt;/li&gt;&lt;li&gt;$300,000 and/or 5 years&amp;rsquo; imprisonment for other individuals (s 31).&lt;/li&gt;&lt;/ul&gt;&lt;p&gt;Lesser penalties apply where the failure to comply with a duty does not involve reckless conduct (ss&amp;nbsp;32&amp;ndash;33).&lt;/p&gt;&lt;p&gt;The harmonised Work Health and Safety Regulations impose penalties for failing to adequately manage risks or implement specific control measures for plant and structures and various kinds of hazardous work, such as work in confined spaces, electrical work, diving work, construction, and work with hazardous chemicals and asbestos. In such cases, the maximum penalties are $30,000 for an organisation and $6,000 for an individual. Similar penalties apply in some cases for failing to keep written records of risk assessments and control measures.&lt;/p&gt;&lt;p&gt;Penalties also apply for failing to provide adequate information, training and instruction to workers on the nature of the risks associated with the work they carry out, and on the risk control measures implemented. The maximum penalties are $30,000 for an organisation and $6,000 for an individual (reg 39).&lt;/p&gt;&lt;p&gt;Penalties for not consulting workers can be up to $100,000 for an organisation and $20,000 for an individual (s 47).&lt;/p&gt;</x:v>
      </x:c>
      <x:c r="O26" s="6" t="n">
        <x:f>=HYPERLINK("#O26","Consequence")</x:f>
      </x:c>
      <x:c r="P26" s="6" t="str">
        <x:v>&lt;p&gt;&lt;a href="https://www.legislation.gov.au/Details/C2011A00137" target="_blank" &gt;Work Health and Safety Act 2011 (Cth)&lt;/a&gt; ss 17&amp;ndash;19 (see also corresponding Acts in ACT, NSW, NT, QLD, SA and TAS)&lt;/p&gt;&lt;p&gt;&lt;a href="https://www.legislation.gov.au/Details/F2011L02664" target="_blank" &gt;Work Health and Safety Regulations 2011 (Cth)&lt;/a&gt; reg 36 (see also corresponding regulations in ACT, NSW, NT, QLD, SA and TAS)&lt;/p&gt;&lt;p&gt;Model Code of Practice &amp;ndash; How to Manage Work Health and Safety Risks, December 2011 (Safe Work Australia)&lt;/p&gt;&lt;p&gt;AS/NZS ISO31000:2009 Risk Management &amp;ndash; Principles and Guidelines&lt;/p&gt;</x:v>
      </x:c>
      <x:c r="Q26" s="6" t="n">
        <x:f>=HYPERLINK("#Q26","Source")</x:f>
      </x:c>
      <x:c r="R26"/>
      <x:c r="S26"/>
      <x:c r="T26"/>
    </x:row>
    <x:row r="27" spans="1:20" ht="15.75" x14ac:dyDescent="0.25">
      <x:c r="A27" t="n">
        <x:v>11140</x:v>
      </x:c>
      <x:c r="B27" t="str">
        <x:v>NSW,NT,QLD,SA,TAS,ACT,COMMONWEALTH</x:v>
      </x:c>
      <x:c r="C27" t="inlineStr">
        <x:is>
          <x:t xml:space="preserve">  Subobligation</x:t>
        </x:is>
      </x:c>
      <x:c r="D27" t="inlineStr">
        <x:is>
          <x:t xml:space="preserve">  Risk Assessment</x:t>
        </x:is>
      </x:c>
      <x:c r="E27" s="31" t="n">
        <x:v>4.02</x:v>
      </x:c>
      <x:c r="F27" s="8" t="n">
        <x:f>=HYPERLINK("#Obligation()","Risk and Hazard Management")</x:f>
      </x:c>
      <x:c r="G27" s="8" t="n">
        <x:f>=HYPERLINK("#SubObligation()","Risk Assessment")</x:f>
      </x:c>
      <x:c r="H27" s="6" t="n">
        <x:f>=HYPERLINK("#H27","Tools")</x:f>
      </x:c>
      <x:c r="I27" s="27" t="str">
        <x:v>&lt;b&gt;&lt;p&gt;Risk Assessment&lt;/p&gt;Does the organisation have a process for assessing risks that may arise from identified hazards?&lt;/b&gt;</x:v>
      </x:c>
      <x:c r="J27" s="6" t="str">
        <x:v>&lt;p&gt;After an organisation has identified hazards, the next step in the risk management process is to assess the risks associated with them. A risk assessment involves assessing:&lt;/p&gt;&lt;ul&gt;&lt;li&gt;The type of harm that would occur if someone is exposed to a hazard&lt;/li&gt;&lt;li&gt;How severe the harm would be as a result of the exposure&lt;/li&gt;&lt;li&gt;How likely it is that the harm would occur&lt;/li&gt;&lt;/ul&gt;&lt;p&gt;The organisation should conduct a risk assessment when:&lt;/p&gt;&lt;ul&gt;&lt;li&gt;The impact on workers from a hazard is uncertain&lt;/li&gt;&lt;li&gt;The result of several different hazards interacting is not well understood&lt;/li&gt;&lt;li&gt;Changes occur that may affect the effectiveness of control measures (e.g. new work systems, new work&amp;nbsp;&amp;nbsp;location)&lt;/li&gt;&lt;li&gt;Hazards have exposure standards that need to be assessed competently, such as noise or air pollutants&lt;/li&gt;&lt;/ul&gt;&lt;p&gt;Importantly, risk assessments are mandatory for high-risk hazardous work, such as entry into confined spaces, diving work, live electrical work and potentially harmful substances.&lt;/p&gt;&lt;p&gt;It may be unnecessary to undertake a formal risk assessment if hazards and their associated risks are already well understood, such as those with control measures that have been set out by law, or those covered in detail by regulatory and industry guidelines. Organisations must comply with those requirements set out in law by implementing the specified controls. Requirements set out in guidance material might be used as evidence of what an organisation ought reasonably to have known about controlling a hazard. The controls specified in guidance material should therefore be implemented unless an organisation can demonstrate that the method it has proposed to control risks is equal to the method proposed in the guidance material.&lt;/p&gt;&lt;p&gt;AS/NZS ISO31000:2009 Risk Management &amp;ndash; Principles and Guidelines should be used as a model of best practice.&lt;/p&gt;&lt;p&gt;Risk assessments will vary in complexity, depending on the type of risk being assessed and the amount of information available about the risk. A risk assessment includes:&lt;/p&gt;&lt;ul&gt;&lt;li&gt;Analysing the nature and level of the risks faced by the organisation&lt;/li&gt;&lt;li&gt;Determining the likelihood of harm occurring&lt;/li&gt;&lt;li&gt;Calculating the level of disruption and costs associated with each type of risk&lt;/li&gt;&lt;li&gt;Consulting with workers&lt;/li&gt;&lt;li&gt;Consulting, cooperating and coordinating with any other duty holders who are involved in the same activity at the workplace&lt;/li&gt;&lt;li&gt;Evaluating the effectiveness of existing controls to manage risks&lt;/li&gt;&lt;li&gt;Determining what actions are needed to effectively control risks&lt;/li&gt;&lt;li&gt;Prioritising the actions to be implemented&lt;/li&gt;&lt;/ul&gt;&lt;p&gt;The organisation should document its risk assessment process, including the use of risk analysis tools and consultation with workers, as evidence of compliance with legal obligations.&lt;/p&gt;&lt;p&gt;Table 2 in the Model code of practice &amp;ndash; How to manage work health and safety risks, December 2011 (Safe Work Australia) contains questions that an organisation can use to determine the likelihood of harm occurring. Appendix A of the code provides an example of assessing how a chain of events could give rise to harm. See Tools &amp;ndash; Model code of practice &amp;ndash; How to manage work health and safety risks, December 2011 (Safe Work Australia) and Managing risks to health and safety at the workplace (Safe Work Australia fact sheet, August 2012).&lt;/p&gt;&lt;p&gt;AS/NZS ISO31000:2009 provides a risk matrix that assists with determining the severity of the risk by combining measures of severity and likelihood. The same tool can be used to re-assess the severity of the risk following risk reduction activities.&lt;/p&gt;</x:v>
      </x:c>
      <x:c r="K27" s="6" t="n">
        <x:f>=HYPERLINK("#K27","Guidance Notes")</x:f>
      </x:c>
      <x:c r="L27" s="6" t="str">
        <x:v>&lt;p&gt;Assess the risks arising from identified workplace hazards wherever the risks are not already well understood.&lt;/p&gt;</x:v>
      </x:c>
      <x:c r="M27" s="6" t="n">
        <x:f>=HYPERLINK("#M27","Remediation")</x:f>
      </x:c>
      <x:c r="N27" s="6" t="str">
        <x:v>&lt;p&gt;&lt;u&gt; &lt;/u&gt;&lt;/p&gt;&lt;p&gt;An organisation&amp;rsquo;s failure to take reasonably practicable steps to assess risks may be regarded as reckless conduct if that failure exposes someone to the risk of death or serious injury or illness, and if the organisation does not have a reasonable excuse for failing to assess the risks. The maximum penalties for reckless conduct are:&lt;/p&gt;&lt;ul&gt;&lt;li&gt;$3 million for a body corporate&lt;/li&gt;&lt;li&gt;$600,000 and/or 5 years&amp;rsquo;imprisonment for an individual person conducting a business or undertaking or an officer of a business or undertaking&lt;/li&gt;&lt;li&gt;$300,000 and/or 5 years&amp;rsquo; imprisonment for other individuals (s 31)&lt;/li&gt;&lt;/ul&gt;&lt;p&gt;Lesser penalties apply where the failure to comply with a duty does not involve reckless conduct (ss&amp;nbsp;32&amp;ndash;33).&lt;/p&gt;&lt;p&gt;The harmonised Work Health and Safety Regulations impose penalties for failing to adequately manage risks or implement specific control measures for plant and structures and various kinds of hazardous work, such as work in confined spaces, electrical work, diving work, construction, and work with hazardous chemicals and asbestos. In such cases, the maximum penalties are $30,000 for an organisation and $6,000 for an individual. Similar penalties apply in some cases for failing to keep written records of risk assessments and control measures.&lt;/p&gt;&lt;p&gt;Penalties also apply for failing to provide adequate information, training and instruction to workers on the nature of the risks associated with the work they carry out, and on the risk control measures implemented. The maximum penalties are $30,000 for an organisation and $6,000 for an individual (reg 39).&lt;/p&gt;&lt;p&gt;Penalties for not consulting workers can be up to $100,000 for an organisation and $20,000 for an individual (s 47).&lt;/p&gt;</x:v>
      </x:c>
      <x:c r="O27" s="6" t="n">
        <x:f>=HYPERLINK("#O27","Consequence")</x:f>
      </x:c>
      <x:c r="P27" s="6" t="str">
        <x:v>&lt;p&gt;&lt;a href="https://www.legislation.gov.au/Details/C2011A00137" target="_blank" &gt;Work Health and Safety Act 2011 (Cth)&lt;/a&gt; ss 17&amp;ndash;19 (see also corresponding Acts in ACT, NSW, NT, QLD, SA and TAS)&lt;/p&gt;&lt;p&gt;&lt;a href="https://www.legislation.gov.au/Details/F2011L02664" target="_blank" &gt;Work Health and Safety Regulations 2011 (Cth)&lt;/a&gt; reg 36 (see also corresponding regulations in ACT, NSW, NT, QLD, SA and TAS)&lt;/p&gt;&lt;p&gt;Model Code of Practice &amp;ndash; How to Manage Work Health and Safety Risks, December 2011 (Safe Work Australia)&lt;/p&gt;&lt;p&gt;AS/NZS ISO31000:2009 Risk Management &amp;ndash; Principles and Guidelines&lt;/p&gt;</x:v>
      </x:c>
      <x:c r="Q27" s="6" t="n">
        <x:f>=HYPERLINK("#Q27","Source")</x:f>
      </x:c>
      <x:c r="R27"/>
      <x:c r="S27"/>
      <x:c r="T27"/>
    </x:row>
    <x:row r="28" spans="1:20" ht="15.75" x14ac:dyDescent="0.25">
      <x:c r="A28" t="n">
        <x:v>11158</x:v>
      </x:c>
      <x:c r="B28" t="str">
        <x:v>NSW,NT,QLD,SA,TAS,ACT,COMMONWEALTH</x:v>
      </x:c>
      <x:c r="C28" t="inlineStr">
        <x:is>
          <x:t xml:space="preserve">  Subobligation</x:t>
        </x:is>
      </x:c>
      <x:c r="D28" t="inlineStr">
        <x:is>
          <x:t xml:space="preserve">  Risk Control Implementation and the Hierarchy of Controls</x:t>
        </x:is>
      </x:c>
      <x:c r="E28" s="31" t="n">
        <x:v>4.03</x:v>
      </x:c>
      <x:c r="F28" s="8" t="n">
        <x:f>=HYPERLINK("#Obligation()","Risk and Hazard Management")</x:f>
      </x:c>
      <x:c r="G28" s="8" t="n">
        <x:f>=HYPERLINK("#SubObligation()","Risk Control Implementation and the Hierarchy of Controls")</x:f>
      </x:c>
      <x:c r="H28" s="6" t="n">
        <x:f>=HYPERLINK("#H28","Tools")</x:f>
      </x:c>
      <x:c r="I28" s="27" t="str">
        <x:v>&lt;b&gt;&lt;p&gt;Risk Control Implementation and the Hierarchy of Controls&lt;/p&gt;Has the organisation implemented effective controls to manage risks and hazards in the workplace?&lt;/b&gt;</x:v>
      </x:c>
      <x:c r="J28" s="6" t="str">
        <x:v>&lt;p&gt;Once an organisation has identified workplace hazards and (where necessary) assessed the risks associated with those hazards, the next step in the risk management process is to control the risks. The law requires organisations to eliminate or minimise risks, so far as is reasonably practicable in the circumstances.&lt;/p&gt;&lt;p&gt;Under the harmonised Work Health and Safety (WHS) Regulations, the organisation must follow a hierarchy of risk control measures. The hierarchy can be conceptualised as consisting of three levels, where Level 1 provides the highest degree of protection and reliability:&lt;/p&gt;&lt;ul&gt;&lt;li&gt;Level 1&amp;mdash;eliminate the hazard through prevention (e.g. design, planning, procurement, removal)&lt;/li&gt;&lt;li&gt;Level 2&amp;mdash;minimise the risk by:&lt;p&gt;(a)&amp;nbsp;&amp;nbsp;&amp;nbsp;&amp;nbsp;Substituting the hazard with something safer&lt;/p&gt;&lt;p&gt;(b)&amp;nbsp;&amp;nbsp; Isolating the hazard from people&lt;/p&gt;&lt;p&gt;(c)&amp;nbsp;&amp;nbsp;&amp;nbsp;&amp;nbsp;Implementing engineering controls&lt;/p&gt;&lt;/li&gt;&lt;li&gt;Level 3&amp;mdash;minimise any remaining risk by:&lt;p&gt;(a) Reducing exposure to the hazard through administrative controls (i.e. work methods, processes and procedures)&lt;/p&gt;&lt;p&gt;(b) Ensuring that workers use suitable personal protective equipment if the risk remains.&lt;/p&gt;&lt;/li&gt;&lt;/ul&gt;&lt;p&gt;The organisation should first seek to implement Level 1 controls to eliminate risks, so far as is reasonably practicable. If it is not reasonably practicable to eliminate a risk, the organisation should seek to minimise the risk by applying Level 2 controls. However, if Level 2 controls do not exist or are not reasonable or achievable in the circumstances, the organisation should implement Level 3 administrative controls. If the risk still remains, the organisation should provide personal protective equipment to workers, and ensure that the equipment is used, stored and maintained correctly.&lt;/p&gt;&lt;p&gt;The organisation can use a combination of controls to minimise risks if a single control is not sufficient. Level 3 controls should only be used:&lt;/p&gt;&lt;ul&gt;&lt;li&gt;As a last resort (when no other measures are available or suitable)&lt;/li&gt;&lt;li&gt;As a back-up to higher-level controls&lt;/li&gt;&lt;li&gt;As an interim measure until Level 1 or 2 controls become available.&lt;/li&gt;&lt;/ul&gt;&lt;p&gt;Methods for developing control measures include:&lt;/p&gt;&lt;ul&gt;&lt;li&gt;Using existing, available information on control measures for the identified hazards&lt;/li&gt;&lt;li&gt;Developing specific control measures by interrogating the risk assessment for the identified hazards and then prioritising controls using the above hierarchy&lt;/li&gt;&lt;/ul&gt;&lt;p&gt;It is important to ensure that new control measures do not introduce new risks or hazards. As new control measures result in changes to work processes, the organisation should support the implementation of a control measure by:&lt;/p&gt;&lt;ul&gt;&lt;li&gt;Amending associated work procedures&lt;/li&gt;&lt;li&gt;Providing training, instruction and information (including induction training)&lt;/li&gt;&lt;li&gt;Supervising workers&lt;/li&gt;&lt;/ul&gt;&lt;p&gt;The organisation should record all control measures on its risk register, along with associated training, consultation with workers, and any plans for changes, as evidence of compliance with work health and safety legislation. See Tools &amp;ndash; Model code of practice &amp;ndash; How to manage work health and safety risks, December 2011 (Safe Work Australia)&amp;nbsp;&amp;nbsp;and Managing risks to health and safety at the workplace (Safe Work Australia fact sheet, August 2012).&lt;/p&gt;</x:v>
      </x:c>
      <x:c r="K28" s="6" t="n">
        <x:f>=HYPERLINK("#K28","Guidance Notes")</x:f>
      </x:c>
      <x:c r="L28" s="6" t="str">
        <x:v>&lt;p&gt;Put in place risk control measures where necessary, including where existing measures are ineffective.&lt;/p&gt;</x:v>
      </x:c>
      <x:c r="M28" s="6" t="n">
        <x:f>=HYPERLINK("#M28","Remediation")</x:f>
      </x:c>
      <x:c r="N28" s="6" t="str">
        <x:v>&lt;p&gt;&lt;u&gt; &lt;/u&gt;&lt;/p&gt;&lt;p&gt;An organisation&amp;rsquo;s failure to take reasonably practicable steps to implement effective risk control measures may be regarded as reckless conduct if that failure exposes someone to the risk of death or serious injury or illness, and if the organisation does not have a reasonable excuse for failing to implement the controls. The maximum penalties for reckless conduct are:&lt;/p&gt;&lt;ul&gt;&lt;li&gt;$3 million for a body corporate&lt;/li&gt;&lt;li&gt;$600,000 and/or 5 years&amp;rsquo; imprisonment for an individual person conducting a business or undertaking or an officer of a business or undertaking&lt;/li&gt;&lt;li&gt;$300,000 and/or 5 years&amp;rsquo; imprisonment for other individuals (s 31).&lt;/li&gt;&lt;/ul&gt;&lt;p&gt;Lesser penalties apply where the failure to comply with a duty does not involve reckless conduct (ss 32&amp;ndash;33).&lt;/p&gt;&lt;p&gt;The harmonised WHS Regulations impose penalties for failing to adequately manage risks or implement specific control measures for plant and structures and various kinds of hazardous work, such as work in confined spaces, electrical work, diving work, construction, and work with hazardous chemicals and asbestos. In such cases, the maximum penalties are $30,000 for an organisation and $6,000 for an individual. Similar penalties apply in some cases for failing to keep written records of risk assessments and control measures.&lt;/p&gt;&lt;p&gt;Penalties also apply for failing to provide adequate information, training and instruction to workers on the nature of the risks associated with the work they carry out, and on the risk control measures implemented. The maximum penalties are $30,000 for an organisation and $6,000 for an individual (reg 39).&lt;/p&gt;&lt;p&gt;Penalties for not consulting workers can be up to $100,000 for an organisation and $20,000 for an individual (s 47).&lt;/p&gt;</x:v>
      </x:c>
      <x:c r="O28" s="6" t="n">
        <x:f>=HYPERLINK("#O28","Consequence")</x:f>
      </x:c>
      <x:c r="P28" s="6" t="str">
        <x:v>&lt;p&gt;&lt;a href="https://www.legislation.gov.au/Details/C2011A00137" target="_blank" &gt;Work Health and Safety Act 2011 (Cth)&lt;/a&gt; ss 17&amp;ndash;19 (see also corresponding Acts in ACT, NSW, NT, QLD, SA and TAS)&lt;/p&gt;&lt;p&gt;&lt;a href="https://www.legislation.gov.au/Details/F2011L02664" target="_blank" &gt;Work Health and Safety Regulations 2011 (Cth)&lt;/a&gt; reg 36 (see also corresponding regulations in ACT, NSW, NT, QLD, SA and TAS)&lt;/p&gt;&lt;p&gt;Model Code of Practice &amp;ndash; How to Manage Work Health and Safety Risks, December 2011 (Safe Work Australia)&lt;/p&gt;&lt;p&gt;AS/NZS ISO31000:2009 Risk Management &amp;ndash; Principles and Guidelines&lt;/p&gt;</x:v>
      </x:c>
      <x:c r="Q28" s="6" t="n">
        <x:f>=HYPERLINK("#Q28","Source")</x:f>
      </x:c>
      <x:c r="R28"/>
      <x:c r="S28"/>
      <x:c r="T28"/>
    </x:row>
    <x:row r="29" spans="1:20" ht="15.75" x14ac:dyDescent="0.25">
      <x:c r="A29" t="n">
        <x:v>11175</x:v>
      </x:c>
      <x:c r="B29" t="str">
        <x:v>NSW,NT,QLD,SA,TAS,ACT,COMMONWEALTH</x:v>
      </x:c>
      <x:c r="C29" t="inlineStr">
        <x:is>
          <x:t xml:space="preserve">  Subobligation</x:t>
        </x:is>
      </x:c>
      <x:c r="D29" t="inlineStr">
        <x:is>
          <x:t xml:space="preserve">  Risk Control Maintenance</x:t>
        </x:is>
      </x:c>
      <x:c r="E29" s="31" t="n">
        <x:v>4.04</x:v>
      </x:c>
      <x:c r="F29" s="8" t="n">
        <x:f>=HYPERLINK("#Obligation()","Risk and Hazard Management")</x:f>
      </x:c>
      <x:c r="G29" s="8" t="n">
        <x:f>=HYPERLINK("#SubObligation()","Risk Control Maintenance")</x:f>
      </x:c>
      <x:c r="H29" s="6" t="n">
        <x:f>=HYPERLINK("#H29","Tools")</x:f>
      </x:c>
      <x:c r="I29" s="27" t="str">
        <x:v>&lt;b&gt;&lt;p&gt;Risk Control Maintenance&lt;/p&gt;Does the organisation monitor risk control measures to ensure that they remain effective after implementation?&lt;/b&gt;</x:v>
      </x:c>
      <x:c r="J29" s="6" t="str">
        <x:v>&lt;p&gt;&lt;u&gt; &lt;/u&gt;&lt;/p&gt;&lt;p&gt;The harmonised Acts require an organisation to evaluate its risk control measures on a regular basis &amp;ndash; and make changes as necessary &amp;ndash; in order to maintain a work environment that is without risk to health and safety, so far as is reasonably practicable.&lt;/p&gt;&lt;p&gt;The organisation should monitor its risk control measures by:&lt;/p&gt;&lt;ul&gt;&lt;li&gt;Ensuring that procedures are followed and maintained&lt;/li&gt;&lt;li&gt;Regularly maintaining plant and equipment&lt;/li&gt;&lt;li&gt;Providing up-to-date training&lt;/li&gt;&lt;li&gt;Maintaining up-to-date hazard information&lt;/li&gt;&lt;li&gt;Consulting with workers&lt;/li&gt;&lt;li&gt;Consulting, cooperating and coordinating with any other duty holders who are involved in the same activity at the workplace&lt;/li&gt;&lt;li&gt;Regularly reviewing control measures&lt;/li&gt;&lt;/ul&gt;&lt;p&gt;The organisation should document how it monitors and evaluates risk control measures as evidence of compliance with work health and safety legislation&amp;mdash;for example, by keeping a risk register, a plant register and maintenance records. See Tools &amp;ndash; Model code of practice &amp;ndash; How to manage work health and safety risks, December 2011 (Safe Work Australia) and Managing risks to health and safety at the workplace (Safe Work Australia fact sheet, August 2012).&lt;/p&gt;</x:v>
      </x:c>
      <x:c r="K29" s="6" t="n">
        <x:f>=HYPERLINK("#K29","Guidance Notes")</x:f>
      </x:c>
      <x:c r="L29" s="6" t="str">
        <x:v>&lt;p&gt;Put in place a process for monitoring risk control measures to ensure their ongoing effectiveness.&lt;/p&gt;</x:v>
      </x:c>
      <x:c r="M29" s="6" t="n">
        <x:f>=HYPERLINK("#M29","Remediation")</x:f>
      </x:c>
      <x:c r="N29" s="6" t="str">
        <x:v>&lt;p&gt;&lt;u&gt; &lt;/u&gt;&lt;/p&gt;&lt;p&gt;An organisation&amp;rsquo;s failure to take reasonably practicable steps to implement effective risk control measures may be regarded as reckless conduct if that failure exposes someone to the risk of death or serious injury or illness, and if the organisation does not have a reasonable excuse for failing to implement the controls. The maximum penalties for reckless conduct are:&lt;/p&gt;&lt;ul&gt;&lt;li&gt;$3 million for a body corporate&lt;/li&gt;&lt;li&gt;$600,000 and/or 5 years&amp;rsquo; imprisonment for an individual person conducting a business or undertaking or an officer of a business or undertaking&lt;/li&gt;&lt;li&gt;$300,000 and/or 5 years&amp;rsquo; imprisonment for other individuals (s 31).&lt;/li&gt;&lt;/ul&gt;&lt;p&gt;Lesser penalties apply where the failure to comply with a duty does not involve reckless conduct (ss 32&amp;ndash;33).&lt;/p&gt;&lt;p&gt;The harmonised WHS Regulations impose penalties for failing to adequately manage risks or implement specific control measures for plant and structures and various kinds of hazardous work, such as work in confined spaces, electrical work, diving work, construction, and work with hazardous chemicals and asbestos. In such cases, the maximum penalties are $30,000 for an organisation and $6,000 for an individual. Similar penalties apply in some cases for failing to keep written records of risk assessments and control measures.&lt;/p&gt;&lt;p&gt;Penalties also apply for failing to provide adequate information, training and instruction to workers on the nature of the risks associated with the work they carry out, and on the risk control measures implemented. The maximum penalties are $30,000 for an organisation and $6,000 for an individual (reg 39).&lt;/p&gt;&lt;p&gt;Penalties for not consulting workers can be up to $100,000 for an organisation and $20,000 for an individual (s 47).&lt;/p&gt;</x:v>
      </x:c>
      <x:c r="O29" s="6" t="n">
        <x:f>=HYPERLINK("#O29","Consequence")</x:f>
      </x:c>
      <x:c r="P29" s="6" t="str">
        <x:v>&lt;p&gt;&lt;a href="https://www.legislation.gov.au/Details/C2011A00137" target="_blank" &gt;Work Health and Safety Act 2011 (Cth)&lt;/a&gt; ss 17&amp;ndash;19 (see also corresponding Acts in ACT, NSW, NT, QLD, SA and TAS)&lt;/p&gt;&lt;p&gt;&lt;a href="https://www.legislation.gov.au/Details/F2011L02664" target="_blank" &gt;Work Health and Safety Regulations 2011 (Cth)&lt;/a&gt; reg 36 (see also corresponding regulations in ACT, NSW, NT, QLD, SA and TAS)&lt;/p&gt;&lt;p&gt;Model Code of Practice &amp;ndash; How to Manage Work Health and Safety Risks, December 2011 (Safe Work Australia)&lt;/p&gt;&lt;p&gt;AS/NZS ISO31000:2009 Risk Management &amp;ndash; Principles and Guidelines&lt;/p&gt;</x:v>
      </x:c>
      <x:c r="Q29" s="6" t="n">
        <x:f>=HYPERLINK("#Q29","Source")</x:f>
      </x:c>
      <x:c r="R29"/>
      <x:c r="S29"/>
      <x:c r="T29"/>
    </x:row>
    <x:row r="30" spans="1:20" ht="15.75" x14ac:dyDescent="0.25">
      <x:c r="A30" t="n">
        <x:v>11213</x:v>
      </x:c>
      <x:c r="B30" t="str">
        <x:v>NSW,NT,QLD,SA,TAS,ACT,COMMONWEALTH</x:v>
      </x:c>
      <x:c r="C30" t="inlineStr">
        <x:is>
          <x:t xml:space="preserve">  Subobligation</x:t>
        </x:is>
      </x:c>
      <x:c r="D30" t="inlineStr">
        <x:is>
          <x:t xml:space="preserve">  Risk Control Review</x:t>
        </x:is>
      </x:c>
      <x:c r="E30" s="31" t="n">
        <x:v>4.05</x:v>
      </x:c>
      <x:c r="F30" s="8" t="n">
        <x:f>=HYPERLINK("#Obligation()","Risk and Hazard Management")</x:f>
      </x:c>
      <x:c r="G30" s="8" t="n">
        <x:f>=HYPERLINK("#SubObligation()","Risk Control Review")</x:f>
      </x:c>
      <x:c r="H30" s="6" t="n">
        <x:f>=HYPERLINK("#H30","Tools")</x:f>
      </x:c>
      <x:c r="I30" s="27" t="str">
        <x:v>&lt;b&gt;&lt;p&gt;Risk Control Review&lt;/p&gt;Does the organisation regularly review its risk and hazard management system, including specific risk control measures, to ensure that the system continues to work effectively?&lt;/b&gt;</x:v>
      </x:c>
      <x:c r="J30" s="6" t="str">
        <x:v>&lt;p&gt;An organisation should regularly review its risk and hazard management system, including specific risk control measures, to ensure that the system continues to work effectively by eliminating or minimising health and safety risks. Periodic reviews provide an opportunity for the organisation to rectify any deficiencies in a timely way, and continually improve its approach to risk management.&lt;/p&gt;&lt;p&gt;Under the harmonised Work Health and Safety (WHS) Regulations, a review is mandatory:&lt;/p&gt;&lt;ul&gt;&lt;li&gt;When a control measure is not effective in controlling the risk&lt;/li&gt;&lt;li&gt;Before any change at the workplace that could give rise to new potential hazards&lt;/li&gt;&lt;li&gt;If a new hazard is identified&lt;/li&gt;&lt;li&gt;If the results of consultation indicate that a review is necessary&lt;/li&gt;&lt;li&gt;If a health and safety representative requests a review&lt;/li&gt;&lt;/ul&gt;&lt;p&gt;The organisation should base its priorities for the review on the severity of the risks. It should review control measures for serious risks more frequently. A review should seek to establish whether the frequency and severity of health and safety incidents have reduced over time.&lt;/p&gt;&lt;p&gt;&lt;u&gt; &lt;/u&gt;&lt;/p&gt;&lt;p&gt;The method for reviewing controls is similar to the method for identifying hazards, and can include:&lt;/p&gt;&lt;ul&gt;&lt;li&gt;Inspections and observation&lt;/li&gt;&lt;li&gt;Consultation with workers&lt;/li&gt;&lt;li&gt;Consultation with other duty holders who share responsibility for the same health and safety matter&lt;/li&gt;&lt;li&gt;Review of external information sources such as industry-specific data and instructions provided by manufacturers and suppliers&lt;/li&gt;&lt;li&gt;Review of internal records and reporting&lt;/li&gt;&lt;li&gt;Observable or measurable impacts on workers&lt;/li&gt;&lt;li&gt;Analysis of feedback from workers on products that they use at work&lt;/li&gt;&lt;li&gt;Reviewing or conducting a risk assessment&lt;/li&gt;&lt;/ul&gt;&lt;p&gt;At the conclusion of a review, the reviewer (or review team) should write a report that includes recommended actions for revising existing control measures, or implementing new ones. The report should clearly highlight any changes that require urgent implementation. The organisation should ensure that changes to risk control measures do not give rise to new hazards at the workplace.&lt;/p&gt;&lt;p&gt;The organisation should document its process for reviewing its risk and hazard management system as evidence of compliance with work health and safety legislation. See Tools &amp;ndash; Model code of practice &amp;ndash; How to manage work health and safety risks, December 2011 (Safe Work Australia) and Managing risks to health and safety at the workplace (Safe Work Australia fact sheet, August 2012).&lt;/p&gt;</x:v>
      </x:c>
      <x:c r="K30" s="6" t="n">
        <x:f>=HYPERLINK("#K30","Guidance Notes")</x:f>
      </x:c>
      <x:c r="L30" s="6" t="str">
        <x:v>&lt;p&gt;Put in place a documented process for reviewing the risk and hazard management system, including specific risk control measures, on a regular basis.&lt;/p&gt;</x:v>
      </x:c>
      <x:c r="M30" s="6" t="n">
        <x:f>=HYPERLINK("#M30","Remediation")</x:f>
      </x:c>
      <x:c r="N30" s="6" t="str">
        <x:v>&lt;p&gt;&lt;u&gt; &lt;/u&gt;&lt;/p&gt;&lt;p&gt;An organisation&amp;rsquo;s failure to take reasonably practicable steps to implement effective risk control measures may be regarded as reckless conduct if that failure exposes someone to the risk of death or serious injury or illness, and if the organisation does not have a reasonable excuse for failing to implement the controls. The maximum penalties for reckless conduct are:&lt;/p&gt;&lt;ul&gt;&lt;li&gt;$3 million for a body corporate&lt;/li&gt;&lt;li&gt;$600,000 and/or 5 years&amp;rsquo; imprisonment for an individual person conducting a business or undertaking or an officer of a business or undertaking&lt;/li&gt;&lt;li&gt;$300,000 and/or 5 years&amp;rsquo; imprisonment for other individuals (s 31).&lt;/li&gt;&lt;/ul&gt;&lt;p&gt;Lesser penalties apply where the failure to comply with a duty does not involve reckless conduct (ss 32&amp;ndash;33).&lt;/p&gt;&lt;p&gt;The harmonised WHS Regulations impose penalties for failing to adequately manage risks or implement specific control measures for plant and structures and various kinds of hazardous work, such as work in confined spaces, electrical work, diving work, construction, and work with hazardous chemicals and asbestos. In such cases, the maximum penalties are $30,000 for an organisation and $6,000 for an individual. Similar penalties apply in some cases for failing to keep written records of risk assessments and control measures.&lt;/p&gt;&lt;p&gt;Penalties also apply for failing to provide adequate information, training and instruction to workers on the nature of the risks associated with the work they carry out, and on the risk control measures implemented. The maximum penalties are $30,000 for an organisation and $6,000 for an individual (reg 39).&lt;/p&gt;&lt;p&gt;Penalties for not consulting workers can be up to $100,000 for an organisation and $20,000 for an individual (s 47).&lt;/p&gt;</x:v>
      </x:c>
      <x:c r="O30" s="6" t="n">
        <x:f>=HYPERLINK("#O30","Consequence")</x:f>
      </x:c>
      <x:c r="P30" s="6" t="str">
        <x:v>&lt;p&gt;&lt;a href="https://www.legislation.gov.au/Details/C2011A00137" target="_blank" &gt;Work Health and Safety Act 2011 (Cth)&lt;/a&gt; ss 17&amp;ndash;19 (see also corresponding Acts in ACT, NSW, NT, QLD, SA and TAS)&lt;/p&gt;&lt;p&gt;&lt;a href="https://www.legislation.gov.au/Details/F2011L02664" target="_blank" &gt;Work Health and Safety Regulations 2011 (Cth)&lt;/a&gt; reg 36 (see also corresponding regulations in ACT, NSW, NT, QLD, SA and TAS)&lt;/p&gt;&lt;p&gt;Model Code of Practice &amp;ndash; How to Manage Work Health and Safety Risks, December 2011 (Safe Work Australia)&lt;/p&gt;&lt;p&gt;AS/NZS ISO31000:2009 Risk Management &amp;ndash; Principles and Guidelines&lt;/p&gt;</x:v>
      </x:c>
      <x:c r="Q30" s="6" t="n">
        <x:f>=HYPERLINK("#Q30","Source")</x:f>
      </x:c>
      <x:c r="R30"/>
      <x:c r="S30"/>
      <x:c r="T30"/>
    </x:row>
    <x:row r="31" spans="1:20" ht="15.75" x14ac:dyDescent="0.25">
      <x:c r="A31" t="n">
        <x:v>11121</x:v>
      </x:c>
      <x:c r="B31" t="str">
        <x:v>NSW,NT,QLD,SA,TAS,ACT,COMMONWEALTH</x:v>
      </x:c>
      <x:c r="C31" t="str">
        <x:v>Obligation</x:v>
      </x:c>
      <x:c r="D31" t="str">
        <x:v>Consultation with Workers</x:v>
      </x:c>
      <x:c r="E31" s="31" t="n">
        <x:v>5.00</x:v>
      </x:c>
      <x:c r="F31" s="8" t="n">
        <x:f>=HYPERLINK("#Obligation()","Consultation with Workers")</x:f>
      </x:c>
      <x:c r="G31" s="8"/>
      <x:c r="H31" s="6" t="n">
        <x:f>=HYPERLINK("#H31","Tools")</x:f>
      </x:c>
      <x:c r="I31" s="27" t="str">
        <x:v>&lt;b&gt;&lt;p&gt;Consultation with Workers&lt;/p&gt;Does the organisation consult workers, including health and safety representatives where applicable, throughout the work health and safety risk management process?&lt;/b&gt;</x:v>
      </x:c>
      <x:c r="J31" s="6" t="str">
        <x:v>&lt;p&gt;Workers are an important source of information and solutions for managing risks and hazards in the workplace. Accordingly, consultation with workers is required by law. If workers are represented by a health and safety representative, consultation must involve that representative.&lt;/p&gt;&lt;p&gt;Regular consultation results in greater health and safety awareness among workers, and greater compliance by workers with work health and safety requirements, as it involves:&lt;/p&gt;&lt;ul&gt;&lt;li&gt;two-way communication&lt;/li&gt;&lt;li&gt;providing opportunities to workers to express their views on the risk management process, and contribute to the risk&amp;nbsp;management decision-making process&lt;/li&gt;&lt;li&gt;the workers&amp;rsquo; views being taken&amp;nbsp;into account when deciding on new risk control measures&lt;/li&gt;&lt;li&gt;sharing relevant information&amp;nbsp;about matters such as near misses and the effectiveness of existing controls&lt;/li&gt;&lt;li&gt;a sense of ownership on the&amp;nbsp;part of workers.&lt;/li&gt;&lt;/ul&gt;&lt;p&gt;An organisation should consult workers&amp;mdash;so far as is reasonably practicable&amp;mdash;when workers request consultations and when making decisions on the following health and safety matters:&lt;/p&gt;&lt;ul&gt;&lt;li&gt;risk and hazard identification&lt;/li&gt;&lt;li&gt;risk assessment&lt;/li&gt;&lt;li&gt;risk control measures&lt;/li&gt;&lt;li&gt;adequacy of welfare facilities&amp;nbsp;for workers, such as toilets and meal rooms&lt;/li&gt;&lt;li&gt;changes in the workplace or in&amp;nbsp;work processes that may affect workers&amp;rsquo; health and safety&lt;/li&gt;&lt;li&gt;procedures for consulting workers, resolving health and safety issues, monitoring workers&amp;rsquo; health and workplace&amp;nbsp;conditions, and providing information and training for workers.&lt;/li&gt;&lt;/ul&gt;&lt;p&gt;Consultation arrangements that are agreed with workers should be consistent with the harmonised Work Health and Safety Acts and tailored to the size and type of the organisation, the way work is arranged, and what suits workers. For example, workplaces may have health and safety representatives and committees to facilitate consultation and training. Once a consultation procedure is agreed with workers, consultation must be undertaken according to that procedure. If applicable, an organisation should include contract workers and volunteers in consultations on health and safety matters that directly affect them.&lt;/p&gt;&lt;p&gt;An organisation should advise workers of the outcome of any consultation in a timely manner.&lt;/p&gt;&lt;p&gt;An organisation should establish and implement clear, written procedures for consulting workers on health and safety matters, and communicate those procedures to workers (for example, by posting them on a noticeboard or intranet). The procedures should give workers a reasonable opportunity to express their views, and ensure that workers are advised of the outcome of any consultation. Documenting the consultation that takes place (including the date, the matters discussed and the workers targeted for consultation) can provide evidence of compliance with the requirement to consult.&lt;/p&gt;</x:v>
      </x:c>
      <x:c r="K31" s="6" t="n">
        <x:f>=HYPERLINK("#K31","Guidance Notes")</x:f>
      </x:c>
      <x:c r="L31" s="6" t="str">
        <x:v>&lt;p&gt;Put in place clear, written procedures that are agreed with relevant workers for consulting workers on health and safety matters, make the procedures easily accessible to workers, and document the consultation that takes place.&lt;/p&gt;</x:v>
      </x:c>
      <x:c r="M31" s="6" t="n">
        <x:f>=HYPERLINK("#M31","Remediation")</x:f>
      </x:c>
      <x:c r="N31" s="6" t="str">
        <x:v>&lt;p&gt;Penalties for not consulting workers can be up to $100,000 for an organisation and $20,000 for an individual (s 47).&lt;/p&gt;</x:v>
      </x:c>
      <x:c r="O31" s="6" t="n">
        <x:f>=HYPERLINK("#O31","Consequence")</x:f>
      </x:c>
      <x:c r="P31" s="6" t="str">
        <x:v>&lt;p&gt;&lt;a href="https://www.legislation.gov.au/Details/C2011A00137" target="_blank" &gt;Work Health and Safety Act 2011 (Cth)&lt;/a&gt; Pt 5 (see also corresponding Acts in ACT, NSW, NT, QLD, SA and TAS)&lt;/p&gt;&lt;p&gt;&lt;a href="https://www.legislation.gov.au/Details/F2011L02664" target="_blank" &gt;Work Health and Safety Regulations 2011 (Cth)&lt;/a&gt; regs 16&amp;ndash;24 (see also corresponding regulations in ACT, NSW, NT, QLD, SA and TAS)&lt;/p&gt;&lt;p&gt;Work Health and Safety Consultation, Co-operation and Co-ordination Code of Practice&amp;mdash;December 2011&lt;/p&gt;</x:v>
      </x:c>
      <x:c r="Q31" s="6" t="n">
        <x:f>=HYPERLINK("#Q31","Source")</x:f>
      </x:c>
      <x:c r="R31"/>
      <x:c r="S31"/>
      <x:c r="T31"/>
    </x:row>
    <x:row r="32" spans="1:20" ht="15.75" x14ac:dyDescent="0.25">
      <x:c r="A32" t="n">
        <x:v>11132</x:v>
      </x:c>
      <x:c r="B32" t="str">
        <x:v>NSW,NT,QLD,SA,TAS,ACT,COMMONWEALTH</x:v>
      </x:c>
      <x:c r="C32" t="inlineStr">
        <x:is>
          <x:t xml:space="preserve">  Subobligation</x:t>
        </x:is>
      </x:c>
      <x:c r="D32" t="inlineStr">
        <x:is>
          <x:t xml:space="preserve">  Determining Work Groups</x:t>
        </x:is>
      </x:c>
      <x:c r="E32" s="31" t="n">
        <x:v>5.01</x:v>
      </x:c>
      <x:c r="F32" s="8" t="n">
        <x:f>=HYPERLINK("#Obligation()","Consultation with Workers")</x:f>
      </x:c>
      <x:c r="G32" s="8" t="n">
        <x:f>=HYPERLINK("#SubObligation()","Determining Work Groups")</x:f>
      </x:c>
      <x:c r="H32" s="6" t="n">
        <x:f>=HYPERLINK("#H32","Tools")</x:f>
      </x:c>
      <x:c r="I32" s="27" t="str">
        <x:v>&lt;b&gt;&lt;p&gt;Determining Work Groups&lt;/p&gt;Does the organisation have procedures for facilitating a worker's request to establish a work group for the purposes of electing a health and safety representative?&lt;/b&gt;</x:v>
      </x:c>
      <x:c r="J32" s="6" t="str">
        <x:v>&lt;p&gt;If workers request an election of a health and safety representative, an organisation must help determine an appropriate work group or groups to be represented and facilitate the election of health and safety representatives for each designated group. The organisation must negotiate with workers (or their representative) to reach agreement on the number and composition of the work groups, the number of health and safety representatives (and deputies, if any) to be elected, and the workplaces to which the work groups will apply.&lt;/p&gt;&lt;p&gt;Workers should be grouped in a way that most effectively and conveniently enables their health and safety interests to be represented, and ensures that workers can easily access their health and safety representative.&lt;/p&gt;&lt;p&gt;Work groups may be determined for workers who work for two or more organisations at one or more workplaces.&lt;/p&gt;&lt;p&gt;An organisation must take all reasonable steps to begin negotiations with workers on determining work groups within 14 days of workers making a request for a health and safety representative. The organisation must negotiate directly with workers or their representative, taking into account the requirements in the harmonised Work Health and Safety Regulations for determining work groups (reg 17). See Tools &amp;ndash; Checklist: Determining work groups, Model code of practice &amp;ndash; Work health and safety consultation, co-operation and co-ordination, December 2011 (Safe Work Australia) and Worker representation and participation (Safe Work Australia guide, January 2012).&lt;/p&gt;&lt;p&gt;An organisation must notify workers of the outcome of negotiations for determining work groups.&lt;/p&gt;&lt;p&gt;The parties to an agreement may vary it by negotiation at any time.&lt;/p&gt;&lt;p&gt;If negotiations to determine or vary the work groups fail, any party can ask the regulator to appoint an inspector to assist in determining work groups.&lt;/p&gt;</x:v>
      </x:c>
      <x:c r="K32" s="6" t="n">
        <x:f>=HYPERLINK("#K32","Guidance Notes")</x:f>
      </x:c>
      <x:c r="L32" s="6" t="str">
        <x:v>&lt;p&gt;Put in place procedures for negotiating with workers (or their representative) on determining work groups and notifying workers of the outcome of negotiations.&lt;/p&gt;</x:v>
      </x:c>
      <x:c r="M32" s="6" t="n">
        <x:f>=HYPERLINK("#M32","Remediation")</x:f>
      </x:c>
      <x:c r="N32" s="6" t="str">
        <x:v>&lt;p&gt;Penalties apply if a person fails to negotiate with a worker&amp;rsquo;s representative on the determination of work groups. The maximum penalties are $50,000 for an organisation and $10,000 for an individual (s 52). If a person fails to notify workers of the outcome of negotiations on work groups, or fails to notify workers of agreed variations to work groups, penalties of up to $10,000 for organisations and $2,000 for individuals apply (s 53).&lt;/p&gt;</x:v>
      </x:c>
      <x:c r="O32" s="6" t="n">
        <x:f>=HYPERLINK("#O32","Consequence")</x:f>
      </x:c>
      <x:c r="P32" s="6" t="str">
        <x:v>&lt;p&gt;&lt;a href="https://www.legislation.gov.au/Details/C2011A00137" target="_blank" &gt;Work Health and Safety Act 2011 (Cth)&lt;/a&gt; ss 51&amp;ndash;59 (see also corresponding Acts in ACT, NSW, NT, QLD, SA and TAS)&lt;/p&gt;&lt;p&gt;&lt;a href="https://www.legislation.gov.au/Details/F2011L02664" target="_blank" &gt;Work Health and Safety Regulations 2011 (Cth)&lt;/a&gt; reg 16&amp;ndash;17 (see also corresponding regulations in ACT, NSW, NT, QLD, SA and TAS)&lt;/p&gt;&lt;p&gt;Model Code of Practice &amp;ndash; Work Health and Safety Consultation, Co-operation and Co-ordination&amp;mdash;December 2011&lt;/p&gt;</x:v>
      </x:c>
      <x:c r="Q32" s="6" t="n">
        <x:f>=HYPERLINK("#Q32","Source")</x:f>
      </x:c>
      <x:c r="R32"/>
      <x:c r="S32"/>
      <x:c r="T32"/>
    </x:row>
    <x:row r="33" spans="1:20" ht="15.75" x14ac:dyDescent="0.25">
      <x:c r="A33" t="n">
        <x:v>11143</x:v>
      </x:c>
      <x:c r="B33" t="str">
        <x:v>NSW,NT,QLD,SA,TAS,ACT,COMMONWEALTH</x:v>
      </x:c>
      <x:c r="C33" t="inlineStr">
        <x:is>
          <x:t xml:space="preserve">  Subobligation</x:t>
        </x:is>
      </x:c>
      <x:c r="D33" t="inlineStr">
        <x:is>
          <x:t xml:space="preserve">  Election of Health and Safety Representatives</x:t>
        </x:is>
      </x:c>
      <x:c r="E33" s="31" t="n">
        <x:v>5.02</x:v>
      </x:c>
      <x:c r="F33" s="8" t="n">
        <x:f>=HYPERLINK("#Obligation()","Consultation with Workers")</x:f>
      </x:c>
      <x:c r="G33" s="8" t="n">
        <x:f>=HYPERLINK("#SubObligation()","Election of Health and Safety Representatives")</x:f>
      </x:c>
      <x:c r="H33" s="6" t="n">
        <x:f>=HYPERLINK("#H33","Tools")</x:f>
      </x:c>
      <x:c r="I33" s="27" t="str">
        <x:v>&lt;b&gt;&lt;p&gt;Election of Health and Safety Representatives&lt;/p&gt;Does the organisation have in place procedures to facilitate the conduct of an election for one or more health and safety representatives to represent workers at the workplace?&lt;/b&gt;</x:v>
      </x:c>
      <x:c r="J33" s="6" t="str">
        <x:v>&lt;p&gt;A worker may ask the organisation where he or she works to facilitate the conduct of an election for one or more health and safety representatives to represent a work group. The election must comply with the minimum procedural requirements set out in the Work Health and Safety Regulations, and may be conducted with the assistance of a union or other person or organisation. Representatives are elected for three-year terms. No election is needed if the number of candidates equals the number of vacancies.&lt;/p&gt;&lt;p&gt;An organisation must provide the necessary resources, facilities and other assistance to enable the election to be conducted. See Tools &amp;ndash; Model code of practice &amp;ndash; Work health and safety consultation, co-operation and co-ordination, December 2011 (Safe Work Australia) and Worker representation and participation (Safe Work Australia guide, January 2012).&lt;/p&gt;</x:v>
      </x:c>
      <x:c r="K33" s="6" t="n">
        <x:f>=HYPERLINK("#K33","Guidance Notes")</x:f>
      </x:c>
      <x:c r="L33" s="6" t="str">
        <x:v>&lt;p&gt;Ensure that sufficient resources and appropriate facilities are available for the conduct of elections for health and safety representatives.&lt;/p&gt;</x:v>
      </x:c>
      <x:c r="M33" s="6" t="n">
        <x:f>=HYPERLINK("#M33","Remediation")</x:f>
      </x:c>
      <x:c r="N33" s="6" t="str">
        <x:v>&lt;p&gt;Penalties apply if a person fails to provide the necessary resources, facilities and other assistance to enable elections to be conducted. The maximum penalties are $50,000 for an organisation and $10,000 for an individual (s 61). Penalties also apply if a person unreasonably delays the election of a health and safety representative. The penalties are up to $18,000 for an organisation and $3,600 for an individual (reg 19).&lt;/p&gt;</x:v>
      </x:c>
      <x:c r="O33" s="6" t="n">
        <x:f>=HYPERLINK("#O33","Consequence")</x:f>
      </x:c>
      <x:c r="P33" s="6" t="str">
        <x:v>&lt;p&gt;&lt;a href="https://www.legislation.gov.au/Details/C2011A00137" target="_blank" &gt;Work Health and Safety Act 2011 (Cth)&lt;/a&gt; ss 60&amp;ndash;67 (see also corresponding Acts in ACT, NSW, NT, QLD, SA and TAS)&lt;/p&gt;&lt;p&gt;&lt;a href="https://www.legislation.gov.au/Details/F2011L02664" target="_blank" &gt;Work Health and Safety Regulations 2011 (Cth)&lt;/a&gt; regs 18&amp;ndash;19 (see also corresponding regulations in ACT, NSW, NT, QLD, SA and TAS)&lt;/p&gt;&lt;p&gt;Model Code of Practice &amp;ndash; Work Health and Safety Consultation, Co-operation and Co-ordination&amp;mdash;December 2011&lt;/p&gt;</x:v>
      </x:c>
      <x:c r="Q33" s="6" t="n">
        <x:f>=HYPERLINK("#Q33","Source")</x:f>
      </x:c>
      <x:c r="R33"/>
      <x:c r="S33"/>
      <x:c r="T33"/>
    </x:row>
    <x:row r="34" spans="1:20" ht="15.75" x14ac:dyDescent="0.25">
      <x:c r="A34" t="n">
        <x:v>11152</x:v>
      </x:c>
      <x:c r="B34" t="str">
        <x:v>NSW,NT,QLD,SA,TAS,ACT,COMMONWEALTH</x:v>
      </x:c>
      <x:c r="C34" t="inlineStr">
        <x:is>
          <x:t xml:space="preserve">  Subobligation</x:t>
        </x:is>
      </x:c>
      <x:c r="D34" t="inlineStr">
        <x:is>
          <x:t xml:space="preserve">  Obligations toward Health and Safety Representatives</x:t>
        </x:is>
      </x:c>
      <x:c r="E34" s="31" t="n">
        <x:v>5.03</x:v>
      </x:c>
      <x:c r="F34" s="8" t="n">
        <x:f>=HYPERLINK("#Obligation()","Consultation with Workers")</x:f>
      </x:c>
      <x:c r="G34" s="8" t="n">
        <x:f>=HYPERLINK("#SubObligation()","Obligations toward Health and Safety Representatives")</x:f>
      </x:c>
      <x:c r="H34" s="6" t="n">
        <x:f>=HYPERLINK("#H34","Tools")</x:f>
      </x:c>
      <x:c r="I34" s="27" t="str">
        <x:v>&lt;b&gt;&lt;p&gt;Obligations toward Health and Safety Representatives&lt;/p&gt;Does the organisation have procedures for fulfilling its obligations toward health and safety representatives, and maintaining an up-to-date list of representatives?&lt;/b&gt;</x:v>
      </x:c>
      <x:c r="J34" s="6" t="str">
        <x:v>&lt;p&gt;An organisation has obligations toward health and safety representatives elected under the harmonised Work Health and Safety (WHS) Acts. For example, an organisation must:&lt;/p&gt;&lt;ul&gt;&lt;li&gt;consult and, upon reasonable&amp;nbsp;request, confer with health and safety representatives on work health and&amp;nbsp;safety matters&lt;/li&gt;&lt;li&gt;allow a health and safety&amp;nbsp;representative to have access to information on hazards and the health and&amp;nbsp;safety of workers in their designated work group (subject to some privacy&amp;nbsp;obligations (see below)&lt;/li&gt;&lt;li&gt;provide the necessary time, resources,&amp;nbsp;facilities and other assistance to enable a health and safety representative to&amp;nbsp;perform his or her functions&lt;/li&gt;&lt;li&gt;where necessary, allow a&amp;nbsp;person assisting a health and safety representative to have access to a workplace (see below)&lt;/li&gt;&lt;li&gt;permit a health and safety&amp;nbsp;representative to accompany an inspector during a workplace inspection&lt;/li&gt;&lt;li&gt;allow the health and safety&amp;nbsp;representative paid time off work to attend approved work health and safety training&lt;/li&gt;&lt;li&gt;pay approved course fees and&amp;nbsp;associated costs of attending training (any party can ask the regulator to appoint an inspector if agreement cannot be reached on training).&lt;/li&gt;&lt;/ul&gt;&lt;p&gt;If a worker is involved in an interview about work health and safety with the organisation, the organisation&amp;rsquo;s representative or an inspector, then the organisation must allow the worker&amp;rsquo;s health and safety representative to be present at the interview, provided the worker gives his or her consent to the presence of the health and safety representative.&lt;/p&gt;&lt;p&gt;Similarly, if a group of workers are involved in an interview about work health and safety with the organisation, the organisation&amp;rsquo;s representative or an inspector, then the organisation must allow the workers&amp;rsquo; health and safety representative to be present at the interview, provided at least one worker in the group gives his or her consent to the presence of the health and safety representative.&lt;/p&gt;&lt;p&gt;An organisation is not required to allow a person assisting a health and safety representative to have access to the workplace:&lt;/p&gt;&lt;ul&gt;&lt;li&gt;if the assistant has had his&amp;nbsp;or her WHS entry permit revoked, or&lt;/li&gt;&lt;li&gt;during any period that the assistant&amp;rsquo;s WHS entry permit is suspended or the assistant is disqualified from holding a WHS entry permit.&lt;/li&gt;&lt;/ul&gt;&lt;p&gt;The organisation may refuse on reasonable grounds to grant access to the workplace to a person assisting a health and safety representative. If access is refused, the health and safety representative may ask the regulator to appoint an inspector to help resolve the matter.&lt;/p&gt;&lt;p&gt;The South Australian WHS Act specifies that a person assisting a health and safety representative must be:&lt;/p&gt;&lt;ul&gt;&lt;li&gt;someone who works at the&amp;nbsp;workplace, or&lt;/li&gt;&lt;li&gt;someone involved in the&amp;nbsp;management of the organisation, or&lt;/li&gt;&lt;li&gt;an approved consultant (s&amp;nbsp;68(4)).&lt;/li&gt;&lt;/ul&gt;&lt;p&gt;The Queensland WHS Regulation specifies what information is to be provided when giving notice of entry for a person assisting a health and safety representative (reg 20A).&lt;/p&gt;&lt;p&gt;An organisation must pay a health and safety representative for the time spent performing health and safety duties at the same rate as the representative would be paid for his or her normal duties.&lt;/p&gt;&lt;p&gt;An organisation must not allow a health and safety representative to have access to any personal or medical information about a worker without that worker&amp;rsquo;s consent, unless that information is in a form that does not identify the worker.&lt;/p&gt;&lt;p&gt;An organisation must keep an up-to-date list of health and safety representatives (including deputy representatives, if any), display the list in a way that workers can easily access it, and provide a copy to the regulator. (The requirement to provide a copy of the list to the regulator does not apply in Queensland.)&lt;/p&gt;&lt;p&gt;The organisation should establish and implement appropriate procedures to ensure that it meets its obligations toward health and safety representatives.Such procedures should include a process for updating and displaying the list of health and safety representatives, and providing the list to the regulator. See Tools &amp;ndash; Template: List of health and safety representatives.&lt;/p&gt;&lt;p&gt;The organisation should be aware that its work health and safety obligations toward health and safety representatives only apply to those representatives elected in accordance with the harmonised WHS Acts. The powers of, and obligations toward, elected health and safety representatives do not apply to other employee representatives such as union officials. Further information on the particular powers of union officials seeking entry to a workplace under the harmonised WHS Acts, and the obligations of organisations toward WHS entry permit holders, is provided in &amp;lsquo;Workplace Entry by WHS Entry Permit Holders&amp;rsquo; in this module. See Tools &amp;ndash; Model code of practice &amp;ndash; Work health and safety consultation, co-operation and co-ordination, December 2011 (Safe Work Australia) and Worker representation and participation (Safe Work Australia guide, January 2012).&lt;/p&gt;</x:v>
      </x:c>
      <x:c r="K34" s="6" t="n">
        <x:f>=HYPERLINK("#K34","Guidance Notes")</x:f>
      </x:c>
      <x:c r="L34" s="6" t="str">
        <x:v>&lt;p&gt;Ensure that relevant staff receive training on the organisation&amp;rsquo;s obligations toward health and safety representatives, and put in place procedures to meet those obligations.&lt;/p&gt;</x:v>
      </x:c>
      <x:c r="M34" s="6" t="n">
        <x:f>=HYPERLINK("#M34","Remediation")</x:f>
      </x:c>
      <x:c r="N34" s="6" t="str">
        <x:v>&lt;p&gt;Penalties apply for failing to meet obligations toward health and safety representatives. The maximum penalties are $50,000 for an organisation and $10,000 for an individual (ss 70&amp;ndash;72). Failure to prepare and display an up-to-date list of health and safety representatives attracts a maximum penalty of $10,000 for organisations and $2,000 for individuals (s 74).&lt;/p&gt;</x:v>
      </x:c>
      <x:c r="O34" s="6" t="n">
        <x:f>=HYPERLINK("#O34","Consequence")</x:f>
      </x:c>
      <x:c r="P34" s="6" t="str">
        <x:v>&lt;p&gt;&lt;a href="https://www.legislation.gov.au/Details/C2011A00137" target="_blank" &gt;Work Health and Safety Act 2011 (Cth)&lt;/a&gt; ss 70&amp;ndash;74 (see also corresponding Acts in ACT, NSW, NT, QLD, SA and TAS)&lt;/p&gt;&lt;p&gt;&lt;a href="https://www.legislation.gov.au/Details/F2011L02664" target="_blank" &gt;Work Health and Safety Regulations 2011 (Cth)&lt;/a&gt; regs 18&amp;ndash;21 (see also corresponding regulations in ACT, NSW, NT, QLD, SA and TAS)&lt;/p&gt;&lt;p&gt;Model Code of Practice &amp;ndash; Work Health and Safety Consultation, Co-operation and Co-ordination&amp;mdash;December 2011&lt;/p&gt;</x:v>
      </x:c>
      <x:c r="Q34" s="6" t="n">
        <x:f>=HYPERLINK("#Q34","Source")</x:f>
      </x:c>
      <x:c r="R34"/>
      <x:c r="S34"/>
      <x:c r="T34"/>
    </x:row>
    <x:row r="35" spans="1:20" ht="15.75" x14ac:dyDescent="0.25">
      <x:c r="A35" t="n">
        <x:v>11172</x:v>
      </x:c>
      <x:c r="B35" t="str">
        <x:v>NSW,NT,QLD,SA,TAS,ACT,COMMONWEALTH</x:v>
      </x:c>
      <x:c r="C35" t="inlineStr">
        <x:is>
          <x:t xml:space="preserve">  Subobligation</x:t>
        </x:is>
      </x:c>
      <x:c r="D35" t="inlineStr">
        <x:is>
          <x:t xml:space="preserve">  Establishing a Health and Safety Committee</x:t>
        </x:is>
      </x:c>
      <x:c r="E35" s="31" t="n">
        <x:v>5.04</x:v>
      </x:c>
      <x:c r="F35" s="8" t="n">
        <x:f>=HYPERLINK("#Obligation()","Consultation with Workers")</x:f>
      </x:c>
      <x:c r="G35" s="8" t="n">
        <x:f>=HYPERLINK("#SubObligation()","Establishing a Health and Safety Committee")</x:f>
      </x:c>
      <x:c r="H35" s="6" t="n">
        <x:f>=HYPERLINK("#H35","Tools")</x:f>
      </x:c>
      <x:c r="I35" s="27" t="str">
        <x:v>&lt;b&gt;&lt;p&gt;Establishing a Health and Safety Committee&lt;/p&gt;Does the organisation have a process to establish a health and safety committee if asked to do so by a health and safety representative or five or more workers?&lt;/b&gt;</x:v>
      </x:c>
      <x:c r="J35" s="6" t="str">
        <x:v>&lt;p&gt;A health and safety committee facilitates cooperation between an organisation&amp;rsquo;s management and its workers, and assists in developing health and safety standards, rules and procedures.&lt;/p&gt;&lt;p&gt;An organisation must establish a health and safety committee if asked to do so by a health and safety representative or five or more workers. The organisation must establish the committee within 2 months of receiving a request. The organisation can also establish a committee on its own initiative.&lt;/p&gt;&lt;p&gt;At least half the committee members must be workers who are not nominated by management. If agreement cannot be reached on the constitution of the committee, any party may ask the regulator to appoint an inspector to decide the matter. (Additional membership requirements apply for coal mines in New South Wales).&lt;/p&gt;&lt;p&gt;An organisation must allow each member of the health and safety committee to attend meetings and perform his or her functions as a committee member. The time that a member spends on committee duties must be paid at the same rate as the member would be paid for his or her normal duties. Committees must meet at least every 3 months.&lt;/p&gt;&lt;p&gt;An organisation must allow the health and safety committee to access information about hazards at the workplace and the health and safety of workers. However, the organisation must not allow a health and safety committee member to have access to any personal or medical information about a worker without that worker&amp;rsquo;s consent, unless that information is in a form that does not identify the worker.&lt;/p&gt;&lt;p&gt;An organisation should establish and implement appropriate procedures to ensure that it meets its obligations concerning health and safety committees. See Tools &amp;ndash; Checklist: Establishing and running a health and safety committee, Model code of practice &amp;ndash; Work health and safety consultation, co-operation and co-ordination, December 2011 (Safe Work Australia) and Worker representation and participation (Safe Work Australia guide, January 2012).&lt;/p&gt;</x:v>
      </x:c>
      <x:c r="K35" s="6" t="n">
        <x:f>=HYPERLINK("#K35","Guidance Notes")</x:f>
      </x:c>
      <x:c r="L35" s="6" t="str">
        <x:v>&lt;p&gt;Ensure that relevant staff receive training on obligations concerning health and safety committees, and put in place procedures to meet those obligations.&lt;/p&gt;</x:v>
      </x:c>
      <x:c r="M35" s="6" t="n">
        <x:f>=HYPERLINK("#M35","Remediation")</x:f>
      </x:c>
      <x:c r="N35" s="6" t="str">
        <x:v>&lt;p&gt;Penalties apply if a person fails to establish a health and safety committee within 2 months of being requested to do so. The maximum penalties are $25,000 for an organisation and $5,000 for an individual (s 75). Penalties also apply if a person fails to allow committee members time to perform their functions, denies access for committee members to relevant information, or discloses a worker&amp;rsquo;s personal or medical information to a committee without the worker&amp;rsquo;s consent. The maximum penalties are $50,000 for an organisation and $10,000 for an individual (s 79).&lt;/p&gt;</x:v>
      </x:c>
      <x:c r="O35" s="6" t="n">
        <x:f>=HYPERLINK("#O35","Consequence")</x:f>
      </x:c>
      <x:c r="P35" s="6" t="str">
        <x:v>&lt;p&gt;&lt;a href="https://www.legislation.gov.au/Details/C2011A00137" target="_blank" &gt;Work Health and Safety Act 2011 (Cth)&lt;/a&gt; ss 75&amp;ndash;79 (see also corresponding Acts in ACT, NSW, NT, QLD, SA and TAS)&lt;/p&gt;&lt;p&gt;Model Code of Practice &amp;ndash; Work Health and Safety Consultation, Co-operation and Co-ordination&amp;mdash;December 2011&lt;/p&gt;</x:v>
      </x:c>
      <x:c r="Q35" s="6" t="n">
        <x:f>=HYPERLINK("#Q35","Source")</x:f>
      </x:c>
      <x:c r="R35"/>
      <x:c r="S35"/>
      <x:c r="T35"/>
    </x:row>
    <x:row r="36" spans="1:20" ht="15.75" x14ac:dyDescent="0.25">
      <x:c r="A36" t="n">
        <x:v>11191</x:v>
      </x:c>
      <x:c r="B36" t="str">
        <x:v>NSW,NT,QLD,SA,TAS,ACT,COMMONWEALTH</x:v>
      </x:c>
      <x:c r="C36" t="inlineStr">
        <x:is>
          <x:t xml:space="preserve">  Subobligation</x:t>
        </x:is>
      </x:c>
      <x:c r="D36" t="inlineStr">
        <x:is>
          <x:t xml:space="preserve">  Resolving Issues</x:t>
        </x:is>
      </x:c>
      <x:c r="E36" s="31" t="n">
        <x:v>5.05</x:v>
      </x:c>
      <x:c r="F36" s="8" t="n">
        <x:f>=HYPERLINK("#Obligation()","Consultation with Workers")</x:f>
      </x:c>
      <x:c r="G36" s="8" t="n">
        <x:f>=HYPERLINK("#SubObligation()","Resolving Issues")</x:f>
      </x:c>
      <x:c r="H36" s="6" t="n">
        <x:f>=HYPERLINK("#H36","Tools")</x:f>
      </x:c>
      <x:c r="I36" s="27" t="str">
        <x:v>&lt;b&gt;&lt;p&gt;Resolving Issues&lt;/p&gt;Does the organisation make reasonable efforts to resolve health and safety issues with its workers (or their representative) in accordance with agreed procedures and Work Health and Safety Regulations?&lt;/b&gt;</x:v>
      </x:c>
      <x:c r="J36" s="6" t="str">
        <x:v>&lt;p&gt;An organisation and its workers (or the workers&amp;rsquo; representative) must make reasonable efforts to achieve a timely and effective resolution to health and safety issues in accordance with agreed procedures and the harmonised Work Health and Safety (WHS) Regulations. An example of a health and safety issue is a decision by workers to cease, or refuse to carry out, unsafe work.&lt;/p&gt;&lt;p&gt;If the organisation appoints a representative to resolve an issue with workers, that representative must not be a health and safety representative, and must have an appropriate level of seniority and be sufficiently competent to act as a representative. A representative of a party to the issue may enter the workplace to attend discussions on resolving the issue.&lt;/p&gt;&lt;p&gt;If the issue cannot be resolved, a party to the issue may ask the regulator to appoint an inspector to help the parties agree on a resolution.&lt;/p&gt;&lt;p&gt;An organisation should have in place an agreed procedure for resolving health and safety issues with workers, and that procedure must be consistent with the minimum procedural requirements for issue resolution in the harmonised WHS Regulations. The procedure must be in writing and be communicated to workers. In the absence of an agreed procedure, parties are required to follow the default procedure in the WHS Regulations. See Tools &amp;ndash; Checklist: Issue resolution, Model code of practice &amp;ndash; Work health and safety consultation, co-operation and co-ordination, December 2011 (Safe Work Australia) and Worker representation and participation (Safe Work Australia guide, January 2012).&lt;/p&gt;</x:v>
      </x:c>
      <x:c r="K36" s="6" t="n">
        <x:f>=HYPERLINK("#K36","Guidance Notes")</x:f>
      </x:c>
      <x:c r="L36" s="6" t="str">
        <x:v>&lt;p&gt;Ensure that a procedure for resolving issues is (a) agreed with workers, (b) consistent with the minimum requirements in the WHS Regulations, (c) communicated to workers, and (d) followed in the event an issue arises. If no procedure can be agreed, ensure that officers are familiar with the default procedure in the WHS Regulations.&lt;/p&gt;</x:v>
      </x:c>
      <x:c r="M36" s="6" t="n">
        <x:f>=HYPERLINK("#M36","Remediation")</x:f>
      </x:c>
      <x:c r="N36" s="6" t="str">
        <x:v>&lt;p&gt;Penalties apply if an agreed procedure for resolving issues fails to comply with the minimum requirements in WHS Regulations. The maximum penalties are $18,000 for an organisation and $3,600 for an individual (reg 22).&lt;/p&gt;</x:v>
      </x:c>
      <x:c r="O36" s="6" t="n">
        <x:f>=HYPERLINK("#O36","Consequence")</x:f>
      </x:c>
      <x:c r="P36" s="6" t="str">
        <x:v>&lt;p&gt;&lt;a href="https://www.legislation.gov.au/Details/C2011A00137" target="_blank" &gt;Work Health and Safety Act 2011 (Cth)&lt;/a&gt; ss 80&amp;ndash;82 (see also corresponding Acts in ACT, NSW, NT, QLD, SA and TAS)&lt;/p&gt;&lt;p&gt;&lt;a href="https://www.legislation.gov.au/Details/F2011L02664" target="_blank" &gt;Work Health and Safety Regulations 2011 (Cth)&lt;/a&gt; regs 22&amp;ndash;23 (see also corresponding regulations in ACT, NSW, NT, QLD, SA and TAS)&lt;/p&gt;&lt;p&gt;Model Code of Practice &amp;ndash; Work Health and Safety Consultation, Co-operation and Co-ordination&amp;mdash;December 2011&lt;/p&gt;</x:v>
      </x:c>
      <x:c r="Q36" s="6" t="n">
        <x:f>=HYPERLINK("#Q36","Source")</x:f>
      </x:c>
      <x:c r="R36"/>
      <x:c r="S36"/>
      <x:c r="T36"/>
    </x:row>
    <x:row r="37" spans="1:20" ht="15.75" x14ac:dyDescent="0.25">
      <x:c r="A37" t="n">
        <x:v>11199</x:v>
      </x:c>
      <x:c r="B37" t="str">
        <x:v>NSW,NT,QLD,SA,TAS,ACT,COMMONWEALTH</x:v>
      </x:c>
      <x:c r="C37" t="inlineStr">
        <x:is>
          <x:t xml:space="preserve">  Subobligation</x:t>
        </x:is>
      </x:c>
      <x:c r="D37" t="inlineStr">
        <x:is>
          <x:t xml:space="preserve">  Cessation of Unsafe Work</x:t>
        </x:is>
      </x:c>
      <x:c r="E37" s="31" t="n">
        <x:v>5.06</x:v>
      </x:c>
      <x:c r="F37" s="8" t="n">
        <x:f>=HYPERLINK("#Obligation()","Consultation with Workers")</x:f>
      </x:c>
      <x:c r="G37" s="8" t="n">
        <x:f>=HYPERLINK("#SubObligation()","Cessation of Unsafe Work")</x:f>
      </x:c>
      <x:c r="H37" s="6" t="n">
        <x:f>=HYPERLINK("#H37","Tools")</x:f>
      </x:c>
      <x:c r="I37" s="27" t="str">
        <x:v>&lt;b&gt;&lt;p&gt;Cessation of Unsafe Work&lt;/p&gt;Does the organisation have in place and follow its consultation and issue resolution procedures where a worker lawfully ceases unsafe work?&lt;/b&gt;</x:v>
      </x:c>
      <x:c r="J37" s="6" t="str">
        <x:v>&lt;p&gt;A worker has the right to cease, or refuse to carry out, unsafe work, but only if the worker is reasonably concerned that continuing to work would expose the worker to a serious risk to health or safety arising from an immediate or imminent exposure to a hazard.&lt;/p&gt;&lt;p&gt;In addition, a health and safety representative has the right to direct a worker to cease unsafe work in the same circumstances, but only if the health and safety representative has completed the minimum training requirements prescribed under the harmonised Work Health and Safety (WHS) Acts.&lt;/p&gt;&lt;p&gt;Before giving any direction to cease work, the health and safety representative must first consult with management and use the appropriate procedure to try and resolve the issue. However, where the risk is sufficiently serious and immediate or imminent, a health and safety representative is not required to meet these requirements. It will be sufficient if the health and safety representative consults with management as soon as possible after giving the direction.&lt;/p&gt;&lt;p&gt;Once a worker has ceased unsafe work, the organisation may direct the worker to undertake suitable alternative work at the same or another workplace until the worker can resume normal duties, so long as the alternative work is safe and appropriate.&lt;/p&gt;&lt;p&gt;If a worker complies with a reasonable direction to carry out suitable alternative work, this will not affect the worker&amp;rsquo;s continuity of engagement for the purposes of benefits and entitlements such as:&lt;/p&gt;&lt;ul&gt;&lt;li&gt;remuneration and promotion, as&amp;nbsp;affected by seniority&lt;/li&gt;&lt;li&gt;superannuation benefits&lt;/li&gt;&lt;li&gt;leave entitlements&lt;/li&gt;&lt;li&gt;any entitlement to notice of&amp;nbsp;termination of the engagement.&lt;/li&gt;&lt;/ul&gt;&lt;p&gt;The organisation or the health and safety representative may ask the regulator to appoint an inspector to help resolve an issue relating to cessation of work.&lt;/p&gt;&lt;p&gt;The organisation should have in place a process for consulting with workers and their health and safety representative to resolve issues relating to cessation of unsafe work. If agreed procedures for issue resolution are already in place, the parties should use those procedures to address the health and safety risk so that work can recommence safely. See Tools &amp;ndash; Worker representation and participation (Safe Work Australia guide, January 2012).&lt;/p&gt;&lt;p&gt;If any doubt remains about whether it is safe to recommence work, the organisation may also need to seek advice from an appropriately competent person, and/or the assistance of its local inspector before directing workers to return to work. See Tools &amp;ndash; Checklist: Cessation of unsafe work.&lt;/p&gt;&lt;p&gt;Managers should ensure that any alternative duties given to the worker are suitable, safe and appropriate.&lt;/p&gt;</x:v>
      </x:c>
      <x:c r="K37" s="6" t="n">
        <x:f>=HYPERLINK("#K37","Guidance Notes")</x:f>
      </x:c>
      <x:c r="L37" s="6" t="str">
        <x:v>&lt;p&gt;Ensure that the organisation has in place consultation processes that will enable it to respond appropriately to notice given by workers (or their health and safety representative) to cease unsafe work, so that:&lt;/p&gt;&lt;ul&gt;&lt;li&gt;health and safety risks can be&amp;nbsp;addressed to enable work to recommence safely&lt;/li&gt;&lt;li&gt;any disputes can be resolved&amp;nbsp;quickly&lt;/li&gt;&lt;li&gt;if appropriate, workers can be&amp;nbsp;directed to carry out suitable (and safe) alternative work in the meantime.&lt;/li&gt;&lt;/ul&gt;</x:v>
      </x:c>
      <x:c r="M37" s="6" t="n">
        <x:f>=HYPERLINK("#M37","Remediation")</x:f>
      </x:c>
      <x:c r="N37" s="6" t="str">
        <x:v>&lt;p&gt;The organisation should ensure that it responds appropriately to any notice that workers have ceased (or refuse to carry out) unsafe work. Although there is no express penalty for failing to allow workers to lawfully cease work, directing or requiring workers to perform unsafe work will expose those workers to a risk to health and safety. Accordingly, an organisation may be exposed to breaches of its primary duty to provide a safe working environment for workers. In circumstances where the organisation is made aware that the potential risk to health and safety is serious and nevertheless directs the work to continue (without properly assessing the risk or implementing appropriate risk control measures), this could also amount to reckless conduct. The maximum penalties for reckless conduct are:&lt;/p&gt;&lt;ul&gt;&lt;li&gt;$3 million for a body&amp;nbsp;corporate&lt;/li&gt;&lt;li&gt;$600,000 and/or 5 years&amp;rsquo;&amp;nbsp;&amp;nbsp;imprisonment for an individual person conducting a business or undertaking or&amp;nbsp;an officer of a business or undertaking&lt;/li&gt;&lt;li&gt;$300,000 and/or 5 years&amp;rsquo;&amp;nbsp;&amp;nbsp;imprisonment for other individuals (s 31).&lt;/li&gt;&lt;/ul&gt;&lt;p&gt;Lesser penalties apply where the failure to comply with a duty does not involve reckless conduct, or amounts to a breach of the duty but that breach does not create a risk of death or serious injury (ss&amp;nbsp;32&amp;ndash;33).&lt;/p&gt;&lt;p&gt;Organisations should also keep in mind that discriminatory conduct against health and safety representatives or workers who have raised a safety issue or who are exercising a right to cease work may give rise to penalties against the organisation for breach of the discrimination provisions of the harmonised WHS Acts.&lt;/p&gt;</x:v>
      </x:c>
      <x:c r="O37" s="6" t="n">
        <x:f>=HYPERLINK("#O37","Consequence")</x:f>
      </x:c>
      <x:c r="P37" s="6" t="str">
        <x:v>&lt;p&gt;&lt;a href="https://www.legislation.gov.au/Details/C2011A00137" target="_blank" &gt;Work Health and Safety Act 2011 (Cth)&lt;/a&gt; ss 83&amp;ndash;89 (see also corresponding Acts in ACT, NSW, NT, QLD, SA and TAS)&lt;/p&gt;&lt;p&gt;&lt;a href="https://www.legislation.gov.au/Details/F2011L02664" target="_blank" &gt;Work Health and Safety Regulations 2011 (Cth)&lt;/a&gt; reg 24 (see also corresponding regulations in ACT, NSW, NT, QLD, SA and TAS)&lt;/p&gt;&lt;p&gt;&lt;a href="https://www.legislation.gov.au/Details/C2011C00580" target="_blank" &gt;Fair Work Act 2009 (Cth)&lt;/a&gt;&lt;/p&gt;</x:v>
      </x:c>
      <x:c r="Q37" s="6" t="n">
        <x:f>=HYPERLINK("#Q37","Source")</x:f>
      </x:c>
      <x:c r="R37"/>
      <x:c r="S37"/>
      <x:c r="T37"/>
    </x:row>
    <x:row r="38" spans="1:20" ht="15.75" x14ac:dyDescent="0.25">
      <x:c r="A38" t="n">
        <x:v>11206</x:v>
      </x:c>
      <x:c r="B38" t="str">
        <x:v>NSW,NT,QLD,SA,TAS,ACT,COMMONWEALTH</x:v>
      </x:c>
      <x:c r="C38" t="inlineStr">
        <x:is>
          <x:t xml:space="preserve">  Subobligation</x:t>
        </x:is>
      </x:c>
      <x:c r="D38" t="inlineStr">
        <x:is>
          <x:t xml:space="preserve">  Provisional Improvement Notices</x:t>
        </x:is>
      </x:c>
      <x:c r="E38" s="31" t="n">
        <x:v>5.07</x:v>
      </x:c>
      <x:c r="F38" s="8" t="n">
        <x:f>=HYPERLINK("#Obligation()","Consultation with Workers")</x:f>
      </x:c>
      <x:c r="G38" s="8" t="n">
        <x:f>=HYPERLINK("#SubObligation()","Provisional Improvement Notices")</x:f>
      </x:c>
      <x:c r="H38" s="6" t="n">
        <x:f>=HYPERLINK("#H38","Tools")</x:f>
      </x:c>
      <x:c r="I38" s="27" t="str">
        <x:v>&lt;b&gt;&lt;p&gt;Provisional Improvement Notices&lt;/p&gt;Does the organisation have in place a procedure for complying with provisional improvement notices, or asking the regulator to review a notice?&lt;/b&gt;</x:v>
      </x:c>
      <x:c r="J38" s="6" t="str">
        <x:v>&lt;p&gt;A health and safety representative may issue a provisional improvement notice if he or she believes that an organisation is contravening one or more provisions of the relevant Work Health and Safety (WHS) Act (or a previous contravention is likely to recur), but only if the representative has:&lt;/p&gt;&lt;ul&gt;&lt;li&gt;completed the mandatory&amp;nbsp;training required under the WHS Act&lt;/li&gt;&lt;li&gt;consulted the organisation&amp;nbsp;prior to issuing the notice.&lt;/li&gt;&lt;/ul&gt;&lt;p&gt;The written notice must detail which provision of the relevant WHS Act the representative believes the organisation is contravening (or is likely to contravene), and the manner of the contravention, and may include directions on measures to remedy the contravention. The notice must give a minimum of 8 days (from the time it is issued) for the organisation to implement a remedy.&lt;/p&gt;&lt;p&gt;A health and safety representative may issue a provisional improvement notice to the person who conducts the business or undertaking:&lt;/p&gt;&lt;ul&gt;&lt;li&gt;by delivering it personally to&amp;nbsp;the person or sending it by post, facsimile or electronic transmission to&amp;nbsp;their usual or last known place of residence or business&lt;/li&gt;&lt;li&gt;by leaving it for the person&amp;nbsp;at their usual or last known place of residence or business with someone who&amp;nbsp;appears to be over 16 years and who appears to reside or work there&lt;/li&gt;&lt;li&gt;by leaving it for the person&amp;nbsp;at the workplace to which the notice relates with someone who is or appears to&amp;nbsp;be the person with management or control of the workplace&lt;/li&gt;&lt;li&gt;in another manner prescribed&amp;nbsp;in the WHS Regulations.&lt;/li&gt;&lt;/ul&gt;&lt;p&gt;A health and safety representative may make minor changes to a provisional improvement notice:&lt;/p&gt;&lt;ul&gt;&lt;li&gt;for clarification&lt;/li&gt;&lt;li&gt;to correct errors or&amp;nbsp;references&lt;/li&gt;&lt;li&gt;to reflect changes of address or&amp;nbsp;other circumstances.&lt;/li&gt;&lt;/ul&gt;&lt;p&gt;The health and safety representative may at any time cancel a provisional improvement notice issued to an organisation by giving written notice to the organisation.&lt;/p&gt;&lt;p&gt;An organisation must display a provisional improvement notice in a prominent place at or near the workplace as soon as practicable. Unless the organisation seeks a review of the provisional improvement notice (see below), it must comply with the notice within the time specified in the notice.&lt;/p&gt;&lt;p&gt;An organisation may request the regulator to appoint an inspector to review the notice. The inspector must:&lt;/p&gt;&lt;ul&gt;&lt;li&gt;confirm the notice, or&lt;/li&gt;&lt;li&gt;confirm the notice with&amp;nbsp;changes, or&lt;/li&gt;&lt;li&gt;cancel the notice.&lt;/li&gt;&lt;/ul&gt;&lt;p&gt;The inspector must give a copy of his or her decision to the organisation and the health and safety representative who issued the notice. The organisation must comply with a confirmed notice in the specified timeframe. The organisation and other affected parties can also seek a review of the inspector&amp;rsquo;s decision.&lt;/p&gt;&lt;p&gt;An organisation should have in place a procedure for internally reviewing provisional improvement notices, and consulting with health and safety representatives on such notices.&lt;/p&gt;&lt;p&gt;Relevant personnel should be trained about the duties of the organisation in relation to provisional improvement notices and how to respond (including options for review of the notice) if one is issued.&lt;/p&gt;&lt;p&gt;A process should also exist for ensuring compliance with provisional improvement notices and notifying the health and safety representative of the measures taken to remedy a contravention of the relevant WHS Act. See Tools &amp;ndash; Checklist: Provisional improvement notices.&lt;/p&gt;&lt;p&gt;Appendix A of the Worker representation and participation (Safe Work Australia guide, January 2012) contains a template for a provisional improvement notice: see Tools &amp;ndash; Worker representation and participation (Safe Work Australia guide, January 2012).&lt;/p&gt;</x:v>
      </x:c>
      <x:c r="K38" s="6" t="n">
        <x:f>=HYPERLINK("#K38","Guidance Notes")</x:f>
      </x:c>
      <x:c r="L38" s="6" t="str">
        <x:v>&lt;p&gt;Put in place appropriate procedures to ensure that provisional improvement notices that are issued to the organisation are displayed prominently, and (unless a request for review is made) are complied with in the specified timeframe.&lt;/p&gt;</x:v>
      </x:c>
      <x:c r="M38" s="6" t="n">
        <x:f>=HYPERLINK("#M38","Remediation")</x:f>
      </x:c>
      <x:c r="N38" s="6" t="str">
        <x:v>&lt;p&gt;Failure to comply with a provisional improvement notice in the specified timeframe attracts a penalty of up to $250,000 for organisations and $50,000 for individuals (s 99). Penalties also apply if a person fails to display a provisional improvement notice, or if a person removes, destroys, damages or defaces a displayed notice while it is in force. The maximum penalties are $25,000 for organisations and $5,000 for individuals (s 97).&lt;/p&gt;</x:v>
      </x:c>
      <x:c r="O38" s="6" t="n">
        <x:f>=HYPERLINK("#O38","Consequence")</x:f>
      </x:c>
      <x:c r="P38" s="6" t="str">
        <x:v>&lt;p&gt;&lt;a href="https://www.legislation.gov.au/Details/C2011A00137" target="_blank" &gt;Work Health and Safety Act 2011 (Cth)&lt;/a&gt; ss 90&amp;ndash;102, 223 (see also corresponding Acts in ACT, NSW, NT, QLD, SA and TAS)&lt;/p&gt;</x:v>
      </x:c>
      <x:c r="Q38" s="6" t="n">
        <x:f>=HYPERLINK("#Q38","Source")</x:f>
      </x:c>
      <x:c r="R38"/>
      <x:c r="S38"/>
      <x:c r="T38"/>
    </x:row>
    <x:row r="39" spans="1:20" ht="15.75" x14ac:dyDescent="0.25">
      <x:c r="A39" t="n">
        <x:v>11210</x:v>
      </x:c>
      <x:c r="B39" t="str">
        <x:v>NSW,NT,QLD,SA,TAS,ACT,COMMONWEALTH</x:v>
      </x:c>
      <x:c r="C39" t="inlineStr">
        <x:is>
          <x:t xml:space="preserve">  Subobligation</x:t>
        </x:is>
      </x:c>
      <x:c r="D39" t="inlineStr">
        <x:is>
          <x:t xml:space="preserve">  Monitoring and Reviewing Consultation Procedures</x:t>
        </x:is>
      </x:c>
      <x:c r="E39" s="31" t="n">
        <x:v>5.08</x:v>
      </x:c>
      <x:c r="F39" s="8" t="n">
        <x:f>=HYPERLINK("#Obligation()","Consultation with Workers")</x:f>
      </x:c>
      <x:c r="G39" s="8" t="n">
        <x:f>=HYPERLINK("#SubObligation()","Monitoring and Reviewing Consultation Procedures")</x:f>
      </x:c>
      <x:c r="H39" s="6" t="n">
        <x:f>=HYPERLINK("#H39","Tools")</x:f>
      </x:c>
      <x:c r="I39" s="27" t="str">
        <x:v>&lt;b&gt;&lt;p&gt;Monitoring and Reviewing Consultation Procedures&lt;/p&gt;Does the organisation have in place a process for monitoring and reviewing consultation procedures to ensure that they remain effective?&lt;/b&gt;</x:v>
      </x:c>
      <x:c r="J39" s="6" t="str">
        <x:v>&lt;p&gt;Regular monitoring and review of procedures for consulting workers can help ensure that procedures remain effective and comply with the requirements under the harmonised Work Health and Safety Acts and Regulations.&lt;/p&gt;&lt;p&gt;An organisation should have in place a mechanism for monitoring and reviewing consultation procedures, and reporting any gaps or suggesting improvements to management. The organisation should consult workers on any proposed procedural changes that arise from the review. See Tools &amp;ndash; Worker representation and participation (Safe Work Australia guide, January 2012).&lt;/p&gt;&lt;p&gt;Appendix B of the Model code of practice &amp;ndash; Work health and safety consultation, co-operation and co-ordination, December 2011 (Safe Work Australia) contains a useful checklist for ensuring ongoing compliance with consultation requirements. See Tools &amp;ndash; Model code of practice &amp;ndash; Work health and safety consultation, co-operation and co-ordination, December 2011 (Safe Work Australia).&lt;/p&gt;</x:v>
      </x:c>
      <x:c r="K39" s="6" t="n">
        <x:f>=HYPERLINK("#K39","Guidance Notes")</x:f>
      </x:c>
      <x:c r="L39" s="6" t="str">
        <x:v>&lt;p&gt;Put in place a procedure for monitoring and reviewing the effectiveness of consultation with workers, and consult with workers on any proposed changes to consultation processes as a result of the review.&lt;/p&gt;</x:v>
      </x:c>
      <x:c r="M39" s="6" t="n">
        <x:f>=HYPERLINK("#M39","Remediation")</x:f>
      </x:c>
      <x:c r="N39" s="6" t="str">
        <x:v>&lt;p&gt;Failure to monitor and review procedures for consulting with workers may result in the reduced effectiveness of consultations over time, and may make it more difficult for the organisation to determine whether it is continuing to comply with its legal obligations to consult with workers.&lt;/p&gt;</x:v>
      </x:c>
      <x:c r="O39" s="6" t="n">
        <x:f>=HYPERLINK("#O39","Consequence")</x:f>
      </x:c>
      <x:c r="P39" s="6" t="str">
        <x:v>&lt;p&gt;&lt;a href="https://www.legislation.gov.au/Details/C2011A00137" target="_blank" &gt;Work Health and Safety Act 2011 (Cth)&lt;/a&gt; Pt 5 (see also corresponding Acts in ACT, NSW, NT, QLD, SA and TAS)&lt;/p&gt;&lt;p&gt;Model Code of Practice &amp;ndash; Work Health and Safety Consultation, Co-operation and Co-ordination&amp;mdash;December 2011&lt;/p&gt;</x:v>
      </x:c>
      <x:c r="Q39" s="6" t="n">
        <x:f>=HYPERLINK("#Q39","Source")</x:f>
      </x:c>
      <x:c r="R39"/>
      <x:c r="S39"/>
      <x:c r="T39"/>
    </x:row>
    <x:row r="40" spans="1:20" ht="15.75" x14ac:dyDescent="0.25">
      <x:c r="A40" t="n">
        <x:v>7241</x:v>
      </x:c>
      <x:c r="B40" t="str">
        <x:v>NSW,NT,QLD,SA,TAS,ACT,COMMONWEALTH</x:v>
      </x:c>
      <x:c r="C40" t="str">
        <x:v>Obligation</x:v>
      </x:c>
      <x:c r="D40" t="str">
        <x:v>Consultation, Cooperation and Coordination with Other Duty Holders</x:v>
      </x:c>
      <x:c r="E40" s="31" t="n">
        <x:v>6.00</x:v>
      </x:c>
      <x:c r="F40" s="8" t="n">
        <x:f>=HYPERLINK("#Obligation()","Consultation, Cooperation and Coordination with Other Duty Holders")</x:f>
      </x:c>
      <x:c r="G40" s="8"/>
      <x:c r="H40" s="6" t="n">
        <x:f>=HYPERLINK("#H40","Tools")</x:f>
      </x:c>
      <x:c r="I40" s="27" t="str">
        <x:v>&lt;b&gt;&lt;p&gt;Consultation, Cooperation and Coordination with Other Duty Holders&lt;/p&gt;Does the organisation consult, cooperate and coordinate with other duty holders where it shares responsibility for a health and safety matter with those duty holders?&lt;/b&gt;</x:v>
      </x:c>
      <x:c r="J40" s="6" t="str">
        <x:v>&lt;p&gt;Organisations sometimes have shared and overlapping health and safety responsibilities. For example, two contractors working together, or the owner of a large shopping centre and the owners of retail businesses at the centre, are likely to have overlapping health and safety duties.&lt;/p&gt;&lt;p&gt;If two or more organisations have a duty in relation to the same health and safety matter, those organisations are required by law to consult, cooperate and coordinate activities&amp;mdash;so far as is reasonably practicable&amp;mdash;when dealing with that matter.&lt;/p&gt;&lt;p&gt;An organisation must ensure that it meets its health and safety requirements, even if other organisations at the workplace have a duty to meet the same requirements. As a result, each duty holder must be proactive in this area.&lt;/p&gt;&lt;p&gt;Consulting, cooperating and coordinating with other duty holders can lead to a shared understanding of health and safety risks, help address any gaps in managing those risks, and help ensure that organisations are taking complementary actions to minimise and eliminate health and safety risks.&lt;/p&gt;&lt;p&gt;As outlined in the relevant code of practice, an organisation that employs or directs workers may need to consult, cooperate and coordinate with other organisations that:&lt;/p&gt;&lt;ul&gt;&lt;li&gt;manage or control the workplace or fixtures, fittings or plant at the workplace&lt;/li&gt;&lt;li&gt;design, manufacture, import or supply plant, substances or structures for use at the workplace&lt;/li&gt;&lt;li&gt;install, construct or commission plant or structures at the workplace.&lt;/li&gt;&lt;/ul&gt;&lt;p&gt;Unlike consultation with workers, the harmonised Work Health and Safety Acts and Regulations do not prescribe a procedure for consulting, cooperating and coordinating, nor is there any required content for those activities. After identifying other duty holders, an organisation should contact those duty holders as soon as possible to decide on the best approach for consulting, cooperating and coordinating with each other, based on circumstances such as the nature of the work and the extent of the interaction. Approaches might include direct discussions as part of everyday interactions, or more formal meetings, written agreements and consultative committees.&lt;/p&gt;</x:v>
      </x:c>
      <x:c r="K40" s="6" t="n">
        <x:f>=HYPERLINK("#K40","Guidance Notes")</x:f>
      </x:c>
      <x:c r="L40" s="6" t="str">
        <x:v>&lt;p&gt;Develop an effective approach to consultation, cooperation and coordination with other duty holders on shared work health and safety responsibilities.&lt;/p&gt;</x:v>
      </x:c>
      <x:c r="M40" s="6" t="n">
        <x:f>=HYPERLINK("#M40","Remediation")</x:f>
      </x:c>
      <x:c r="N40" s="6" t="str">
        <x:v>&lt;p&gt;Penalties apply if a person or organisation has a duty for a health and safety matter and fails to consult, cooperate and coordinate with others who have a duty for the same matter. The maximum penalties are $100,000 for organisations and $20,000 for individuals (s 46).&lt;/p&gt;</x:v>
      </x:c>
      <x:c r="O40" s="6" t="n">
        <x:f>=HYPERLINK("#O40","Consequence")</x:f>
      </x:c>
      <x:c r="P40" s="6" t="str">
        <x:v>&lt;p&gt;&lt;a href="https://www.legislation.gov.au/Details/C2011A00137" target="_blank" &gt;Work Health and Safety Act 2011 (Cth)&lt;/a&gt; ss 16, 46 (see also corresponding Acts in ACT, NSW, NT, QLD, SA and TAS)&lt;br /&gt;Work Health and Safety Consultation, Co-operation and Co-ordination Code of Practice&amp;mdash;December 2011&lt;/p&gt;</x:v>
      </x:c>
      <x:c r="Q40" s="6" t="n">
        <x:f>=HYPERLINK("#Q40","Source")</x:f>
      </x:c>
      <x:c r="R40"/>
      <x:c r="S40"/>
      <x:c r="T40"/>
    </x:row>
    <x:row r="41" spans="1:20" ht="15.75" x14ac:dyDescent="0.25">
      <x:c r="A41" t="n">
        <x:v>7247</x:v>
      </x:c>
      <x:c r="B41" t="str">
        <x:v>NSW,NT,QLD,SA,TAS,ACT,COMMONWEALTH</x:v>
      </x:c>
      <x:c r="C41" t="inlineStr">
        <x:is>
          <x:t xml:space="preserve">  Subobligation</x:t>
        </x:is>
      </x:c>
      <x:c r="D41" t="inlineStr">
        <x:is>
          <x:t xml:space="preserve">  Identifying Other Duty Holders</x:t>
        </x:is>
      </x:c>
      <x:c r="E41" s="31" t="n">
        <x:v>6.01</x:v>
      </x:c>
      <x:c r="F41" s="8" t="n">
        <x:f>=HYPERLINK("#Obligation()","Consultation, Cooperation and Coordination with Other Duty Holders")</x:f>
      </x:c>
      <x:c r="G41" s="8" t="n">
        <x:f>=HYPERLINK("#SubObligation()","Identifying Other Duty Holders")</x:f>
      </x:c>
      <x:c r="H41" s="6" t="n">
        <x:f>=HYPERLINK("#H41","Tools")</x:f>
      </x:c>
      <x:c r="I41" s="27" t="str">
        <x:v>&lt;b&gt;&lt;p&gt;Identifying Other Duty Holders&lt;/p&gt;Has the organisation taken steps to identify any other duty holders with whom it needs to consult, cooperate and coordinate?&lt;/b&gt;</x:v>
      </x:c>
      <x:c r="J41" s="6" t="str">
        <x:v>&lt;p&gt;An organisation should identify which other organisations, if any, also have a duty in relation to the same health and safety matter. The harmonised Work Health and Safety Acts impose significant duties on a broad range of individuals and organisations, so care should be taken to identify possible areas where others may have a duty in relation to the same matter.&lt;/p&gt;&lt;p&gt;The relevant code of practice provides the following examples of organisations that need to consult, cooperate and coordinate with each other on shared responsibilities for work health and safety:&lt;/p&gt;&lt;ul&gt;&lt;li&gt;an organisation engaging on-hire workers, and&amp;nbsp;&amp;nbsp;the firm that provides the on-hire workers&lt;/li&gt;&lt;li&gt;an organisation running an event, and the other&amp;nbsp;&amp;nbsp;organisations involved in the event&lt;/li&gt;&lt;li&gt;various contractors involved in the same work&amp;nbsp;&amp;nbsp;at the same time at a workplace (such as a construction site)&lt;/li&gt;&lt;li&gt;an installer of plant at a workplace and the&amp;nbsp;&amp;nbsp;organisation that manages or controls the workplace&lt;/li&gt;&lt;li&gt;a landlord or managing agent and commercial&amp;nbsp;&amp;nbsp;tenants&lt;/li&gt;&lt;li&gt;each of the business operators involved in the&amp;nbsp;&amp;nbsp;supply and logistics chain&lt;/li&gt;&lt;li&gt;a franchisor and franchisee.&lt;/li&gt;&lt;/ul&gt;&lt;p&gt;Once an organisation has identified other duty holders, it should approach them as soon as possible to discuss consultation, cooperation and coordination on the relevant health and safety matter.&lt;/p&gt;&lt;p&gt;The organisation should have a procedure for identifying all the other organisations that are involved in a workplace or work process and that also have a duty in relation to the same health and safety matter. The organisation should also have a mechanism for identifying any new duty holders as work circumstances change. See Tools &amp;ndash; Model code of practice &amp;ndash; Work health and safety consultation, co-operation and co-ordination, December 2011 (Safe Work Australia).&lt;/p&gt;</x:v>
      </x:c>
      <x:c r="K41" s="6" t="n">
        <x:f>=HYPERLINK("#K41","Guidance Notes")</x:f>
      </x:c>
      <x:c r="L41" s="6" t="str">
        <x:v>&lt;p&gt;Undertake a thorough process to identify other organisations that are involved in the workplace or work process and that also have a duty in relation to the same health and safety matter.&lt;/p&gt;</x:v>
      </x:c>
      <x:c r="M41" s="6" t="n">
        <x:f>=HYPERLINK("#M41","Remediation")</x:f>
      </x:c>
      <x:c r="N41" s="6" t="str">
        <x:v>&lt;p&gt;Penalties apply if a person has a duty for a health and safety matter and fails to consult, cooperate and coordinate with others who have a duty for the same matter. The maximum penalties are $100,000 for organisations and $20,000 for individuals (s 46).&lt;/p&gt;</x:v>
      </x:c>
      <x:c r="O41" s="6" t="n">
        <x:f>=HYPERLINK("#O41","Consequence")</x:f>
      </x:c>
      <x:c r="P41" s="6" t="str">
        <x:v>&lt;p&gt;&lt;a href="https://www.legislation.gov.au/Details/C2011A00137" target="_blank" &gt;Work Health and Safety Act 2011 (Cth)&lt;/a&gt; ss 16, 46 (see also corresponding Acts in ACT, NSW, NT, QLD, SA and TAS)&lt;br /&gt;Model Code of Practice &amp;ndash; Work Health and Safety Consultation, Co-operation and Co-ordination&amp;mdash;December 2011&lt;/p&gt;</x:v>
      </x:c>
      <x:c r="Q41" s="6" t="n">
        <x:f>=HYPERLINK("#Q41","Source")</x:f>
      </x:c>
      <x:c r="R41"/>
      <x:c r="S41"/>
      <x:c r="T41"/>
    </x:row>
    <x:row r="42" spans="1:20" ht="15.75" x14ac:dyDescent="0.25">
      <x:c r="A42" t="n">
        <x:v>7250</x:v>
      </x:c>
      <x:c r="B42" t="str">
        <x:v>NSW,NT,QLD,SA,TAS,ACT,COMMONWEALTH</x:v>
      </x:c>
      <x:c r="C42" t="inlineStr">
        <x:is>
          <x:t xml:space="preserve">  Subobligation</x:t>
        </x:is>
      </x:c>
      <x:c r="D42" t="inlineStr">
        <x:is>
          <x:t xml:space="preserve">  Monitoring and Reviewing Consultation, Cooperation and Coordination Arrangements </x:t>
        </x:is>
      </x:c>
      <x:c r="E42" s="31" t="n">
        <x:v>6.02</x:v>
      </x:c>
      <x:c r="F42" s="8" t="n">
        <x:f>=HYPERLINK("#Obligation()","Consultation, Cooperation and Coordination with Other Duty Holders")</x:f>
      </x:c>
      <x:c r="G42" s="8" t="n">
        <x:f>=HYPERLINK("#SubObligation()","Monitoring and Reviewing Consultation, Cooperation and Coordination Arrangements ")</x:f>
      </x:c>
      <x:c r="H42" s="6" t="n">
        <x:f>=HYPERLINK("#H42","Tools")</x:f>
      </x:c>
      <x:c r="I42" s="27" t="str">
        <x:v>&lt;b&gt;&lt;p&gt;Monitoring and Reviewing Consultation, Cooperation and Coordination Arrangements &lt;/p&gt;Does the organisation have a process for monitoring and reviewing arrangements for consulting, cooperating and coordinating with other duty holders to ensure that those arrangements remain effective?&lt;/b&gt;</x:v>
      </x:c>
      <x:c r="J42" s="6" t="str">
        <x:v>&lt;p&gt;Consulting, cooperating and coordinating with other duty holders on health and safety responsibilities is an ongoing process. The type of consultation, cooperation and coordination with other duty holders may change as circumstances change over the period that organisations are involved in the same workplace or the same work. For example, a new work environment or a change in personnel may require a new approach to consulting, cooperating and coordinating, or may result in the identification of new organisations that have a duty on the same health and safety matter.&lt;/p&gt;&lt;p&gt;The process for consulting, cooperating and coordinating will depend on the nature of the work and the complexity of the interactions with other parties. In some circumstances (such as a principal engaging multiple contractors for a large-scale construction project), it would be appropriate to have formal mechanisms in place that are set out in contracts and document procedures. In other cases (such as a small business consulting, cooperating and coordinating with a supplier that attends the workplace infrequently), more informal mechanisms will be appropriate.&lt;/p&gt;&lt;p&gt;An organisation should have in place a mechanism for monitoring and reviewing arrangements for consulting, cooperating and coordinating with other duty holders, and relevant staff should report any gaps or suggest improvements to management. The organisation should consult other duty holders on any proposed changes to the arrangements as a result of the review. See Tools &amp;ndash; Model code of practice &amp;ndash; Work health and safety consultation, co-operation and co-ordination, December 2011 (Safe Work Australia).&lt;/p&gt;</x:v>
      </x:c>
      <x:c r="K42" s="6" t="n">
        <x:f>=HYPERLINK("#K42","Guidance Notes")</x:f>
      </x:c>
      <x:c r="L42" s="6" t="str">
        <x:v>&lt;p&gt;Put in place a procedure for monitoring and reviewing the effectiveness of arrangements for consulting, cooperating and coordinating with other duty holders, and consult with those duty holders on any proposed changes to the arrangements as a result of a review.&lt;/p&gt;</x:v>
      </x:c>
      <x:c r="M42" s="6" t="n">
        <x:f>=HYPERLINK("#M42","Remediation")</x:f>
      </x:c>
      <x:c r="N42" s="6" t="str">
        <x:v>&lt;p&gt;Penalties apply if a person has a duty for a health and safety matter and fails to consult, cooperate and coordinate with others who have a duty for the same matter. The maximum penalties are $100,000 for organisations and $20,000 for individuals (s 46).&lt;/p&gt;</x:v>
      </x:c>
      <x:c r="O42" s="6" t="n">
        <x:f>=HYPERLINK("#O42","Consequence")</x:f>
      </x:c>
      <x:c r="P42" s="6" t="str">
        <x:v>&lt;p&gt;&lt;a href="https://www.legislation.gov.au/Details/C2011A00137" target="_blank" &gt;Work Health and Safety Act 2011 (Cth)&lt;/a&gt; ss 16, 46 (see also corresponding Acts in ACT, NSW, NT, QLD, SA and TAS)&lt;br /&gt;Model Code of Practice &amp;ndash; Work Health and Safety Consultation, Co-operation and Co-ordination&amp;mdash;December 2011&lt;/p&gt;</x:v>
      </x:c>
      <x:c r="Q42" s="6" t="n">
        <x:f>=HYPERLINK("#Q42","Source")</x:f>
      </x:c>
      <x:c r="R42"/>
      <x:c r="S42"/>
      <x:c r="T42"/>
    </x:row>
    <x:row r="43" spans="1:20" ht="15.75" x14ac:dyDescent="0.25">
      <x:c r="A43" t="n">
        <x:v>11466</x:v>
      </x:c>
      <x:c r="B43" t="str">
        <x:v>NSW,NT,QLD,SA,TAS,ACT,COMMONWEALTH</x:v>
      </x:c>
      <x:c r="C43" t="str">
        <x:v>Obligation</x:v>
      </x:c>
      <x:c r="D43" t="str">
        <x:v>Incident Notification</x:v>
      </x:c>
      <x:c r="E43" s="31" t="n">
        <x:v>7.00</x:v>
      </x:c>
      <x:c r="F43" s="8" t="n">
        <x:f>=HYPERLINK("#Obligation()","Incident Notification")</x:f>
      </x:c>
      <x:c r="G43" s="8"/>
      <x:c r="H43" s="6" t="n">
        <x:f>=HYPERLINK("#H43","Tools")</x:f>
      </x:c>
      <x:c r="I43" s="27" t="str">
        <x:v>&lt;b&gt;&lt;p&gt;Incident Notification&lt;/p&gt;Does the organisation report notifiable incidents to the regulator immediately after becoming aware of an incident?&lt;/b&gt;</x:v>
      </x:c>
      <x:c r="J43" s="6" t="str">
        <x:v>&lt;p&gt;Under the harmonised Work Health and Safety (WHS) Acts, a &amp;lsquo;notifiable incident&amp;rsquo; is:&lt;/p&gt;&lt;ul&gt;&lt;li&gt;the death of a person&lt;/li&gt;&lt;li&gt;a serious injury or illness, or&lt;/li&gt;&lt;li&gt;a dangerous incident&lt;/li&gt;&lt;/ul&gt;&lt;p&gt;arising from the work carried out by a business or undertaking. A notifiable incident may affect not just workers, but also someone at the workplace who is not a worker, or people outside the workplace.&lt;/p&gt;&lt;p&gt;An organisation must notify the regulator immediately after becoming aware of a work-related death, serious injury or illness, or dangerous incident. The organisation must give notice to the regulator in the state or territory in which the incident occurred (or to the Commonwealth regulator if the organisation comes under Commonwealth jurisdiction). Notification must be by the fastest possible means, either by telephone or in writing (for example, email or facsimile), and provide the details of the incident required by the regulator. If the organisation gives notice by telephone, the regulator may ask for a written notice within 48 hours of making that request. Check the links in the &amp;lsquo;Tools&amp;rsquo; section for the regulator&amp;rsquo;s specific notification requirements in each jurisdiction.&lt;/p&gt;&lt;p&gt;An organisation must only notify the regulator about the most serious work-related injuries or illnesses. The WHS Acts define a serious injury or illness as one that requires a person to have:&lt;/p&gt;&lt;ul&gt;&lt;li&gt;immediate treatment as an in-patient in a hospital&lt;/li&gt;&lt;li&gt;immediate treatment for an amputation, a&amp;nbsp;&amp;nbsp;serious head or eye injury, a serious burn, the separation of skin from the&amp;nbsp;&amp;nbsp;underlying tissue (e.g. degloving or scalping), a spinal injury, the loss of&amp;nbsp;&amp;nbsp;bodily function, or serious lacerations&lt;/li&gt;&lt;li&gt;medical treatment within 48 hours of exposure to a substance.&lt;/li&gt;&lt;/ul&gt;&lt;p&gt;The table on pages 2 to 4 of the Safe Work Australia information sheet &amp;lsquo;Incident Notification&amp;rsquo; (see link in Tools section) explains in further detail what types of treatment for serious injuries or illnesses would engage the duty to notify the regulator of an incident. It is important to note that it does not matter, from a legal perspective, whether a person actually receives treatment or not. It is sufficient that the person would reasonably be expected to receive the treatment described above for the injury or illness to qualify as serious. In some cases, immediate treatment may not be readily available (for example, if the incident site is rural or remote), but the organisation must still report the incident.&lt;/p&gt;&lt;p&gt;In addition, regulation 699 of the harmonised WHS Regulations prescribes certain work-related infections and zoonoses that trigger incident notification.&lt;/p&gt;&lt;p&gt;The WHS Acts define a dangerous incident as a work-related incident that exposes a worker or any other person to a serious health and safety risk emanating from an immediate or imminent exposure to:&lt;/p&gt;&lt;ul&gt;&lt;li&gt;an uncontrolled escape, spillage or leakage of a substance&lt;/li&gt;&lt;li&gt;an uncontrolled implosion, explosion or fire&lt;/li&gt;&lt;li&gt;an uncontrolled escape of gas or steam or of a pressurised substance&lt;/li&gt;&lt;li&gt;electric shock&lt;/li&gt;&lt;li&gt;the fall or release from a height of any plant, substance or thing&lt;/li&gt;&lt;li&gt;the collapse, overturning, failure or&amp;nbsp;&amp;nbsp;malfunction of, or damage to, any plant that is required to be authorised for use in accordance with the relevant WHS Regulations&lt;/li&gt;&lt;li&gt;the collapse or partial collapse of a structure&lt;/li&gt;&lt;li&gt;the collapse or failure of an excavation or of any shoring supporting an excavation&lt;/li&gt;&lt;li&gt;the inrush of water, mud or gas in workings, in an underground excavation or tunnel&lt;/li&gt;&lt;li&gt;any other event prescribed by the Regulations.&lt;/li&gt;&lt;/ul&gt;&lt;p&gt;A dangerous incident will include &amp;lsquo;near misses&amp;rsquo;, that is, where a serious risk arises but no-one is actually injured or falls ill. A dangerous incident includes an immediate exposure to a substance, such as a hazardous chemical or asbestos, that is likely to create a serious risk to a person&amp;rsquo;s health in the future.&lt;/p&gt;&lt;p&gt;While most notifiable incidents are likely to occur at the primary workplace, or adjacent to it (for example, an awning collapse in front of commercial premises), they can also include incidents that occur at any other place the worker is undertaking work for the business (for example, an electric shock from electronic equipment while a worker is carrying out work for an organisation at home).&lt;/p&gt;&lt;p&gt;If a notifiable incident arises out of the work carried out by more than one organisation, then each organisation must ensure that the incident has been notified to the regulator. Only one organisation needs to actually notify the regulator&amp;mdash;for example, contractors at a building site might agree that the principal contractor will notify the regulator of any incidents. However, each organisation retains its responsibility to notify, regardless of any agreement between the organisations. For the contractor to show compliance with the notification duty in this instance, the contractor could obtain a copy of the reference number or written notification made by the principal contractor to the regulator.&lt;/p&gt;&lt;p&gt;An organisation must keep a record of each notifiable incident for at least 5 years.&lt;/p&gt;&lt;p&gt;Organisations should be aware that, in addition to notification requirements under the WHS Acts, as well as under the Victorian and Western Australian Acts, some incidents will require reporting to other authorities to comply with industry-specific safety legislation. For example, incidents involving electricity or dangerous goods may require notification to more than one authority.&lt;/p&gt;&lt;p&gt;The organisation should put in place a policy and procedures for ensuring that managers, supervisors and workers recognise a notifiable incident when it occurs, and that the organisation reports the incident to the regulator as soon as it becomes aware of the incident.&lt;/p&gt;&lt;p&gt;Since the WHS Acts give a broad definition to notifiable incidents and the definitions differ between jurisdictions, the organisation should conduct training to ensure that relevant staff are aware of what constitutes a notifiable incident and in what circumstances the organisation is responsible for reporting it. The organisation should also put in place internal communication systems to ensure that incidents are quickly reported up the management chain. Management should designate an individual (or individuals) with clear responsibility for promptly notifying the regulator of any notifiable incidents.&lt;/p&gt;&lt;p&gt;If applicable, the organisation should consult, cooperate and coordinate with other duty holders at the workplace, so far as is reasonably practicable, to put appropriate reporting and notification arrangements in place.&lt;/p&gt;&lt;p&gt;To manage the risk of dangerous incidents occurring outside the workplace, the organisation should develop clear guidelines that govern when workers can take the organisation&amp;rsquo;s property, such as laptops, out of the workplace. The organisation should keep a register of all such items, and ensure that the items receive regular maintenance.&lt;/p&gt;&lt;p&gt;The organisation should put in place a record-keeping system for notifiable incidents, ensuring that records are easily retrievable for at least 5 years. It is advisable to record any references numbers provided and any directions or authorisations given by an inspector at the time of notification. The information will be useful as a record that the notification was made and informing the organisation&amp;rsquo;s reviews of its work health and safety management system, including its risk management processes.&lt;/p&gt;</x:v>
      </x:c>
      <x:c r="K43" s="6" t="n">
        <x:f>=HYPERLINK("#K43","Guidance Notes")</x:f>
      </x:c>
      <x:c r="L43" s="6" t="str">
        <x:v>&lt;p&gt;The organisation should put in place procedures for complying with the requirement to report notifiable incidents to the regulator, and keep records of such incidents for at least 5 years.&lt;/p&gt;</x:v>
      </x:c>
      <x:c r="M43" s="6" t="n">
        <x:f>=HYPERLINK("#M43","Remediation")</x:f>
      </x:c>
      <x:c r="N43" s="6" t="str">
        <x:v>&lt;p&gt;Failure to report a notifiable incident, or to report the incident in the required timeframe, attracts a maximum penalty of $50,000 for an organisation and $10,000 for an individual (s 38). Failure to keep a record of each notifiable incident for at least 5 years attracts a maximum penalty of $25,000 for an organisation and $5,000 for an individual (s&amp;nbsp;38).&lt;/p&gt;</x:v>
      </x:c>
      <x:c r="O43" s="6" t="n">
        <x:f>=HYPERLINK("#O43","Consequence")</x:f>
      </x:c>
      <x:c r="P43" s="6" t="str">
        <x:v>&lt;p&gt;&lt;a href="https://www.legislation.gov.au/Details/C2011A00137" target="_blank" &gt;Work Health and Safety Act 2011 (Cth)&lt;/a&gt; ss 35&amp;ndash;39 (see also corresponding Acts in ACT, NSW, NT, QLD, SA and TAS)&lt;/p&gt;&lt;p&gt;&lt;a href="https://www.legislation.gov.au/Details/F2011L02664" target="_blank" &gt;Work Health and Safety Regulations 2011 (Cth)&lt;/a&gt; reg 699 (see also corresponding regulations in ACT, NSW, NT, QLD, SA and TAS)&lt;/p&gt;</x:v>
      </x:c>
      <x:c r="Q43" s="6" t="n">
        <x:f>=HYPERLINK("#Q43","Source")</x:f>
      </x:c>
      <x:c r="R43"/>
      <x:c r="S43"/>
      <x:c r="T43"/>
    </x:row>
    <x:row r="44" spans="1:20" ht="15.75" x14ac:dyDescent="0.25">
      <x:c r="A44" t="n">
        <x:v>11504</x:v>
      </x:c>
      <x:c r="B44" t="str">
        <x:v>NSW,NT,QLD,SA,TAS,ACT,COMMONWEALTH</x:v>
      </x:c>
      <x:c r="C44" t="inlineStr">
        <x:is>
          <x:t xml:space="preserve">  Subobligation</x:t>
        </x:is>
      </x:c>
      <x:c r="D44" t="inlineStr">
        <x:is>
          <x:t xml:space="preserve">  Preserving an Incident Site</x:t>
        </x:is>
      </x:c>
      <x:c r="E44" s="31" t="n">
        <x:v>7.01</x:v>
      </x:c>
      <x:c r="F44" s="8" t="n">
        <x:f>=HYPERLINK("#Obligation()","Incident Notification")</x:f>
      </x:c>
      <x:c r="G44" s="8" t="n">
        <x:f>=HYPERLINK("#SubObligation()","Preserving an Incident Site")</x:f>
      </x:c>
      <x:c r="H44" s="6" t="n">
        <x:f>=HYPERLINK("#H44","Tools")</x:f>
      </x:c>
      <x:c r="I44" s="27" t="str">
        <x:v>&lt;b&gt;&lt;p&gt;Preserving an Incident Site&lt;/p&gt;Does the organisation ensure that it preserves a site where a notifiable incident has occurred until an inspector arrives or directs otherwise, while bearing in mind that some actions at the site are permitted?&lt;/b&gt;</x:v>
      </x:c>
      <x:c r="J44" s="6" t="str">
        <x:v>&lt;p&gt;When a notifiable incident occurs, the person with management or control of the workplace must take reasonable steps to keep the site of the incident undisturbed until an inspector (appointed by the regulator) arrives to investigate the incident, or until the inspector directs otherwise.&lt;/p&gt;&lt;p&gt;The requirement to preserve an incident site includes leaving the plant, substance, structure or anything associated with the incident undisturbed, where it is reasonable and achievable to do so. Disturbing the site could interfere with the inspector&amp;rsquo;s ability to investigate and determine the causes of the incident.&lt;/p&gt;&lt;p&gt;Preservation of an incident site does not prevent any action required to:&lt;/p&gt;&lt;ul&gt;&lt;li&gt;assist an injured person&lt;/li&gt;&lt;li&gt;remove a deceased person&lt;/li&gt;&lt;li&gt;make the site safe or minimise the risk of another notifiable incident&lt;/li&gt;&lt;li&gt;assist with any police investigation.&lt;/li&gt;&lt;/ul&gt;&lt;p&gt;In some cases, the inspector or regulator may give permission for other actions at the incident site.&lt;/p&gt;&lt;p&gt;Once on site, the inspector has the power to issue a non-disturbance notice that requires a site to be preserved for a specified period (of no more than 7 days) in order to facilitate an investigation (either of an incident that has occurred or even in the absence of an incident).&lt;/p&gt;&lt;p&gt;In addition, a health and safety representative has the power to inspect the site of any workplace incident that involves a work group that he or she represents, although this power would not override any duty owed or notice issued to preserve the site unless such permission is given by the attending inspector.&lt;/p&gt;&lt;p&gt;The organisation should put in place a policy and procedures for ensuring that the sites of notifiable incidents are not disturbed (with the exception of permitted actions) until the arrival of the inspector, or until the inspector directs otherwise. The organisation should conduct training to ensure that all relevant staff are aware of this legal requirement&amp;nbsp;&amp;nbsp;and that they are also aware of the exceptions to the requirement (for example, actions to assist an injured person or make the site safe).&lt;/p&gt;&lt;p&gt;The organisation should have in place appropriate policies and procedures (including first aid and emergency procedures) for assisting the injured, removing the deceased and making an incident site safe. The procedures should include calling for medical assistance if someone is seriously injured, and seeking direction from ambulance or police officers if someone has died. Some immediate actions to make an incident site safe will be obvious, such as disconnecting live power lines that are threatening safety. In less clear-cut circumstances, it may be best to seek the views of an inspector before changing anything at a site. The organisation may also wish to seek immediate or very early legal advice in the event of an incident, even before the inspector arrives on site.&lt;/p&gt;&lt;p&gt;If the organisation does not manage or control the site where a notifiable incident occurs (for example, if the organisation is a tenant in a multitenant commercial building, or a contracting firm working for a principal contractor at a building site), it is required in harmonised jurisdictions (and good practice in others) to have a process in place for consulting, cooperating and coordinating with the person who manages or controls the workplace to ensure, so far as is reasonably practicable, that the incident site is preserved. Where an organisation is in control or management of the site (or part of the site) which is shared with other businesses, it will need to confirm that those other parties are aware of the obligation not to disturb the area and, if necessary, take steps to prevent unauthorised access. See Tools &amp;ndash; Checklist: Incident management and notification and Incident notification (Safe Work Australia information sheet, November 2015).&lt;/p&gt;</x:v>
      </x:c>
      <x:c r="K44" s="6" t="n">
        <x:f>=HYPERLINK("#K44","Guidance Notes")</x:f>
      </x:c>
      <x:c r="L44" s="6" t="str">
        <x:v>&lt;p&gt;Put in place measures to ensure that the site of a notifiable incident is not disturbed until the arrival of an inspector, or until the inspector directs otherwise, and ensure that staff are aware of the lawful exceptions to this requirement.&lt;/p&gt;</x:v>
      </x:c>
      <x:c r="M44" s="6" t="n">
        <x:f>=HYPERLINK("#M44","Remediation")</x:f>
      </x:c>
      <x:c r="N44" s="6" t="str">
        <x:v>&lt;p&gt;The maximum penalties for unlawfully disturbing the site of a notifiable incident are $50,000 for an organisation and $10,000 for an individual (s 39).&lt;/p&gt;</x:v>
      </x:c>
      <x:c r="O44" s="6" t="n">
        <x:f>=HYPERLINK("#O44","Consequence")</x:f>
      </x:c>
      <x:c r="P44" s="6" t="str">
        <x:v>&lt;p&gt;&lt;a href="https://www.legislation.gov.au/Details/C2011A00137" target="_blank" &gt;Work Health and Safety Act 2011 (Cth)&lt;/a&gt; ss 39, 68, 199 (see also corresponding Acts in ACT, NSW, NT, QLD, SA and TAS)&lt;/p&gt;</x:v>
      </x:c>
      <x:c r="Q44" s="6" t="n">
        <x:f>=HYPERLINK("#Q44","Source")</x:f>
      </x:c>
      <x:c r="R44"/>
      <x:c r="S44"/>
      <x:c r="T44"/>
    </x:row>
    <x:row r="45" spans="1:20" ht="15.75" x14ac:dyDescent="0.25">
      <x:c r="A45" t="n">
        <x:v>11947</x:v>
      </x:c>
      <x:c r="B45" t="str">
        <x:v>NSW,NT,QLD,SA,TAS,ACT,COMMONWEALTH</x:v>
      </x:c>
      <x:c r="C45" t="str">
        <x:v>Obligation</x:v>
      </x:c>
      <x:c r="D45" t="str">
        <x:v>Investigations and Enforcement</x:v>
      </x:c>
      <x:c r="E45" s="31" t="n">
        <x:v>8.00</x:v>
      </x:c>
      <x:c r="F45" s="8" t="n">
        <x:f>=HYPERLINK("#Obligation()","Investigations and Enforcement")</x:f>
      </x:c>
      <x:c r="G45" s="8"/>
      <x:c r="H45" s="6" t="n">
        <x:f>=HYPERLINK("#H45","Tools")</x:f>
      </x:c>
      <x:c r="I45" s="27" t="str">
        <x:v>&lt;b&gt;&lt;p&gt;Investigations and Enforcement&lt;/p&gt;Is the organisation familiar with the range of tools that the regulator and inspectors can use to encourage, monitor and enforce compliance with work health and safety laws?&lt;/b&gt;</x:v>
      </x:c>
      <x:c r="J45" s="6" t="str">
        <x:v>&lt;p&gt;The harmonised Work Health and Safety (WHS) Acts and Regulations provide a consistent approach across jurisdictions to monitoring and enforcing compliance with work health and safety laws.&lt;/p&gt;&lt;p&gt;The work health and safety regulator in each jurisdiction seek to prevent workplace deaths, injuries and illness by:&lt;/p&gt;&lt;ul&gt;&lt;li&gt;providing advice and information to industry, businesses, not-for-profit organisations, unions, workers and the community&lt;/li&gt;&lt;li&gt;monitoring and enforcing compliance with the work health and safety laws&lt;/li&gt;&lt;li&gt;fostering cooperative, consultative relationships between duty holders and the persons to whom they owe duties and their representatives&lt;/li&gt;&lt;li&gt;sharing information with other regulators&lt;/li&gt;&lt;li&gt;conducting and defending proceedings under work health and safety laws.&lt;/li&gt;&lt;/ul&gt;&lt;p&gt;The regulators seek to use an effective mix of tools to encourage and secure the highest possible levels of compliance with work health and safety laws, including:&lt;/p&gt;&lt;ul&gt;&lt;li&gt;positive motivators (e.g. information, guidance, education and advice)&lt;/li&gt;&lt;li&gt;resolving, or helping parties to resolve, work health and safety disputes&lt;/li&gt;&lt;li&gt;compliance monitoring (e.g. inspections and investigations)&lt;/li&gt;&lt;li&gt;remedial measures (e.g. improvement notices, prohibition notices)&lt;/li&gt;&lt;li&gt;deterrents (e.g. criminal penalties; court orders, including injunctions; revoking, suspending or cancelling authorisations to carry out certain types of work; infringement notices; and enforceable undertakings)&lt;/li&gt;&lt;li&gt;publishing information about compliance and enforcement activities.&lt;/li&gt;&lt;/ul&gt;&lt;p&gt;The regulators will seek to apply the tools that are most appropriate in the particular circumstances, taking into account such factors as the extent of the risk to health and safety, the seriousness of a breach, the behaviour, culpability and compliance history of the duty holder, and the likelihood of a repeat offence.&lt;/p&gt;&lt;p&gt;If an inspector is concerned that a dangerous activity is occurring or may be repeated at a workplace, he or she can issue a notice to prohibit that activity from occurring until the risk has been remedied.&lt;/p&gt;&lt;p&gt;Inspectors can also issue improvement notices requiring businesses to take certain remedial steps to rectify an alleged breach of the law.&lt;/p&gt;&lt;p&gt;Infringement notices are a mechanism for regulators and inspectors to impose an immediate form of punishment for certain types of breaches, generally when the breach is not serious enough to warrant prosecution.&lt;/p&gt;&lt;p&gt;In deciding whether to bring a prosecution for a work health and safety breach, the regulators will consider, among other things, the seriousness of the alleged breach, whether there is sufficient evidence and a reasonable prospect of conviction, and whether the prosecution would be in the broader public interest.&lt;/p&gt;&lt;p&gt;Inspectors, who are appointed by the regulators, attend workplaces and other sites to conduct inspections to monitor compliance and undertake investigations into incidents to assess whether there has been a breach of the law. Priority areas for investigations include:&lt;/p&gt;&lt;ul&gt;&lt;li&gt;work-related deaths and serious injuries or illness, including where there is a risk of such outcomes&lt;/li&gt;&lt;li&gt;noncompliance with inspectors&amp;rsquo; notices or directions&lt;/li&gt;&lt;li&gt;offences against inspectors&lt;/li&gt;&lt;li&gt;offences against health and safety representatives and matters relating to WHS entry permit holders&lt;/li&gt;&lt;li&gt;discrimination against workers on the basis of their work health and safety activities&lt;/li&gt;&lt;li&gt;failure to notify incidents.&lt;/li&gt;&lt;/ul&gt;&lt;p&gt;The harmonised WHS Acts provide for organisations and others to seek internal and/or external reviews of certain decisions made by inspectors and the regulators.&lt;/p&gt;&lt;p&gt;The organisation should have a procedure in place for complying in a timely manner with any notices or directions issued by the regulator or an inspector. The organisation should maintain communication with the regulator or an inspector in the event of an inspection or investigation of an incident. In the event of a notifiable incident, the organisation may wish to consider obtaining expert legal advice.&lt;/p&gt;&lt;p&gt;The organisation should conduct training to ensure that management and all relevant staff understand the various tools that the regulator and inspectors can use to encourage, monitor and enforce compliance with work health and safety laws, including the compliance powers that inspectors can exercise at the workplace. The organisation should draw on the considerable information and guidance available from the regulator about compliance and enforcement.&lt;/p&gt;&lt;p&gt;The organisation should keep records of its dealings with the regulator or an inspector, and the steps taken to comply with the regulator or inspector&amp;rsquo;s directions.&lt;/p&gt;</x:v>
      </x:c>
      <x:c r="K45" s="6" t="n">
        <x:f>=HYPERLINK("#K45","Guidance Notes")</x:f>
      </x:c>
      <x:c r="L45" s="6" t="str">
        <x:v>&lt;p&gt;Ensure that management and relevant staff understand the various tools that the regulator and inspectors can use to encourage, monitor and enforce compliance with work health and safety laws.&lt;/p&gt;</x:v>
      </x:c>
      <x:c r="M45" s="6" t="n">
        <x:f>=HYPERLINK("#M45","Remediation")</x:f>
      </x:c>
      <x:c r="N45" s="6" t="str">
        <x:v>&lt;p&gt;The consequences of failing to comply with work health and safety laws can be considerable, and may include imprisonment and hefty financial penalties if convicted of a serious offence.&lt;/p&gt;&lt;p&gt;Various penalties apply for offences in relation to inspectors, failure to comply with notices or directions issued by the regulator or an inspector (such as improvement notices, prohibition notices and non-disturbance notices), and failure to comply with enforceable undertakings while they are in effect.&lt;/p&gt;&lt;p&gt;A failure to make a payment that is required under an infringement notice may result in proceedings being brought.&lt;/p&gt;</x:v>
      </x:c>
      <x:c r="O45" s="6" t="n">
        <x:f>=HYPERLINK("#O45","Consequence")</x:f>
      </x:c>
      <x:c r="P45" s="6" t="str">
        <x:v>&lt;p&gt;&lt;a href="https://www.legislation.gov.au/Details/F2011L02664" target="_blank" &gt;Work Health and Safety Act 2011 (Cth)&lt;/a&gt; Pts 8&amp;ndash;13 (see also corresponding Acts in ACT, NSW, NT, QLD, SA and TAS)&lt;/p&gt;</x:v>
      </x:c>
      <x:c r="Q45" s="6" t="n">
        <x:f>=HYPERLINK("#Q45","Source")</x:f>
      </x:c>
      <x:c r="R45"/>
      <x:c r="S45"/>
      <x:c r="T45"/>
    </x:row>
    <x:row r="46" spans="1:20" ht="15.75" x14ac:dyDescent="0.25">
      <x:c r="A46" t="n">
        <x:v>11951</x:v>
      </x:c>
      <x:c r="B46" t="str">
        <x:v>NSW,NT,QLD,SA,TAS,ACT,COMMONWEALTH</x:v>
      </x:c>
      <x:c r="C46" t="inlineStr">
        <x:is>
          <x:t xml:space="preserve">  Subobligation</x:t>
        </x:is>
      </x:c>
      <x:c r="D46" t="inlineStr">
        <x:is>
          <x:t xml:space="preserve">  Providing Information, Documents and Evidence to the Regulator</x:t>
        </x:is>
      </x:c>
      <x:c r="E46" s="31" t="n">
        <x:v>8.01</x:v>
      </x:c>
      <x:c r="F46" s="8" t="n">
        <x:f>=HYPERLINK("#Obligation()","Investigations and Enforcement")</x:f>
      </x:c>
      <x:c r="G46" s="8" t="n">
        <x:f>=HYPERLINK("#SubObligation()","Providing Information, Documents and Evidence to the Regulator")</x:f>
      </x:c>
      <x:c r="H46" s="6" t="n">
        <x:f>=HYPERLINK("#H46","Tools")</x:f>
      </x:c>
      <x:c r="I46" s="27" t="str">
        <x:v>&lt;b&gt;&lt;p&gt;Providing Information, Documents and Evidence to the Regulator&lt;/p&gt;Does the organisation ensure that it gives information, documents or evidence to the regulator in response to a written notice from the regulator?&lt;/b&gt;</x:v>
      </x:c>
      <x:c r="J46" s="6" t="str">
        <x:v>&lt;p&gt;The regulator may issue a written notice that requires an organisation or individual to give information, provide documents or give evidence in relation to a possible breach of the relevant Work Health and Safety (WHS) Act, or to help the regulator monitor or enforce compliance with the Act.&lt;/p&gt;&lt;p&gt;The regulator is only entitled to issue a notice to a person if it has reasonable grounds to believe that the organisation or individual is capable of providing relevant information, documents or evidence.&lt;/p&gt;&lt;p&gt;After receiving a notice, the organisation or individual must do one or more of the following things, depending on the requirements in the notice:&lt;/p&gt;&lt;ul&gt;&lt;li&gt;give the regulator information in writing about which the organisation or individual has knowledge&lt;/li&gt;&lt;li&gt;sign the written information (in the case of an organisation, a competent officer must sign)&lt;/li&gt;&lt;li&gt;provide the information within the time and in the manner specified in the notice&lt;/li&gt;&lt;li&gt;produce documents in accordance with the notice&lt;/li&gt;&lt;li&gt;appear before a person appointed by the regulator on a day, and at a time and place, specified in the notice to give evidence either orally or in writing and/or produce the specified documents (the day, time and place must be reasonable in the circumstances).&lt;/li&gt;&lt;/ul&gt;&lt;p&gt;The regulator must only ask a person to appear to give evidence or produce documents if it has already taken all reasonable steps to obtain the written information or documents and has been unable to do so.&lt;/p&gt;&lt;p&gt;Under section 172 of the harmonised WHS Acts (except in South Australia), an organisation or individual is not excused from answering a question or providing information to the regulator on the ground that the answer to the question, or the information or document, may tend to incriminate the organisation or individual, or expose the organisation or individual to a penalty. This provision is described as the &amp;lsquo;abrogation of privilege against self-incrimination&amp;rsquo;. South Australia has preserved the privilege against self-incrimination in its WHS Act, and so individuals can refuse to answer questions on this basis. The privilege against self-incrimination will not apply to corporations.&lt;/p&gt;&lt;p&gt;In the case of an individual, none of the following is admissible in evidence in civil or criminal proceedings against the person:&lt;/p&gt;&lt;ul&gt;&lt;li&gt;the answer to the regulator&amp;rsquo;s question&lt;/li&gt;&lt;li&gt;the production of the information or document&lt;/li&gt;&lt;li&gt;any information, document or thing obtained as a direct or indirect consequence of answering the question or producing the information or document.&lt;/li&gt;&lt;/ul&gt;&lt;p&gt;In addition, the harmonised WHS Acts contain a provision that confirms that a person is not required to produce a document that would disclose information, or otherwise provide information, that is the subject of legal professional privilege (section 269). This provision is designed to protect communications between legal practitioners and their clients from disclosure under compulsion.&lt;/p&gt;&lt;p&gt;The regulator&amp;rsquo;s notice must contain the following details:&lt;/p&gt;&lt;ul&gt;&lt;li&gt;the section of the Act under which the requirement is made&lt;/li&gt;&lt;li&gt;a statement to the effect that a failure to comply with a requirement is an offence&lt;/li&gt;&lt;li&gt;(if the notice requires the person to provide information or documents or answer questions) a statement about the effect of section 172 (concerning the abrogation of privilege against self-incrimination&amp;mdash;except in South Australia) and section 269 (concerning legal professional privilege) of the relevant WHS Act&lt;/li&gt;&lt;li&gt;(if the notice requires the person to provide information or documents or answer questions) a statement that the organisation or individual may attend with a lawyer.&lt;/li&gt;&lt;/ul&gt;&lt;p&gt;The organisation should have carefully prepared procedures for dealing with the regulator&amp;rsquo;s requests for information. The organisation should examine a regulator&amp;rsquo;s written notice carefully and consider seeking legal advice on how to respond. The organisation should also consider having a lawyer present if it is required to appear before the regulator to provide a document or answer questions.&lt;/p&gt;&lt;p&gt;Care should be taken before a person refuses to comply with an inspector&amp;rsquo;s request to produce a document or answer a question on the basis of legal professional privilege. It is not always easy to tell whether privilege exists, and there are circumstances where privilege can be lost. It is advisable to seek prompt legal advice before responding to a notice to produce documents or information.&lt;/p&gt;&lt;p&gt;The organisation should keep a record of any information or documents that it provides to the regulator, and of any discussions with the regulator. The organisation should also keep a record of any directions given by the regulator, and confirm these directions with the regulator. See Tools &amp;ndash; Safe Work Australia, &amp;lsquo;Work health and safety regulators&amp;rsquo; and National compliance and enforcement policy (Safe Work Australia, September 2011).&lt;/p&gt;</x:v>
      </x:c>
      <x:c r="K46" s="6" t="n">
        <x:f>=HYPERLINK("#K46","Guidance Notes")</x:f>
      </x:c>
      <x:c r="L46" s="6" t="str">
        <x:v>&lt;p&gt;Put in place a process to give information, provide documents or give evidence required in a written notice from the regulator.&lt;/p&gt;</x:v>
      </x:c>
      <x:c r="M46" s="6" t="n">
        <x:f>=HYPERLINK("#M46","Remediation")</x:f>
      </x:c>
      <x:c r="N46" s="6" t="str">
        <x:v>&lt;p&gt;Penalties apply for refusing or failing to comply with a regulator&amp;rsquo;s requirement to give information, provide documents or give evidence. The maximum penalties are $50,000 for an organisation and $10,000 for an individual (s 155).&lt;/p&gt;</x:v>
      </x:c>
      <x:c r="O46" s="6" t="n">
        <x:f>=HYPERLINK("#O46","Consequence")</x:f>
      </x:c>
      <x:c r="P46" s="6" t="str">
        <x:v>&lt;p&gt;&lt;a href="https://www.legislation.gov.au/Details/C2011A00137" target="_blank" &gt;Work Health and Safety Act 2011 (Cth)&lt;/a&gt; ss 155, 172, 269 (see also corresponding Acts in ACT, NSW, NT, QLD, SA and TAS)&lt;/p&gt;</x:v>
      </x:c>
      <x:c r="Q46" s="6" t="n">
        <x:f>=HYPERLINK("#Q46","Source")</x:f>
      </x:c>
      <x:c r="R46"/>
      <x:c r="S46"/>
      <x:c r="T46"/>
    </x:row>
    <x:row r="47" spans="1:20" ht="15.75" x14ac:dyDescent="0.25">
      <x:c r="A47" t="n">
        <x:v>11954</x:v>
      </x:c>
      <x:c r="B47" t="str">
        <x:v>NSW,NT,QLD,SA,TAS,ACT,COMMONWEALTH</x:v>
      </x:c>
      <x:c r="C47" t="inlineStr">
        <x:is>
          <x:t xml:space="preserve">  Subobligation</x:t>
        </x:is>
      </x:c>
      <x:c r="D47" t="inlineStr">
        <x:is>
          <x:t xml:space="preserve">  Inspector’s Power to Enter a Workplace</x:t>
        </x:is>
      </x:c>
      <x:c r="E47" s="31" t="n">
        <x:v>8.02</x:v>
      </x:c>
      <x:c r="F47" s="8" t="n">
        <x:f>=HYPERLINK("#Obligation()","Investigations and Enforcement")</x:f>
      </x:c>
      <x:c r="G47" s="8" t="n">
        <x:f>=HYPERLINK("#SubObligation()","Inspector’s Power to Enter a Workplace")</x:f>
      </x:c>
      <x:c r="H47" s="6" t="n">
        <x:f>=HYPERLINK("#H47","Tools")</x:f>
      </x:c>
      <x:c r="I47" s="27" t="str">
        <x:v>&lt;b&gt;&lt;p&gt;Inspector’s Power to Enter a Workplace&lt;/p&gt;Does the organisation ensure that it does not hinder or obstruct an inspector exercising his or her power to enter a workplace?&lt;/b&gt;</x:v>
      </x:c>
      <x:c r="J47" s="6" t="str">
        <x:v>&lt;p&gt;Under the harmonised Work Health and Safety (WHS) Acts, an inspector (appointed by the regulator) has the power to enter a workplace at any time&amp;mdash;with or without the consent of the person who manages or controls the workplace&amp;mdash;to investigate possible breaches of the relevant Work Health and Safety Act, monitor compliance with the Act, or exercise other powers. An organisation must not hinder or obstruct an inspector who is seeking entry to a workplace.&lt;/p&gt;&lt;p&gt;An inspector does not need to give prior notice of entry to a workplace, but must, as soon as practicable after entry, take all reasonable steps to notify the following people of the entry and the purpose of the entry:&lt;/p&gt;&lt;ul&gt;&lt;li&gt;the relevant person conducting a business or undertaking at the workplace&lt;/li&gt;&lt;li&gt;the person with management or control of the workplace (this person may be different from the person conducting a business or undertaking, particularly at multibusiness workplaces)&lt;/li&gt;&lt;li&gt;any health and safety representative for workers carrying out work at the workplace.&lt;/li&gt;&lt;/ul&gt;&lt;p&gt;However, an inspector is not required to notify any person if doing so would defeat the purpose of the entry to the workplace or cause unreasonable delay.&lt;/p&gt;&lt;p&gt;An inspector must present his or her identity card on request when exercising compliance powers, such as the power to enter a workplace. An assistant, such as an interpreter or IT specialist, may accompany an inspector who enters a workplace if the inspector considers that the assistance is necessary.&lt;/p&gt;&lt;p&gt;An inspector may enter residential premises only if:&lt;/p&gt;&lt;ul&gt;&lt;li&gt;it is necessary to gain access to a workplace and the inspector enters at a reasonable time&lt;/li&gt;&lt;li&gt;a search warrant authorises the inspector to enter the premises&lt;/li&gt;&lt;li&gt;the person who manages or controls the premises gives his or her consent.&lt;/li&gt;&lt;/ul&gt;&lt;p&gt;An inspector may enter any place (such as a private residence) if the entry is authorised by a search warrant. Before executing the warrant, an inspector must announce that he or she is authorised by the warrant to enter the place, and give any person at the place an opportunity to allow entry, unless the inspector reasonably believes that immediate entry is needed to ensure safety and the effective execution of the warrant. If the person who appears to have management or control of the place is present, the inspector must show his or her identify card to that person and give that person an executed copy of the warrant.&lt;/p&gt;&lt;p&gt;The organisation should have in place a procedure to ensure that an inspector seeking to enter the workplace is not hindered or obstructed in any way. In particular, the organisation should ensure management and relevant staff are aware of an inspector&amp;rsquo;s power to enter a workplace without prior notice, and any other obligations or rights that might apply while the inspector is on site. See Tools &amp;ndash; Checklist: An inspector&amp;rsquo;s compliance powers, Checklist: An inspector&amp;rsquo;s powers of entry under a search warrant, National compliance and enforcement policy (Safe Work Australia, September 2011).&lt;/p&gt;&lt;p&gt;If a person claiming to be an inspector does not produce his or her identity card, the organisation should ask to see the card. If any doubt remains about the person&amp;rsquo;s identity, the organisation should call the regulator to ensure that the person is genuine. Since lack of cooperation with an inspector, or hindering or obstructing an officer, can be an offence, the organisation should make it clear to the person that it is carrying out an identity check and not refusing cooperation.&lt;/p&gt;&lt;p&gt;As an inspector can sometimes have an assistant, the organisation should ask the inspector to identify any person accompanying the inspector.&lt;/p&gt;&lt;p&gt;The organisation should nominate an appropriate person to escort the inspector while he or she is at the workplace and to:&lt;/p&gt;&lt;ul&gt;&lt;li&gt;note the identity of any inspector (or assistant) who the organisation deals with, and the stated purpose of any visits&lt;/li&gt;&lt;li&gt;record any powers exercised or directions given by an inspector, and to confirm these directions with the inspector.&lt;/li&gt;&lt;/ul&gt;</x:v>
      </x:c>
      <x:c r="K47" s="6" t="n">
        <x:f>=HYPERLINK("#K47","Guidance Notes")</x:f>
      </x:c>
      <x:c r="L47" s="6" t="str">
        <x:v>&lt;p&gt;Put in place processes or procedures to ensure that the organisation does not hinder or obstruct an inspector&amp;rsquo;s entry to the workplace, which may include seeking legal advice or providing training to management and relevant staff to ensure they understand what is required of them to assist an inspector and any rights that may be available while an inspector is on site.&lt;/p&gt;</x:v>
      </x:c>
      <x:c r="M47" s="6" t="n">
        <x:f>=HYPERLINK("#M47","Remediation")</x:f>
      </x:c>
      <x:c r="N47" s="6" t="str">
        <x:v>&lt;p&gt;Penalties apply for intentionally hindering or obstructing an inspector in exercising his or her compliance powers, including the power to enter a workplace. Penalties also apply if someone induces or attempts to induce any other person to hinder or obstruct an inspector. The maximum penalties are $50,000 for an organisation and $10,000 for an individual (s 188). The maximum penalties for assaulting, threatening or intimidating an inspector are $250,000 for an organisation and $50,000 and/or 2 years&amp;rsquo; imprisonment for an individual (s 190).&lt;/p&gt;</x:v>
      </x:c>
      <x:c r="O47" s="6" t="n">
        <x:f>=HYPERLINK("#O47","Consequence")</x:f>
      </x:c>
      <x:c r="P47" s="6" t="str">
        <x:v>&lt;p&gt;&lt;a href="https://www.legislation.gov.au/Details/C2011A00137" target="_blank" &gt;Work Health and Safety Act 2011 (Cth)&lt;/a&gt; ss 157, 163&amp;ndash;164, 166&amp;ndash;170, 188, 190 (see also corresponding Acts in ACT, NSW, NT, QLD, SA and TAS)&lt;/p&gt;</x:v>
      </x:c>
      <x:c r="Q47" s="6" t="n">
        <x:f>=HYPERLINK("#Q47","Source")</x:f>
      </x:c>
      <x:c r="R47"/>
      <x:c r="S47"/>
      <x:c r="T47"/>
    </x:row>
    <x:row r="48" spans="1:20" ht="15.75" x14ac:dyDescent="0.25">
      <x:c r="A48" t="n">
        <x:v>11957</x:v>
      </x:c>
      <x:c r="B48" t="str">
        <x:v>NSW,NT,QLD,SA,TAS,ACT,COMMONWEALTH</x:v>
      </x:c>
      <x:c r="C48" t="inlineStr">
        <x:is>
          <x:t xml:space="preserve">  Subobligation</x:t>
        </x:is>
      </x:c>
      <x:c r="D48" t="inlineStr">
        <x:is>
          <x:t xml:space="preserve">  Giving Reasonable Help to an Inspector</x:t>
        </x:is>
      </x:c>
      <x:c r="E48" s="31" t="n">
        <x:v>8.03</x:v>
      </x:c>
      <x:c r="F48" s="8" t="n">
        <x:f>=HYPERLINK("#Obligation()","Investigations and Enforcement")</x:f>
      </x:c>
      <x:c r="G48" s="8" t="n">
        <x:f>=HYPERLINK("#SubObligation()","Giving Reasonable Help to an Inspector")</x:f>
      </x:c>
      <x:c r="H48" s="6" t="n">
        <x:f>=HYPERLINK("#H48","Tools")</x:f>
      </x:c>
      <x:c r="I48" s="27" t="str">
        <x:v>&lt;b&gt;&lt;p&gt;Giving Reasonable Help to an Inspector&lt;/p&gt;Does the organisation comply with an inspector's requirement to give reasonable help to the inspector in exercising his or her powers at the workplace?&lt;/b&gt;</x:v>
      </x:c>
      <x:c r="J48" s="6" t="str">
        <x:v>&lt;p&gt;Once an inspector has lawfully entered a workplace, he or she has the power to do any of the following:&lt;/p&gt;&lt;ul&gt;&lt;li&gt;inspect and examine the workplace, and make inquiries&lt;/li&gt;&lt;li&gt;inspect and examine anything (including a&amp;nbsp;&amp;nbsp;document) at the workplace&lt;/li&gt;&lt;li&gt;bring to the workplace and use any necessary equipment or materials&lt;/li&gt;&lt;li&gt;take measurements, conduct tests and make sketches or recordings&lt;/li&gt;&lt;li&gt;take and remove for analysis a sample of any substance or thing.&lt;/li&gt;&lt;/ul&gt;&lt;p&gt;An inspector can also require a person at the workplace to give reasonable help to the inspector to exercise the powers listed above. An organisation or individual must not, without reasonable excuse, refuse or fail to comply with this requirement. Organisations should be aware that the requirement to assist an inspector is limited to what is reasonable, including having regard to any safety concerns that may be associated with providing any such assistance and any legal rights or obligations that may otherwise apply.&lt;/p&gt;&lt;p&gt;An inspector can also exercise any other compliance power or other reasonably necessary power for the purposes of the relevant Work Health and Safety (WHS) Act.&lt;/p&gt;&lt;p&gt;Inspectors must take all reasonable steps to ensure that they and any assistants under their direction cause as little inconvenience, detriment and damage as is practicable while exercising their compliance powers. The harmonised WHS Acts make provisions for an inspector to give notice of any damage and for an organisation or individual to claim compensation for a loss or expense incurred as a direct result of the damage.&lt;/p&gt;&lt;p&gt;Anything lawfully done by an inspector&amp;rsquo;s assistant (such as an interpreter or IT specialist) under the direction of an inspector is taken for all purposes to have been done by the inspector.&lt;/p&gt;&lt;p&gt;The organisation should have in place procedures to provide reasonable help to an inspector in exercising his or her powers at the workplace. It should provide training to ensure that relevant personnel understand their obligations and any rights that may be available to them while an inspector is on site. The organisation should maintain communication with the inspector about what is reasonable in the circumstances, while bearing in mind that it is an offence to refuse or fail to comply with an inspector&amp;rsquo;s legitimate requirements without reasonable excuse. The organisation may also wish to seek legal advice about what is reasonable in the circumstances. Tools &amp;ndash; National compliance and enforcement policy (Safe Work Australia, September 2011).&lt;/p&gt;&lt;p&gt;The organisation should keep a note of the identity of any inspector (or assistant) who it deals with, and the stated purpose of any visits. The organisation should also keep a record of any directions given by an inspector, and confirm these directions with the inspector.&lt;/p&gt;</x:v>
      </x:c>
      <x:c r="K48" s="6" t="n">
        <x:f>=HYPERLINK("#K48","Guidance Notes")</x:f>
      </x:c>
      <x:c r="L48" s="6" t="str">
        <x:v>&lt;p&gt;Put in place processes or procedures to ensure that the organisation complies with an inspector&amp;rsquo;s requirement to give reasonable help to the inspector in exercising his or her powers at the workplace.&lt;/p&gt;</x:v>
      </x:c>
      <x:c r="M48" s="6" t="n">
        <x:f>=HYPERLINK("#M48","Remediation")</x:f>
      </x:c>
      <x:c r="N48" s="6" t="str">
        <x:v>&lt;p&gt;Penalties apply if an organisation or individual, without reasonable excuse, refuses or fails comply with an inspector&amp;rsquo;s requirement to give reasonable help to the inspector in exercising his or her powers. The maximum penalties are $50,000 for an organisation and $10,000 for an individual (s&amp;nbsp;165).&lt;/p&gt;</x:v>
      </x:c>
      <x:c r="O48" s="6" t="n">
        <x:f>=HYPERLINK("#O48","Consequence")</x:f>
      </x:c>
      <x:c r="P48" s="6" t="str">
        <x:v>&lt;p&gt;&lt;a href="https://www.legislation.gov.au/Details/C2011A00137" target="_blank" &gt;Work Health and Safety Act 2011 (Cth)&lt;/a&gt; ss 165, 182&amp;ndash;184 (see also corresponding Acts in ACT, NSW, NT, QLD, SA and TAS)&lt;/p&gt;</x:v>
      </x:c>
      <x:c r="Q48" s="6" t="n">
        <x:f>=HYPERLINK("#Q48","Source")</x:f>
      </x:c>
      <x:c r="R48"/>
      <x:c r="S48"/>
      <x:c r="T48"/>
    </x:row>
    <x:row r="49" spans="1:20" ht="15.75" x14ac:dyDescent="0.25">
      <x:c r="A49" t="n">
        <x:v>11960</x:v>
      </x:c>
      <x:c r="B49" t="str">
        <x:v>NSW,NT,QLD,SA,TAS,ACT,COMMONWEALTH</x:v>
      </x:c>
      <x:c r="C49" t="inlineStr">
        <x:is>
          <x:t xml:space="preserve">  Subobligation</x:t>
        </x:is>
      </x:c>
      <x:c r="D49" t="inlineStr">
        <x:is>
          <x:t xml:space="preserve">  Providing Documents to an Inspector and Answering an Inspector’s Questions</x:t>
        </x:is>
      </x:c>
      <x:c r="E49" s="31" t="n">
        <x:v>8.04</x:v>
      </x:c>
      <x:c r="F49" s="8" t="n">
        <x:f>=HYPERLINK("#Obligation()","Investigations and Enforcement")</x:f>
      </x:c>
      <x:c r="G49" s="8" t="n">
        <x:f>=HYPERLINK("#SubObligation()","Providing Documents to an Inspector and Answering an Inspector’s Questions")</x:f>
      </x:c>
      <x:c r="H49" s="6" t="n">
        <x:f>=HYPERLINK("#H49","Tools")</x:f>
      </x:c>
      <x:c r="I49" s="27" t="str">
        <x:v>&lt;b&gt;&lt;p&gt;Providing Documents to an Inspector and Answering an Inspector’s Questions&lt;/p&gt;Does the organisation ensure that it properly responds to an inspector's requirements to provide information or documents, and that people at the workplace understand their obligations and rights in relation to answering an inspector's questions or providing documents?&lt;/b&gt;</x:v>
      </x:c>
      <x:c r="J49" s="6" t="str">
        <x:v>&lt;p&gt;Once an inspector has entered a workplace, he or she may:&lt;/p&gt;&lt;ul&gt;&lt;li&gt;require a person to tell the inspector who has custody of, or access to, a document, or&lt;/li&gt;&lt;li&gt;require a person who has custody of, or access to, a document to produce that document to the inspector while the inspector is at the workplace or within a specified period&lt;/li&gt;&lt;li&gt;require a person at the workplace to answer any of the inspector&amp;rsquo;s questions.&lt;/li&gt;&lt;/ul&gt;&lt;p&gt;The requirement to produce a document must be in the form of a written notice unless the circumstances require the inspector to have immediate access to the document. Once a document is provided, the inspector may make copies or take extracts, and keep the document for the period that he or she considers necessary. If an inspector keeps a document, he or she must allow the person who produced it or the owner of the document (or a person authorised by the producer or owner) to inspect or make copies of the document at all reasonable times.&lt;/p&gt;&lt;p&gt;An interview conducted by an inspector at the workplace must take place in private if the inspector considers it appropriate, or if the person being interviewed so requests. An inspector&amp;rsquo;s assistant, such as an interpreter, or a representative of the person being interviewed can be present at a private interview. If an interview is taking place and it is not in private, the inspector or the person being interviewed can invoke the provision for a private interview at any time during the interview, in which case the remainder of the interview should be conducted in private.&lt;/p&gt;&lt;p&gt;Under section 172 of the harmonised Work Health and Safety (WHS) Acts (except in South Australia), an organisation or individual is not excused from answering a question or providing information to an inspector on the ground that the answer to the question, or the information or document, may tend to incriminate the organisation or individual, or expose the organisation or individual to a penalty. This provision is described as the &amp;lsquo;abrogation of privilege against self-incrimination&amp;rsquo;. South Australia has preserved the privilege against self-incrimination in its WHS Act, and so individuals can refuse to answer questions on this basis. The privilege against self-incrimination will not apply to corporations.&lt;/p&gt;&lt;p&gt;In the case of an individual, none of the following is admissible in evidence in civil or criminal proceedings against the person:&lt;/p&gt;&lt;ul&gt;&lt;li&gt;the answer to an inspector&amp;rsquo;s question&lt;/li&gt;&lt;li&gt;the production of the information or document&lt;/li&gt;&lt;li&gt;any information, document or thing obtained as a&amp;nbsp;&amp;nbsp;consequence of answering the question or producing the information or document&amp;mdash;under the Commonwealth and Queensland WHS Acts, this immunity also&amp;nbsp;&amp;nbsp;applies to information, documents or things obtained as an &lt;em&gt;indirect&lt;/em&gt; consequence of answering the question or producing the information or document.&lt;/li&gt;&lt;/ul&gt;&lt;p&gt;In addition, the harmonised WHS Acts contain a provision to confirm that a person is not obliged to produce a document that would disclose information, or otherwise provide information, that is the subject of legal professional privilege (section 269). This provision is designed to protect communications between legal practitioners and their clients from disclosure under compulsion.&lt;/p&gt;&lt;p&gt;Before requiring a person to answer a question or provide information or a document, an inspector must:&lt;/p&gt;&lt;ul&gt;&lt;li&gt;identify himself or herself as an inspector (for example, by producing his or her identity card)&lt;/li&gt;&lt;li&gt;warn the person that failure to comply with the requirement or to answer the question, without reasonable excuse, would constitute an offence&lt;/li&gt;&lt;li&gt;warn the person about the effect of section 172 of the relevant WHS Act (concerning abrogation of privilege against self-incrimination&amp;mdash;except in South Australia)&lt;/li&gt;&lt;li&gt;advise the person about the effect of section 269 of the relevant WHS Act (concerning legal professional privilege).&lt;/li&gt;&lt;/ul&gt;&lt;p&gt;If an inspector does not first give warning about the effect of section 172, then an individual would not commit an offence if he or she refuses to answer an inspector&amp;rsquo;s question or provide information or a document to an inspector on the ground that the question, information or document might tend to incriminate the individual.&lt;/p&gt;&lt;p&gt;None of the above provisions prevent an inspector from obtaining or using evidence that any person chooses to give to the inspector voluntarily.&lt;/p&gt;&lt;p&gt;An inspector has the authority to take affidavits (that is, written statements confirmed by oath or affirmation for use as evidence in court) for any purpose relating or incidental to the exercise of his or her compliance powers. However, an individual cannot be compelled by an inspector to make an affidavit.&lt;/p&gt;&lt;p&gt;The organisation should have carefully prepared processes or procedures for dealing with an inspector&amp;rsquo;s requests for information.&lt;/p&gt;&lt;p&gt;Care should be taken before a person refuses to comply with an inspector&amp;rsquo;s request to produce a document or answer a question on the basis of legal professional privilege. It is not always easy to tell whether privilege exists, and there are circumstances where privilege can be lost. It is advisable to seek prompt legal advice before responding to a request for documents or information. See Tools &amp;ndash; Checklist: An inspector&amp;rsquo;s compliance powers and National compliance and enforcement policy (Safe Work Australia, September 2011).&lt;/p&gt;&lt;p&gt;It is reasonable to request an opportunity to seek legal advice before responding to a requirement to provide information and documents.&lt;/p&gt;&lt;p&gt;An organisation may wish to have a lawyer accompany a worker to an interview with an inspector. This can assist the organisation in ensuring that its viewpoint is heard, enable the organisation to understand the direction the investigation is taking, and allow the organisation to support its worker. However, unless the lawyer also represents the worker, an inspector may insist on holding the interview with the worker in private (in the absence of the organisation&amp;rsquo;s representative). In that circumstance, the worker may wish to have his or her own representative attend the interview for support.&lt;/p&gt;&lt;p&gt;The organisation should also be aware of the potential for a lawyer to have a conflict of interest if he or she is representing both the organisation and one of the organisation&amp;rsquo;s workers. This would be the case where the legal interests of the organisation and the worker are not the same, in which case it may be necessary for the lawyer to recommend to the worker that he or she obtain independent legal advice.&lt;/p&gt;&lt;p&gt;Anyone representing a person at an interview should ascertain whether the inspector has identified himself or herself, and given the necessary warnings outlined above (noting that South Australia has preserved the privilege against self-incrimination).&lt;/p&gt;&lt;p&gt;The individual will need to consider the circumstances when deciding how to respond, or whether to respond at all, to any failure by the inspector to give the warnings. Ideally, the inspector should state at the beginning of the interview (possibly in response to a question from the worker&amp;rsquo;s representative) that the warnings apply to each and every question, and a record should be made of the inspector&amp;rsquo;s statement. Interviewees should be discouraged from volunteering information or documents, as incriminating statements or documents given voluntarily can be used as evidence against the person.&lt;/p&gt;&lt;p&gt;The organisation should keep a record of any information or documents that it provides to an inspector, and keep notes of any interviews that the inspector conducts. If an interview takes place in private and the organisation does not have the opportunity to make notes of the interview through a representative who is present at the interview, the organisation should simply record that the interview took place.&lt;/p&gt;</x:v>
      </x:c>
      <x:c r="K49" s="6" t="n">
        <x:f>=HYPERLINK("#K49","Guidance Notes")</x:f>
      </x:c>
      <x:c r="L49" s="6" t="str">
        <x:v>&lt;p&gt;Put in place a policy and procedures to ensure that management and all relevant staff understand any available rights (including the opportunity to get legal advice) so they can properly respond to an inspector&amp;rsquo;s requirements to provide documents or information.&lt;/p&gt;</x:v>
      </x:c>
      <x:c r="M49" s="6" t="n">
        <x:f>=HYPERLINK("#M49","Remediation")</x:f>
      </x:c>
      <x:c r="N49" s="6" t="str">
        <x:v>&lt;p&gt;Penalties apply if an organisation or individual, without reasonable excuse, refuses or fails to comply with an inspector&amp;rsquo;s requirement to advise who has custody of or access to a document, produce a document or answer any questions. The maximum penalties are $50,000 for an organisation and $10,000 for an individual (s 171).&lt;/p&gt;</x:v>
      </x:c>
      <x:c r="O49" s="6" t="n">
        <x:f>=HYPERLINK("#O49","Consequence")</x:f>
      </x:c>
      <x:c r="P49" s="6" t="str">
        <x:v>&lt;p&gt;&lt;a href="https://www.legislation.gov.au/Details/C2011A00137" target="_blank" &gt;Work Health and Safety Act 2011 (Cth)&lt;/a&gt; ss 171&amp;ndash;174, 186, 269 (see also corresponding Acts in ACT, NSW, NT, QLD, SA and TAS)&lt;/p&gt;</x:v>
      </x:c>
      <x:c r="Q49" s="6" t="n">
        <x:f>=HYPERLINK("#Q49","Source")</x:f>
      </x:c>
      <x:c r="R49"/>
      <x:c r="S49"/>
      <x:c r="T49"/>
    </x:row>
    <x:row r="50" spans="1:20" ht="15.75" x14ac:dyDescent="0.25">
      <x:c r="A50" t="n">
        <x:v>11963</x:v>
      </x:c>
      <x:c r="B50" t="str">
        <x:v>NSW,NT,QLD,SA,TAS,ACT,COMMONWEALTH</x:v>
      </x:c>
      <x:c r="C50" t="inlineStr">
        <x:is>
          <x:t xml:space="preserve">  Subobligation</x:t>
        </x:is>
      </x:c>
      <x:c r="D50" t="inlineStr">
        <x:is>
          <x:t xml:space="preserve">  Inspector’s Power to Seize Evidence and Dangerous Workplaces and Things</x:t>
        </x:is>
      </x:c>
      <x:c r="E50" s="31" t="n">
        <x:v>8.05</x:v>
      </x:c>
      <x:c r="F50" s="8" t="n">
        <x:f>=HYPERLINK("#Obligation()","Investigations and Enforcement")</x:f>
      </x:c>
      <x:c r="G50" s="8" t="n">
        <x:f>=HYPERLINK("#SubObligation()","Inspector’s Power to Seize Evidence and Dangerous Workplaces and Things")</x:f>
      </x:c>
      <x:c r="H50" s="6" t="n">
        <x:f>=HYPERLINK("#H50","Tools")</x:f>
      </x:c>
      <x:c r="I50" s="27" t="str">
        <x:v>&lt;b&gt;&lt;p&gt;Inspector’s Power to Seize Evidence and Dangerous Workplaces and Things&lt;/p&gt;Does the organisation ensure that no-one tampers, or attempts to tamper, with a seized thing that an inspector has left at the workplace, and ensure that the organisation complies with an inspector's other requirements in relation to a seized thing?&lt;/b&gt;</x:v>
      </x:c>
      <x:c r="J50" s="6" t="str">
        <x:v>&lt;p&gt;In the harmonised jurisdictions, an inspector who lawfully enters a workplace has the power to seize anything, including a document, if he or she reasonably believes that the thing is evidence of an offence against the relevant Work Health and Safety (WHS) Act. If the inspector enters a place with a search warrant, he or she may seize the evidence for which the warrant was issued.&lt;/p&gt;&lt;p&gt;An inspector may also seize anything as evidence of an offence if he or she reasonably believes that the seizure is necessary to prevent the thing being hidden, lost or destroyed, or used to continue or repeat the offence.&lt;/p&gt;&lt;p&gt;An inspector may also seize the following places or things if he or she reasonably believes that they are defective or hazardous to a degree likely to cause serious injury or illness or a dangerous incident:&lt;/p&gt;&lt;ul&gt;&lt;li&gt;a workplace or part of a workplace&lt;/li&gt;&lt;li&gt;plant at the workplace&lt;/li&gt;&lt;li&gt;a substance at the workplace or part of the workplace&lt;/li&gt;&lt;li&gt;a structure at the workplace.&lt;/li&gt;&lt;/ul&gt;&lt;p&gt;Once an inspector has seized a thing, he or she may:&lt;/p&gt;&lt;ul&gt;&lt;li&gt;move it from the place where it was seized&lt;/li&gt;&lt;li&gt;leave it at the place where it was seized, but take reasonable action to restrict access to it&lt;/li&gt;&lt;li&gt;if the thing is plant or a structure&amp;mdash;dismantle it or cause it to be dismantled.&lt;/li&gt;&lt;/ul&gt;&lt;p&gt;If an inspector restricts access to a thing, the organisation must ensure that no-one tampers, or attempts to tamper, with the thing&amp;mdash;or something restricting access to the thing&amp;mdash;without the inspector&amp;rsquo;s approval.&lt;/p&gt;&lt;p&gt;To enable a thing to be seized, an inspector may issue a written notice requiring the person in control of it:&lt;/p&gt;&lt;ul&gt;&lt;li&gt;to take it to a reasonable place by a reasonable time&lt;/li&gt;&lt;li&gt;if necessary, to remain in control of it at the stated place for a reasonable time&lt;/li&gt;&lt;li&gt;to comply with any further requirement that is necessary and reasonable.&lt;/li&gt;&lt;/ul&gt;&lt;p&gt;If the inspector finds that it is not practicable to give the written notice, he or she may make the requirement orally and confirm it by written notice as soon as practicable.&lt;/p&gt;&lt;p&gt;Inspectors must take all reasonable steps to ensure that they and any assistants under their direction cause as little inconvenience, detriment and damage as is practicable while exercising their compliance powers. The harmonised WHS Acts make provisions for an inspector to give notice of any damage and for an organisation or individual to claim compensation for a loss or expense incurred as a direct result of the damage.&lt;/p&gt;&lt;p&gt;The organisation should put in place procedures for complying with an inspector&amp;rsquo;s requirements in relation to a seized workplace or thing, including communicating to relevant staff the details of any requirements that may affect them. The organisation should examine any written notice of seizure carefully and maintain communication with the inspector about the seized workplace or thing.&lt;/p&gt;&lt;p&gt;If possible, the organisation should obtain a copy or take a photograph of things seized by an inspector.&lt;/p&gt;&lt;p&gt;The organisation should ensure that it receives a receipt for the seized thing, unless it would be unreasonable for an inspector to provide a receipt given the thing&amp;rsquo;s nature, condition and value. The organisation can apply to the regulator for the return of the thing 6 months after it was seized; however, the regulator may decide to retain the thing for longer if it has reasonable grounds to do so. The regulator may also impose appropriate health and safety conditions on the return of the thing.&lt;/p&gt;&lt;p&gt;Until the seized thing is forfeited or returned, the organisation can inspect it and, if the seized thing is a document, make copies of it at reasonable times, unless the regulator decides that the inspection or copying would be impracticable or unreasonable. The organisation may claim compensation through legal proceedings if it incurs loss or expense as a result of a seizure, but the court must be satisfied that a compensation order is just in the circumstances.&lt;/p&gt;&lt;p&gt;The organisation should keep a note of the identify of any inspector (or assistant) who it deals with, and the stated purpose of any visits. The organisation should also keep a record of any directions given by an inspector about a seized workplace or thing, and confirm these directions with the inspector.&lt;/p&gt;</x:v>
      </x:c>
      <x:c r="K50" s="6" t="n">
        <x:f>=HYPERLINK("#K50","Guidance Notes")</x:f>
      </x:c>
      <x:c r="L50" s="6" t="str">
        <x:v>&lt;p&gt;Put in place procedures to ensure that:&lt;/p&gt;&lt;ul&gt;&lt;li&gt;details of the seizure are promptly communicated to the appropriate level of management&lt;/li&gt;&lt;li&gt;the organisation obtains a copy or takes a photograph of things seized by an inspector&lt;/li&gt;&lt;li&gt;no one tampers with a seized thing that an inspector has left at the workplace&lt;/li&gt;&lt;li&gt;the organisation complies with an inspector&amp;rsquo;s other requirements in relation to a seized workplace or thing.&lt;/li&gt;&lt;/ul&gt;</x:v>
      </x:c>
      <x:c r="M50" s="6" t="n">
        <x:f>=HYPERLINK("#M50","Remediation")</x:f>
      </x:c>
      <x:c r="N50" s="6" t="str">
        <x:v>&lt;p&gt;Penalties apply for tampering, or attempting to tamper, with a thing that an inspector has seized and left at the place of seizure, or with something restricting access to the thing, without the inspector&amp;rsquo;s approval. The maximum penalties are $50,000 for an organisation and $10,000 for an individual (s&amp;nbsp;177). The same maximum penalties apply if an organisation or individual refuses or fails to comply with an inspector&amp;rsquo;s reasonable requirements in relation to a seized thing (s 177).&lt;/p&gt;</x:v>
      </x:c>
      <x:c r="O50" s="6" t="n">
        <x:f>=HYPERLINK("#O50","Consequence")</x:f>
      </x:c>
      <x:c r="P50" s="6" t="str">
        <x:v>&lt;p&gt;&lt;a href="https://www.legislation.gov.au/Details/C2011A00137" target="_blank" &gt;Work Health and Safety Act 2011 (Cth)&lt;/a&gt; ss 175&amp;ndash;184 (see also corresponding Acts in ACT, NSW, NT, QLD, SA and TAS)&lt;/p&gt;</x:v>
      </x:c>
      <x:c r="Q50" s="6" t="n">
        <x:f>=HYPERLINK("#Q50","Source")</x:f>
      </x:c>
      <x:c r="R50"/>
      <x:c r="S50"/>
      <x:c r="T50"/>
    </x:row>
    <x:row r="51" spans="1:20" ht="15.75" x14ac:dyDescent="0.25">
      <x:c r="A51" t="n">
        <x:v>11966</x:v>
      </x:c>
      <x:c r="B51" t="str">
        <x:v>NSW,NT,QLD,SA,TAS,ACT,COMMONWEALTH</x:v>
      </x:c>
      <x:c r="C51" t="inlineStr">
        <x:is>
          <x:t xml:space="preserve">  Subobligation</x:t>
        </x:is>
      </x:c>
      <x:c r="D51" t="inlineStr">
        <x:is>
          <x:t xml:space="preserve">  Inspector’s Power to Require a Name and Address</x:t>
        </x:is>
      </x:c>
      <x:c r="E51" s="31" t="n">
        <x:v>8.06</x:v>
      </x:c>
      <x:c r="F51" s="8" t="n">
        <x:f>=HYPERLINK("#Obligation()","Investigations and Enforcement")</x:f>
      </x:c>
      <x:c r="G51" s="8" t="n">
        <x:f>=HYPERLINK("#SubObligation()","Inspector’s Power to Require a Name and Address")</x:f>
      </x:c>
      <x:c r="H51" s="6" t="n">
        <x:f>=HYPERLINK("#H51","Tools")</x:f>
      </x:c>
      <x:c r="I51" s="27" t="str">
        <x:v>&lt;b&gt;&lt;p&gt;Inspector’s Power to Require a Name and Address&lt;/p&gt;Does the organisation ensure that relevant staff are aware of a person's requirement to provide his or her name and address to an inspector if the inspector finds the person committing, or reasonably suspects the person of having committed, an offence under the relevant Work Health and Safety Act?&lt;/b&gt;</x:v>
      </x:c>
      <x:c r="J51" s="6" t="str">
        <x:v>&lt;p&gt;An inspector may require a person to provide his or her name and residential address if the inspector finds the person committing an offence against the relevant Work Health and Safety (WHS) Act or reasonably suspects that the person has committed an offence against the Act.&lt;/p&gt;&lt;p&gt;In all jurisdictions except the Commonwealth, New South Wales and Queensland, an inspector can also require a person to provide their name and residential address if the inspector reasonably believes that the person could assist with an investigation of an offence under the Act.&lt;/p&gt;&lt;p&gt;When asking a person to provide his or her name and residential address, the inspector must tell the person the reason for requiring the information. The inspector must also warn the person that it is an offence to fail to provide a name and address, unless the person has a reasonable excuse.&lt;/p&gt;&lt;p&gt;If the inspector reasonably believes that the name or residential address is false, he or she may ask the person to give evidence of its correctness (for example, by showing a driver licence).&lt;/p&gt;&lt;p&gt;The organisation should ensure that all relevant staff are aware of a person&amp;rsquo;s requirement to provide his or her name and address if the inspector:&lt;/p&gt;&lt;ul&gt;&lt;li&gt;finds the person committing, or reasonably suspects the person of having committed, an offence under the relevant WHS Act, or&lt;/li&gt;&lt;li&gt;reasonably believes that the person can provide information to assist an investigation of a breach of the WHS Act (applicable in Tasmania, South Australia, the Australian Capital Territory and the Northern Territory).&lt;/li&gt;&lt;/ul&gt;&lt;p&gt;The organisation should seek prompt legal advice if an individual claims to have a reasonable excuse not to provide his or her name and address to the inspector.&lt;/p&gt;&lt;p&gt;The organisation should keep a note of the identity of any inspector (or assistant) who it deals with, and the stated purpose of any visits. The organisation should also keep a record of any directions given by an inspector, and confirm these directions with the inspector.&lt;/p&gt;</x:v>
      </x:c>
      <x:c r="K51" s="6" t="n">
        <x:f>=HYPERLINK("#K51","Guidance Notes")</x:f>
      </x:c>
      <x:c r="L51" s="6" t="str">
        <x:v>&lt;p&gt;Ensure that relevant staff are aware of a person&amp;rsquo;s requirement to provide his or her name and address to an inspector in circumstances where the inspector:&lt;/p&gt;&lt;ul&gt;&lt;li&gt;finds the person committing, or reasonably suspects the person of having committed, an offence under the relevant WHS Act, or&lt;/li&gt;&lt;li&gt;believes the person can assist with an investigation under the WHS Act (although this is only applicable in some jurisdictions).&lt;/li&gt;&lt;/ul&gt;</x:v>
      </x:c>
      <x:c r="M51" s="6" t="n">
        <x:f>=HYPERLINK("#M51","Remediation")</x:f>
      </x:c>
      <x:c r="N51" s="6" t="str">
        <x:v>&lt;p&gt;A maximum penalty of $10,000 applies if an individual refuses or fails to provide, without reasonable excuse, his or her name and residential address to an inspector (s 185).&lt;/p&gt;</x:v>
      </x:c>
      <x:c r="O51" s="6" t="n">
        <x:f>=HYPERLINK("#O51","Consequence")</x:f>
      </x:c>
      <x:c r="P51" s="6" t="str">
        <x:v>&lt;p&gt;&lt;a href="https://www.legislation.gov.au/Details/C2011A00137" target="_blank" &gt;Work Health and Safety Act 2011 (Cth)&lt;/a&gt; s 185 (see also corresponding Acts in ACT, NSW, NT, QLD, SA and TAS)&lt;/p&gt;</x:v>
      </x:c>
      <x:c r="Q51" s="6" t="n">
        <x:f>=HYPERLINK("#Q51","Source")</x:f>
      </x:c>
      <x:c r="R51"/>
      <x:c r="S51"/>
      <x:c r="T51"/>
    </x:row>
    <x:row r="52" spans="1:20" ht="15.75" x14ac:dyDescent="0.25">
      <x:c r="A52" t="n">
        <x:v>11969</x:v>
      </x:c>
      <x:c r="B52" t="str">
        <x:v>NSW,NT,QLD,SA,TAS,ACT,COMMONWEALTH</x:v>
      </x:c>
      <x:c r="C52" t="inlineStr">
        <x:is>
          <x:t xml:space="preserve">  Subobligation</x:t>
        </x:is>
      </x:c>
      <x:c r="D52" t="inlineStr">
        <x:is>
          <x:t xml:space="preserve">  Offences in Relation to Inspectors</x:t>
        </x:is>
      </x:c>
      <x:c r="E52" s="31" t="n">
        <x:v>8.07</x:v>
      </x:c>
      <x:c r="F52" s="8" t="n">
        <x:f>=HYPERLINK("#Obligation()","Investigations and Enforcement")</x:f>
      </x:c>
      <x:c r="G52" s="8" t="n">
        <x:f>=HYPERLINK("#SubObligation()","Offences in Relation to Inspectors")</x:f>
      </x:c>
      <x:c r="H52" s="6" t="n">
        <x:f>=HYPERLINK("#H52","Tools")</x:f>
      </x:c>
      <x:c r="I52" s="27" t="str">
        <x:v>&lt;b&gt;&lt;p&gt;Offences in Relation to Inspectors&lt;/p&gt;Has the organisation taken reasonable steps to ensure that staff do not intentionally hinder, obstruct, impersonate, assault, threaten or intimidate an inspector?&lt;/b&gt;</x:v>
      </x:c>
      <x:c r="J52" s="6" t="str">
        <x:v>&lt;p&gt;The harmonised Work Health and Safety Acts set out a number of offences in relation to inspectors. The most serious of these is the offence of assaulting, threatening or intimidating an inspector (or an inspector&amp;rsquo;s assistant), either directly or indirectly.&lt;/p&gt;&lt;p&gt;It also an offence to intentionally hinder or obstruct an inspector in exercising his or her compliance powers, or induce or attempt to induce any other person to do so. The ability to enter a workplace and make enquiries are examples of an inspector&amp;rsquo;s compliance powers.&lt;/p&gt;&lt;p&gt;In addition, a person who is not an inspector must not, in any way, hold himself or herself out to be an inspector. In some jurisdictions (in particular the Australian Capital Territory, the Northern Territory and the Commonwealth), it will also be an offence if the person is &amp;lsquo;reckless&amp;rsquo; as to whether or not their conduct leads others to believe they are an inspector.&lt;/p&gt;&lt;p&gt;The organisation should conduct training for management and relevant staff to ensure that they understand the various offences in relation to inspectors and do not intentionally hinder, obstruct, impersonate, assault, threaten or intimidate an inspector.&lt;/p&gt;</x:v>
      </x:c>
      <x:c r="K52" s="6" t="n">
        <x:f>=HYPERLINK("#K52","Guidance Notes")</x:f>
      </x:c>
      <x:c r="L52" s="6" t="str">
        <x:v>&lt;p&gt;Ensure that all relevant staff are aware of offences in relation to inspectors, and take reasonable steps to ensure that the organisation does not induce or encourage staff to commit any of those offences.&lt;/p&gt;</x:v>
      </x:c>
      <x:c r="M52" s="6" t="n">
        <x:f>=HYPERLINK("#M52","Remediation")</x:f>
      </x:c>
      <x:c r="N52" s="6" t="str">
        <x:v>&lt;p&gt;The offence of assaulting, threatening or intimidating an inspector, directly or indirectly, carries maximum penalties of $250,000 for an organisation and $50,000 and/or 2 years&amp;rsquo; imprisonment for an individual (s 190). The offence of hindering or obstructing an inspector, or inducing someone else to do so, carries maximum penalties of $50,000 for an organisation and $10,000 for an individual (s&amp;nbsp;188). The offence of impersonating an inspector carries the maximum penalty of $10,000 (s 189).&lt;/p&gt;</x:v>
      </x:c>
      <x:c r="O52" s="6" t="n">
        <x:f>=HYPERLINK("#O52","Consequence")</x:f>
      </x:c>
      <x:c r="P52" s="6" t="str">
        <x:v>&lt;p&gt;&lt;a href="https://www.legislation.gov.au/Details/C2011A00137" target="_blank" &gt;Work Health and Safety Act 2011 (Cth)&lt;/a&gt; ss 188&amp;ndash;190 (see also corresponding Acts in ACT, NSW, NT, QLD, SA and TAS)&lt;/p&gt;</x:v>
      </x:c>
      <x:c r="Q52" s="6" t="n">
        <x:f>=HYPERLINK("#Q52","Source")</x:f>
      </x:c>
      <x:c r="R52"/>
      <x:c r="S52"/>
      <x:c r="T52"/>
    </x:row>
    <x:row r="53" spans="1:20" ht="15.75" x14ac:dyDescent="0.25">
      <x:c r="A53" t="n">
        <x:v>11972</x:v>
      </x:c>
      <x:c r="B53" t="str">
        <x:v>NSW,NT,QLD,SA,TAS,ACT,COMMONWEALTH</x:v>
      </x:c>
      <x:c r="C53" t="inlineStr">
        <x:is>
          <x:t xml:space="preserve">  Subobligation</x:t>
        </x:is>
      </x:c>
      <x:c r="D53" t="inlineStr">
        <x:is>
          <x:t xml:space="preserve">  Improvement Notices</x:t>
        </x:is>
      </x:c>
      <x:c r="E53" s="31" t="n">
        <x:v>8.08</x:v>
      </x:c>
      <x:c r="F53" s="8" t="n">
        <x:f>=HYPERLINK("#Obligation()","Investigations and Enforcement")</x:f>
      </x:c>
      <x:c r="G53" s="8" t="n">
        <x:f>=HYPERLINK("#SubObligation()","Improvement Notices")</x:f>
      </x:c>
      <x:c r="H53" s="6" t="n">
        <x:f>=HYPERLINK("#H53","Tools")</x:f>
      </x:c>
      <x:c r="I53" s="27" t="str">
        <x:v>&lt;b&gt;&lt;p&gt;Improvement Notices&lt;/p&gt;Does the organisation ensure that it complies with an improvement notice within the specified period?&lt;/b&gt;</x:v>
      </x:c>
      <x:c r="J53" s="6" t="str">
        <x:v>&lt;p&gt;An improvement notice is a written direction from an inspector that generally requires an organisation to fix a health and safety problem in the workplace. It is a remedial rather than a punitive compliance measure.&lt;/p&gt;&lt;p&gt;An inspector can issue an improvement notice to an organisation if he or she reasonably believes that the organisation:&lt;/p&gt;&lt;ul&gt;&lt;li&gt;is contravening a provision of the relevant Work Health and Safety (WHS) Act, or&lt;/li&gt;&lt;li&gt;has already contravened a provision of the Act and is likely to continue or repeat the contravention.&lt;/li&gt;&lt;/ul&gt;&lt;p&gt;An improvement notice requires an organisation to:&lt;/p&gt;&lt;ul&gt;&lt;li&gt;remedy the contravention&lt;/li&gt;&lt;li&gt;prevent a likely contravention from reoccurring&lt;/li&gt;&lt;li&gt;remedy the things or operations causing the actual or likely contravention.&lt;/li&gt;&lt;/ul&gt;&lt;p&gt;An improvement notice must be in writing and must state how, in the inspector&amp;rsquo;s opinion, an organisation is contravening, or has contravened, a particular provision of the relevant WHS Act. The notice may also include directions on how to remedy the contravention or prevent the likely contravention from occurring. For example, it may refer to a code of practice or offer a choice of ways to remedy the contravention. The inspector may also offer recommendations.&lt;/p&gt;&lt;p&gt;An improvement notice must also stipulate a day by which the organisation must complete the required remedial action. The timeframe for achieving compliance must be reasonable in the circumstances. An inspector may decide to extend the compliance period, but only before the period in the notice has ended. The inspector may give subsequent extensions, but on each occasion the extension must be given before the compliance period has expired.&lt;/p&gt;&lt;p&gt;An inspector may make minor changes to an improvement notice after he or she has issued it (for example, to correct minor errors), or extend the compliance period. However, only the regulator has the power to cancel a notice or vary its contents in a substantial way.&lt;/p&gt;&lt;p&gt;An organisation that receives an improvement notice must display a copy as soon as possible in a prominent place at or near the workplace, or part of the workplace, to which the notice applies. A person must not intentionally remove, destroy, damage or deface a displayed notice while it is in force.&lt;/p&gt;&lt;p&gt;The organisation may apply to the regulator for a review of an improvement notice, or for an extension of time to comply with an improvement notice.&lt;/p&gt;&lt;p&gt;An improvement notice differs from a provisional improvement notice, which is issued by a health and safety representative.&lt;/p&gt;&lt;p&gt;The organisation should develop an action plan for ensuring that it complies with an improvement notice. The plan should include a careful examination of the improvement notice, a communication strategy for ensuring that management and all relevant staff clearly understand what remedial action is required, and ongoing monitoring to ensure that the required improvements to health and safety are completed within the compliance period.&lt;/p&gt;&lt;p&gt;An inspector will normally try to give an improvement notice to the appropriate person in an organisation. Nevertheless, the organisation should have a policy in place that requires managers, supervisors and other staff to immediately bring an improvement notice to the attention of senior management. It is important to act on an improvement notice promptly, since failure to comply with the notice within the specified timeframe constitutes an offence.&lt;/p&gt;&lt;p&gt;The organisation should maintain communication with the inspector about the improvement notice. If the organisation believes that it will not be able to achieve compliance with the notice within the specified timeframe, it should discuss this with the inspector at the earliest opportunity, and well before the time for compliance expires. If an aspect of the notice is not clear, the organisation may ask the inspector to make minor changes for clarification, but only the regulator can vary the notice in a substantial way.&lt;/p&gt;&lt;p&gt;If the organisation wants to have the notice cancelled or varied, an application for review must be made in the prescribed form and submitted within the prescribed time limit. Once an application to review an improvement notice has been made, the operation of the notice will be stayed unless a decision is made by the reviewer to affirm the notice.&lt;/p&gt;</x:v>
      </x:c>
      <x:c r="K53" s="6" t="n">
        <x:f>=HYPERLINK("#K53","Guidance Notes")</x:f>
      </x:c>
      <x:c r="L53" s="6" t="str">
        <x:v>&lt;p&gt;Put in place procedures to comply with an improvement notice within the specified period.&lt;/p&gt;</x:v>
      </x:c>
      <x:c r="M53" s="6" t="n">
        <x:f>=HYPERLINK("#M53","Remediation")</x:f>
      </x:c>
      <x:c r="N53" s="6" t="str">
        <x:v>&lt;p&gt;Failure to comply with a direction in an improvement notice within the specified period attracts maximum penalties of $250,000 for an organisation and $50,000 for an individual (s 193). Penalties also apply for failing to display an improvement notice at or near the workplace, and for intentionally removing, destroying, damaging or defacing a displayed notice while it is in force. The maximum penalties are $25,000 for an organisation and $5,000 for an individual (s 210). It is not an offence to fail to comply with recommendations in an improvement notice (s 205).&lt;/p&gt;&lt;p&gt;The regulator may apply to a court for an injunction compelling an organisation or individual to comply with an improvement notice, or restraining an organisation or individual from contravening an improvement notice. The regulator may apply for the injunction whether or not proceedings have been brought for an offence against the relevant WHS Act in connection with the notice, and whether or not the period for compliance with the notice has expired (s 215).&lt;/p&gt;</x:v>
      </x:c>
      <x:c r="O53" s="6" t="n">
        <x:f>=HYPERLINK("#O53","Consequence")</x:f>
      </x:c>
      <x:c r="P53" s="6" t="str">
        <x:v>&lt;p&gt;&lt;a href="https://www.legislation.gov.au/Details/C2011A00137" target="_blank" &gt;Work Health and Safety Act 2011 (Cth)&lt;/a&gt; ss 191&amp;ndash;194, 202&amp;ndash;210, 214&amp;ndash;215, 223 (see also corresponding Acts in ACT, NSW, NT, QLD, SA and TAS)&lt;/p&gt;</x:v>
      </x:c>
      <x:c r="Q53" s="6" t="n">
        <x:f>=HYPERLINK("#Q53","Source")</x:f>
      </x:c>
      <x:c r="R53"/>
      <x:c r="S53"/>
      <x:c r="T53"/>
    </x:row>
    <x:row r="54" spans="1:20" ht="15.75" x14ac:dyDescent="0.25">
      <x:c r="A54" t="n">
        <x:v>11975</x:v>
      </x:c>
      <x:c r="B54" t="str">
        <x:v>NSW,NT,QLD,SA,TAS,ACT,COMMONWEALTH</x:v>
      </x:c>
      <x:c r="C54" t="inlineStr">
        <x:is>
          <x:t xml:space="preserve">  Subobligation</x:t>
        </x:is>
      </x:c>
      <x:c r="D54" t="inlineStr">
        <x:is>
          <x:t xml:space="preserve">  Prohibition Notices</x:t>
        </x:is>
      </x:c>
      <x:c r="E54" s="31" t="n">
        <x:v>8.09</x:v>
      </x:c>
      <x:c r="F54" s="8" t="n">
        <x:f>=HYPERLINK("#Obligation()","Investigations and Enforcement")</x:f>
      </x:c>
      <x:c r="G54" s="8" t="n">
        <x:f>=HYPERLINK("#SubObligation()","Prohibition Notices")</x:f>
      </x:c>
      <x:c r="H54" s="6" t="n">
        <x:f>=HYPERLINK("#H54","Tools")</x:f>
      </x:c>
      <x:c r="I54" s="27" t="str">
        <x:v>&lt;b&gt;&lt;p&gt;Prohibition Notices&lt;/p&gt;Does the organisation ensure that it complies with a prohibition notice issued by an inspector?&lt;/b&gt;</x:v>
      </x:c>
      <x:c r="J54" s="6" t="str">
        <x:v>&lt;p&gt;A prohibition notice is a written direction from an inspector to immediately stop a workplace activity where someone may be at risk of serious harm. It is a remedial rather than a punitive compliance measure.&lt;/p&gt;&lt;p&gt;An inspector may issue a prohibition notice to an organisation or individual if the inspector reasonably believes that:&lt;/p&gt;&lt;ul&gt;&lt;li&gt;an actual activity involves, or will involve, a serious risk to the health and safety of a person emanating from an immediate or imminent exposure to a hazard, or&lt;/li&gt;&lt;li&gt;a potential activity would, if it occurs, involve a serious risk to the health and safety of a person emanating from an immediate or imminent exposure to a hazard.&lt;/li&gt;&lt;/ul&gt;&lt;p&gt;An inspector can give an oral direction to the person in control of the activity that prohibits the activity from occurring (or occurring in a particular way), but must confirm that direction in a written notice as soon as practicable. The prohibition remains in force until the inspector is satisfied that the organisation or individual has remedied the matters that give rise (or will give rise) to the risk.&lt;/p&gt;&lt;p&gt;A prohibition notice must describe the actual or potential activity that gives rise to the risk, and the provision of the relevant Work Health and Safety (WHS) Act that the inspector believes is being, or is likely to be, contravened by that activity. The inspector may include directions on how to remedy the risk, activities or contravention (or likely contravention) of the WHS Act. For example, the notice may refer to a code of practice or offer a choice of ways to remedy a contravention. The inspector can also make recommendations; however, compliance with recommendations is not mandatory.&lt;/p&gt;&lt;p&gt;If a notice prohibits an organisation or individual from carrying out an activity in a specified way, the notice may specify one or more of the following:&lt;/p&gt;&lt;ul&gt;&lt;li&gt;a workplace, or part of a workplace,where the activity is not to be carried out&lt;/li&gt;&lt;li&gt;anything that is not to be used in connection with the activity&lt;/li&gt;&lt;li&gt;any procedure that is not to be followed in connection with the activity.&lt;/li&gt;&lt;/ul&gt;&lt;p&gt;An inspector may make minor changes to a prohibition notice after he or she has issued it (for example, to correct minor errors). However, only the regulator has the power to cancel a notice or vary its contents in a substantial way.&lt;/p&gt;&lt;p&gt;An organisation that receives a prohibition notice must display a copy as soon as possible in a prominent place at or near the workplace, or part of the workplace, to which the notice applies. A person must not intentionally remove, destroy, damage or deface a displayed notice while it is in force.&lt;/p&gt;&lt;p&gt;If an organisation fails to take reasonable steps to comply with a prohibition notice, the regulator may take any reasonable action to make the workplace or situation safe after advising the organisation in writing that it intends to take the action. The regulator&amp;rsquo;s written notice must also specify the organisation&amp;rsquo;s liability for the reasonable costs of the remedial action. The regulator may subsequently seek to recover those costs.&lt;/p&gt;&lt;p&gt;The organisation may apply to the regulator for a review of a prohibition notice. An application for a review does not automatically stay the notice, and so the person to whom it is issued must not undertake the prohibited activity unless or until the reviewer of the notice:&lt;/p&gt;&lt;ul&gt;&lt;li&gt;grants an application to stay the operation of the notice while the decision to issue it is being reviewed, or&lt;/li&gt;&lt;li&gt;makes a decision to set aside or vary the notice.&lt;/li&gt;&lt;/ul&gt;&lt;p&gt;The organisation should develop an action plan for ensuring that it complies with a prohibition notice. The plan should include a careful examination of the prohibition notice, a communication strategy for ensuring that management and all relevant staff clearly understand what workplace activity must cease, and ongoing monitoring to ensure that the activity does not resume while it is the subject of a prohibition notice.&lt;/p&gt;&lt;p&gt;The organisation should maintain communication with the inspector about the prohibition notice. If an aspect of the notice is unclear, the organisation may ask the inspector to make minor changes for clarification, but only the regulator can vary the notice in a substantial way.&lt;/p&gt;&lt;p&gt;A representative of the organisation can discuss the terms of the notice with the inspector before it is issued to ensure that the notice:&lt;/p&gt;&lt;ul&gt;&lt;li&gt;is properly directed at the dangerous activity, and&lt;/li&gt;&lt;li&gt;does not unnecessarily impact on other operations or activities at the site.&lt;/li&gt;&lt;/ul&gt;&lt;p&gt;An inspector will normally try to give a prohibition notice to the appropriate person in an organisation. Nevertheless, the organisation should have a policy in place that requires managers, supervisors and other staff to immediately bring a prohibition notice to the attention of senior management.&lt;/p&gt;&lt;p&gt;If the organisation wants to have the notice cancelled or varied, an application for review must be made in the prescribed form and submitted within the 14-day time limit. Unless an application to stay the notice is granted, the person to whom it is issued must not allow the prohibited activity to occur until the notice has been reviewed and a decision is made by the reviewer to either cancel or vary the notice.&lt;/p&gt;</x:v>
      </x:c>
      <x:c r="K54" s="6" t="n">
        <x:f>=HYPERLINK("#K54","Guidance Notes")</x:f>
      </x:c>
      <x:c r="L54" s="6" t="str">
        <x:v>&lt;p&gt;Put in place procedures to comply with a prohibition notice.&lt;/p&gt;</x:v>
      </x:c>
      <x:c r="M54" s="6" t="n">
        <x:f>=HYPERLINK("#M54","Remediation")</x:f>
      </x:c>
      <x:c r="N54" s="6" t="str">
        <x:v>&lt;p&gt;Failure to comply with a direction given by an inspector under a prohibition notice attracts maximum penalties of $500,000 for an organisation and $100,000 for an individual (s 197). Penalties also apply for failing to display a prohibition notice at or near the workplace, and for intentionally removing, destroying, damaging or defacing a displayed notice while it is in force. The maximum penalties are $25,000 for an organisation and $5,000 for an individual (s 210). It is not an offence to fail to comply with recommendations in a prohibition notice (s 205).&lt;/p&gt;&lt;p&gt;The regulator may apply to a court for an injunction compelling an organisation or individual to comply with a prohibition notice, or restraining an organisation or individual from contravening a prohibition notice. The regulator may apply for the injunction whether or not proceedings have been brought for an offence against the relevant WHS Act in connection with the notice, and whether or not the period for compliance with the notice has expired (s 215).&lt;/p&gt;</x:v>
      </x:c>
      <x:c r="O54" s="6" t="n">
        <x:f>=HYPERLINK("#O54","Consequence")</x:f>
      </x:c>
      <x:c r="P54" s="6" t="str">
        <x:v>&lt;p&gt;&lt;a href="https://www.legislation.gov.au/Details/C2011A00137" target="_blank" &gt;Work Health and Safety Act 2011 (Cth)&lt;/a&gt; ss 195&amp;ndash;197, 202&amp;ndash;215, 223, 228 (see also corresponding Acts in ACT, NSW, NT, QLD, SA and TAS)&lt;/p&gt;</x:v>
      </x:c>
      <x:c r="Q54" s="6" t="n">
        <x:f>=HYPERLINK("#Q54","Source")</x:f>
      </x:c>
      <x:c r="R54"/>
      <x:c r="S54"/>
      <x:c r="T54"/>
    </x:row>
    <x:row r="55" spans="1:20" ht="15.75" x14ac:dyDescent="0.25">
      <x:c r="A55" t="n">
        <x:v>11978</x:v>
      </x:c>
      <x:c r="B55" t="str">
        <x:v>NSW,NT,QLD,SA,TAS,ACT,COMMONWEALTH</x:v>
      </x:c>
      <x:c r="C55" t="inlineStr">
        <x:is>
          <x:t xml:space="preserve">  Subobligation</x:t>
        </x:is>
      </x:c>
      <x:c r="D55" t="inlineStr">
        <x:is>
          <x:t xml:space="preserve">  Non-Disturbance Notices</x:t>
        </x:is>
      </x:c>
      <x:c r="E55" s="31" t="n">
        <x:v>8.10</x:v>
      </x:c>
      <x:c r="F55" s="8" t="n">
        <x:f>=HYPERLINK("#Obligation()","Investigations and Enforcement")</x:f>
      </x:c>
      <x:c r="G55" s="8" t="n">
        <x:f>=HYPERLINK("#SubObligation()","Non-Disturbance Notices")</x:f>
      </x:c>
      <x:c r="H55" s="6" t="n">
        <x:f>=HYPERLINK("#H55","Tools")</x:f>
      </x:c>
      <x:c r="I55" s="27" t="str">
        <x:v>&lt;b&gt;&lt;p&gt;Non-Disturbance Notices&lt;/p&gt;Does the organisation ensure that it complies with a non-disturbance notice issued by an inspector?&lt;/b&gt;</x:v>
      </x:c>
      <x:c r="J55" s="6" t="str">
        <x:v>&lt;p&gt;A non-disturbance notice is a written direction from an inspector that prevents any changes at a work site (or to particular part of it). The notice requires an organisation or individual with management or control of a workplace to:&lt;/p&gt;&lt;ul&gt;&lt;li&gt;preserve the site at which a notifiable incident has occurred for a specified period (including any plant, substance, structure or thing associated with the site)&lt;/li&gt;&lt;li&gt;prevent the disturbance of a particular site (including the operation of plant) in other circumstances for a reasonable specified period.&lt;/li&gt;&lt;/ul&gt;&lt;p&gt;An inspector may issue a non-disturbance notice if he or she reasonably believes that it is necessary to facilitate the exercise of his or her compliance powers.&lt;/p&gt;&lt;p&gt;A non-disturbance notice must state:&lt;/p&gt;&lt;ul&gt;&lt;li&gt;the period for which it applies (no more than 7 days)&lt;/li&gt;&lt;li&gt;the obligations of the organisation or individual to whom the notice is issued&lt;/li&gt;&lt;li&gt;the measures to be taken to preserve the site or prevent disturbance of a site&lt;/li&gt;&lt;li&gt;the penalty for contravening the notice.&lt;/li&gt;&lt;/ul&gt;&lt;p&gt;An inspector may issue one or more subsequent non-disturbance notices if he or she considers it necessary to do so. The inspector may issue a subsequent notice either before or after the expiry of the previous notice.&lt;/p&gt;&lt;p&gt;A non-disturbance notice does not prevent any action:&lt;/p&gt;&lt;ul&gt;&lt;li&gt;to assist an injured person&lt;/li&gt;&lt;li&gt;to remove a deceased person&lt;/li&gt;&lt;li&gt;that is essential to make the site safe or prevent a further incident&lt;/li&gt;&lt;li&gt;that is associated with a police investigation&lt;/li&gt;&lt;li&gt;for which an inspector has given permission.&lt;/li&gt;&lt;/ul&gt;&lt;p&gt;An inspector may make minor changes to a non-disturbance notice after he or she has issued it (for example, to correct minor errors). However, only the regulator has the power to cancel a notice or vary its contents in a substantial way.&lt;/p&gt;&lt;p&gt;An organisation that receives a non-disturbance notice must display a copy as soon as possible in a prominent place at or near the workplace, or part of the workplace, to which the notice applies. A person must not intentionally remove, destroy, damage or deface a displayed notice while it is in force.&lt;/p&gt;&lt;p&gt;The organisation may apply to the regulator for a review of a decision to issue a non-disturbance notice, or to issue a subsequent non-disturbance notice. An application for a review does not automatically stay the notice, and so the person to whom it is issued must continue to preserve the site in accordance with the terms of the notice unless or until the reviewer of the notice:&lt;/p&gt;&lt;ul&gt;&lt;li&gt;grants an application to stay the operation of the notice while the decision to issue it is being reviewed, or&lt;/li&gt;&lt;li&gt;makes a decision to set aside or vary the notice.&lt;/li&gt;&lt;/ul&gt;&lt;p&gt;The organisation should develop an action plan for ensuring that it complies with a non-disturbance notice. The plan should include a careful examination of the non-disturbance notice, a communication strategy for ensuring that management and all relevant staff clearly understand what activities are not permitted at the site, and ongoing monitoring to ensure that the site remains undisturbed for the duration of the compliance period in the notice.&lt;/p&gt;&lt;p&gt;The organisation should maintain communication with the inspector about the non-disturbance notice and, where necessary, clarify what activities are and are not permitted at a site covered by the notice. A representative of the organisation can discuss the terms of the notice with the inspector before it is issued to ensure that the notice:&lt;/p&gt;&lt;ul&gt;&lt;li&gt;is properly directed at the relevant part of the site that is of interest to the inspector, and&lt;/li&gt;&lt;li&gt;does not unnecessarily impact on the organisation&amp;rsquo;s other operations or activities.&lt;/li&gt;&lt;/ul&gt;&lt;p&gt;An inspector will normally try to give a non-disturbance notice to the appropriate person in an organisation. Nevertheless, the organisation should have a policy in place that requires managers, supervisors and other staff to immediately bring a non-disturbance notice to the attention of senior management.&lt;/p&gt;&lt;p&gt;If the organisation wants to have the notice cancelled or varied, an application for review must be made in the prescribed form and submitted within the 14-day time limit. Unless an application to stay the notice is granted, the person to whom it is issued must continue to preserve the site until the notice has been reviewed and a decision is made by the reviewer to either cancel or vary the notice.&lt;/p&gt;&lt;p&gt;The organisation should have in place appropriate policies and procedures (including first aid and emergency procedures) for assisting the injured, removing the deceased and making an incident site safe. The procedures should include calling for medical assistance if someone is seriously injured, and seeking direction from ambulance or police officers if someone has died. Some immediate actions to make an incident site safe will be obvious, such as disconnecting live power lines that are threatening safety. In less clear-cut circumstances, it may be best to seek the views of an inspector before changing anything at a site. The organisation may also wish to seek immediate or very early legal advice in the event of an incident, even before the inspector arrives on site.&lt;/p&gt;</x:v>
      </x:c>
      <x:c r="K55" s="6" t="n">
        <x:f>=HYPERLINK("#K55","Guidance Notes")</x:f>
      </x:c>
      <x:c r="L55" s="6" t="str">
        <x:v>&lt;p&gt;Put in place procedures to comply with a non-disturbance notice for the specified period.&lt;/p&gt;</x:v>
      </x:c>
      <x:c r="M55" s="6" t="n">
        <x:f>=HYPERLINK("#M55","Remediation")</x:f>
      </x:c>
      <x:c r="N55" s="6" t="str">
        <x:v>&lt;p&gt;Penalties apply if an organisation or individual, without reasonable excuse, refuses or fails to comply with a non-disturbance notice. The maximum penalties are $250,000 for an organisation and $50,000 for an individual (s 200). Penalties also apply for failing to display a non-disturbance notice at or near the workplace, and for intentionally removing, destroying, damaging or defacing a displayed notice while it is in force. The maximum penalties are $25,000 for an organisation and $5,000 for an individual (s 210).&lt;/p&gt;&lt;p&gt;The regulator may apply to a court for an injunction compelling an organisation or individual to comply with a non-disturbance notice, or restraining an organisation or individual from contravening a non-disturbance notice. The regulator may apply for the injunction whether or not proceedings have been brought for an offence against the relevant WHS Act in connection with the notice, and whether or not the period for compliance with the notice has expired (s 215).&lt;/p&gt;</x:v>
      </x:c>
      <x:c r="O55" s="6" t="n">
        <x:f>=HYPERLINK("#O55","Consequence")</x:f>
      </x:c>
      <x:c r="P55" s="6" t="str">
        <x:v>&lt;p&gt;&lt;a href="https://www.legislation.gov.au/Details/C2011A00137" target="_blank" &gt;Work Health and Safety Act 2011 (Cth)&lt;/a&gt; ss 39, 198&amp;ndash;203, 206&amp;ndash;210, 214&amp;ndash;215, 223, 228 (see also corresponding Acts in ACT, NSW, NT, QLD, SA and TAS)&lt;/p&gt;</x:v>
      </x:c>
      <x:c r="Q55" s="6" t="n">
        <x:f>=HYPERLINK("#Q55","Source")</x:f>
      </x:c>
      <x:c r="R55"/>
      <x:c r="S55"/>
      <x:c r="T55"/>
    </x:row>
    <x:row r="56" spans="1:20" ht="15.75" x14ac:dyDescent="0.25">
      <x:c r="A56" t="n">
        <x:v>11992</x:v>
      </x:c>
      <x:c r="B56" t="str">
        <x:v>NSW,NT,QLD,SA,TAS,ACT,COMMONWEALTH</x:v>
      </x:c>
      <x:c r="C56" t="inlineStr">
        <x:is>
          <x:t xml:space="preserve">  Subobligation</x:t>
        </x:is>
      </x:c>
      <x:c r="D56" t="inlineStr">
        <x:is>
          <x:t xml:space="preserve">  Enforceable Undertakings</x:t>
        </x:is>
      </x:c>
      <x:c r="E56" s="31" t="n">
        <x:v>8.11</x:v>
      </x:c>
      <x:c r="F56" s="8" t="n">
        <x:f>=HYPERLINK("#Obligation()","Investigations and Enforcement")</x:f>
      </x:c>
      <x:c r="G56" s="8" t="n">
        <x:f>=HYPERLINK("#SubObligation()","Enforceable Undertakings")</x:f>
      </x:c>
      <x:c r="H56" s="6" t="n">
        <x:f>=HYPERLINK("#H56","Tools")</x:f>
      </x:c>
      <x:c r="I56" s="27" t="str">
        <x:v>&lt;b&gt;&lt;p&gt;Enforceable Undertakings&lt;/p&gt;Does the organisation ensure that it complies with its work health and safety undertaking while the undertaking is in effect?&lt;/b&gt;</x:v>
      </x:c>
      <x:c r="J56" s="6" t="str">
        <x:v>&lt;p&gt;An enforceable undertaking is a high-level sanction for a contravention of the relevant Work Health and Safety (WHS) Act. An organisation that has breached, or has allegedly breached, a provision of the relevant WHS Act can give a written undertaking to the regulator to rectify the breach (or alleged breach) as an alternative to prosecution.&lt;/p&gt;&lt;p&gt;An organisation cannot be compelled to give an undertaking, but the undertaking becomes legally binding if accepted by the regulator. The regulator in each jurisdiction must publish on its website general guidelines on the acceptance of work health and safety undertakings. An organisation that is considering entering into an enforceable undertaking should refer to these guidelines before preparing or submitting its offer for assessment by the regulator.&lt;/p&gt;&lt;p&gt;A work health and safety undertaking cannot be accepted for a Category 1 offence under the harmonised WHS Acts&amp;mdash;that is, an offence that involves reckless conduct that exposes an individual to a risk of death or serious illness or injury without reasonable excuse.&lt;/p&gt;&lt;p&gt;An undertaking does not amount to an admission of guilt on the part of the organisation that gives the undertaking.&lt;/p&gt;&lt;p&gt;The regulator must give written notice to the organisation of the regulator&amp;rsquo;s decision to accept or reject the undertaking, and the reasons for the decision. The regulator must also publish the notice of a decision to accept an undertaking on its website. The undertaking takes effect and becomes enforceable from the time the regulator gives the organisation a notice to accept the undertaking, or at any later date specified by the regulator.&lt;/p&gt;&lt;p&gt;The organisation can vary or withdraw the undertaking at any time with the written agreement of the regulator. However, the organisation cannot vary the undertaking to provide for a different alleged contravention of the WHS Act. The regulator must publish on its website a notice of withdrawal or variation of an undertaking.&lt;/p&gt;&lt;p&gt;The organisation should familiarise itself with the regulator&amp;rsquo;s guidelines on enforceable undertakings when weighing up the benefits and costs of giving an undertaking. The organisation may also find it useful to discuss with the regulator the availability of an enforceable undertaking in connection with the alleged contravention, and the various aspects and implications of an undertaking.&lt;/p&gt;&lt;p&gt;Before making a decision to offer an undertaking as an alternative to prosecution, the organisation should consider:&lt;/p&gt;&lt;ul&gt;&lt;li&gt;the prospects of successfully defending a prosecution&lt;/li&gt;&lt;li&gt;the costs of defending those proceedings&lt;/li&gt;&lt;li&gt;the potential for a conviction and the consequences of a conviction, such as damage to reputation.&lt;/li&gt;&lt;/ul&gt;&lt;p&gt;The potential benefits that an organisation may gain from an enforceable undertaking include the avoidance (or ending) of a prosecution and the costs associated with a conviction, and a significant improvement to the organisation&amp;rsquo;s work health and safety management system. The undertaking will also typically include commitments to contribute to better health and safety outcomes for the industry as a whole and for the wider community.&lt;/p&gt;&lt;p&gt;The organisation should bear in mind that an enforceable undertaking may involve onerous and ongoing administrative and financial costs. The regulator may impose conditions and seek commitments, based on the circumstances, before it accepts an undertaking.&lt;/p&gt;&lt;p&gt;For example, the regulator may require each step of the undertaking to be costed, and may also require the organisation to specify timeframes for completing each step. The regulator may also seek to recover associated costs from the organisation, such as the costs of investigating the alleged noncompliance and assessing the offered undertaking. As a condition of accepting the undertaking, the regulator may require the organisation to comply with the Australian/New Zealand Standard 4804:2001 Occupational health and safety management systems&amp;mdash;General guidelines on principles, systems and supporting techniques, and also require regular third-party auditing of compliance with the standard.&lt;/p&gt;&lt;p&gt;The organisation should also be aware that the regulator will publish the details of the undertaking on its website. The regulator may also make it a condition of accepting the undertaking that information about the undertaking be advertised (for example, in relevant trade journals or newspapers).&lt;/p&gt;</x:v>
      </x:c>
      <x:c r="K56" s="6" t="n">
        <x:f>=HYPERLINK("#K56","Guidance Notes")</x:f>
      </x:c>
      <x:c r="L56" s="6" t="str">
        <x:v>&lt;p&gt;Put in place measures to ensure that the organisation complies with its work health and safety undertaking if the undertaking is accepted by the regulator.&lt;/p&gt;</x:v>
      </x:c>
      <x:c r="M56" s="6" t="n">
        <x:f>=HYPERLINK("#M56","Remediation")</x:f>
      </x:c>
      <x:c r="N56" s="6" t="str">
        <x:v>&lt;p&gt;The maximum penalties for contravening a work health and safety undertaking while it is in effect are $250,000 for an organisation and $50,000 for an individual (s 219).&lt;/p&gt;&lt;p&gt;The regulator may apply to a court for an order if an organisation or individual contravenes a work health and safety undertaking (s 220). If the court is satisfied that a contravention has occurred, it may:&lt;/p&gt;&lt;ul&gt;&lt;li&gt;impose a penalty&lt;/li&gt;&lt;li&gt;make an order directing the organisation or individual to comply with the undertaking&lt;/li&gt;&lt;li&gt;make an order discharging the undertaking&lt;/li&gt;&lt;li&gt;make an order to pay the costs of the proceedings&lt;/li&gt;&lt;li&gt;make an order to pay the reasonable costs of the regulator in monitoring compliance with the undertaking in the future&lt;/li&gt;&lt;li&gt;make any other order that the court considers appropriate.&lt;/li&gt;&lt;/ul&gt;&lt;p&gt;An application for, or the making of, any orders described above does not prevent proceedings being brought for the contravention or alleged contravention to which the enforceable undertaking relates.&lt;/p&gt;&lt;p&gt;An organisation or individual cannot be prosecuted for an offence to which an enforceable undertaking relates while the undertaking is in effect or after the undertaking has been completely discharged. If proceedings have been commenced but not finalised, the regulator can still accept an enforceable undertaking, but must take all reasonable steps to have the proceedings discontinued as soon as possible (s 222).&lt;/p&gt;</x:v>
      </x:c>
      <x:c r="O56" s="6" t="n">
        <x:f>=HYPERLINK("#O56","Consequence")</x:f>
      </x:c>
      <x:c r="P56" s="6" t="str">
        <x:v>&lt;p&gt;&lt;a href="https://www.legislation.gov.au/Details/C2011A00137" target="_blank" &gt;Work Health and Safety Act 2011 (Cth)&lt;/a&gt; ss 216&amp;ndash;222, 230 (see also corresponding Acts in ACT, NSW, NT, QLD, SA and TAS)&lt;/p&gt;</x:v>
      </x:c>
      <x:c r="Q56" s="6" t="n">
        <x:f>=HYPERLINK("#Q56","Source")</x:f>
      </x:c>
      <x:c r="R56"/>
      <x:c r="S56"/>
      <x:c r="T56"/>
    </x:row>
    <x:row r="57" spans="1:20" ht="15.75" x14ac:dyDescent="0.25">
      <x:c r="A57" t="n">
        <x:v>12003</x:v>
      </x:c>
      <x:c r="B57" t="str">
        <x:v>NSW,NT,QLD,SA,TAS,ACT,COMMONWEALTH</x:v>
      </x:c>
      <x:c r="C57" t="str">
        <x:v>Obligation</x:v>
      </x:c>
      <x:c r="D57" t="str">
        <x:v>Workplace Entry by WHS Entry Permit Holders</x:v>
      </x:c>
      <x:c r="E57" s="31" t="n">
        <x:v>9.00</x:v>
      </x:c>
      <x:c r="F57" s="8" t="n">
        <x:f>=HYPERLINK("#Obligation()","Workplace Entry by WHS Entry Permit Holders")</x:f>
      </x:c>
      <x:c r="G57" s="8"/>
      <x:c r="H57" s="6" t="n">
        <x:f>=HYPERLINK("#H57","Tools")</x:f>
      </x:c>
      <x:c r="I57" s="27" t="str">
        <x:v>&lt;b&gt;&lt;p&gt;Workplace Entry by WHS Entry Permit Holders&lt;/p&gt;Does the organisation allow a WHS entry permit holder entry to the workplace to inquire into a suspected health and safety breach or, after prior notice, to consult and advise workers?&lt;/b&gt;</x:v>
      </x:c>
      <x:c r="J57" s="6" t="str">
        <x:v>&lt;p&gt;Work health and safety (WHS) entry permit allows a union official who holds the permit, to enter a workplace during normal business hours if:&lt;/p&gt;&lt;ul&gt;&lt;li&gt;He or she suspects with good&amp;nbsp;&amp;nbsp;reason that an organisation has not met its health and safety obligations under the relevant WHS Act and wants to inquire into the suspected contravention of the Act&lt;/li&gt;&lt;li&gt;Wants to consult or advise workers on health and safety matters.&lt;/li&gt;&lt;/ul&gt;&lt;p&gt;If the entry meets all the legal requirements, the WHS entry permit holder must be allowed entry to the workplace, and must not be obstructed or delayed in any way.&lt;/p&gt;&lt;p&gt;The WHS entry permit holder must give the organisation (and the person who manages or controls the workplace) written notice of his or her entry and details of the suspected contravention as soon as is reasonably practicable after entering a workplace, unless giving notice would defeat the purpose of the entry or cause an unreasonable delay in an urgent case.&lt;/p&gt;&lt;p&gt;If the WHS entry permit holder wants to inspect or make copies of employee records or other documents that are directly relevant to a suspected contravention but are held by another person, then the permit holder must give prior written notice to both the other person and the relevant organisation that is suspected of breaching the Act. The permit holder must give at least 24 hours&amp;rsquo; notice, but not more than 14 days&amp;rsquo; notice. The notice must give, so far as is practicable, the details of the suspected contravention and a description of the records that the permit holder proposes to inspect.&lt;/p&gt;&lt;p&gt;The WHS permit holder must also give an organisation at least 24 hours&amp;rsquo; notice, but not more than 14 days&amp;rsquo; notice, if he or she wants to enter a workplace to consult and advise workers on health and safety matters. The notice must be in writing.&lt;/p&gt;&lt;p&gt;Before a WHS entry permit holder can exercise his or her right of entry, he or she must have:&lt;/p&gt;&lt;ul&gt;&lt;li&gt;Also acquired a permit under the Fair Work Act 2009 (Cth)&lt;/li&gt;&lt;li&gt;Completed the required training for WHS entry permit holders.&lt;/li&gt;&lt;/ul&gt;&lt;p&gt;The authority that issues WHS entry permits (known as the &amp;lsquo;authorising authority&amp;rsquo;) must publish on its website an up-to-date register of permit holders. In some jurisdictions, the authorising authority may also be the regulator.&lt;/p&gt;&lt;p&gt;The authorising authority is able to deal with disputes about a right of entry by whatever means it considers appropriate, such as mediation, conciliation or arbitration. The parties to a dispute may also ask the regulator to appoint an inspector to attend the workplace to help resolve the dispute.&lt;/p&gt;&lt;p&gt;The South Australian WHS Act differs from other harmonised WHS Acts in its requirement that WHS permit holders notify the regulator of a proposed entry if reasonably practicable, and report back to the regulator in accordance with the regulations if not accompanied by an inspector during entry (s 117(3) and (6)). The South Australian WHS Regulations prescribe these notice and reporting requirements (reg 28(2) and (3)).&lt;/p&gt;&lt;p&gt;An organisation should establish a written procedure for responding to notices of entry from WHS entry permit holders. The procedure should contain steps for responding to entry with and without prior notice, and include a mechanism for referring a dispute over right of entry to the relevant authority.&lt;/p&gt;&lt;p&gt;The organisation should check that a WHS entry permit is current by verifying that the permit holder is listed on the relevant authority&amp;rsquo;s website. The organisation should also inspect photo ID and the entry permit, which must include all the following details:&lt;/p&gt;&lt;ul&gt;&lt;li&gt;The section of the Act under which the permit is issued&lt;/li&gt;&lt;li&gt;The full name of the permit holder&lt;/li&gt;&lt;li&gt;The name of the union or registered employee organisation that the permit holder represents&lt;/li&gt;&lt;li&gt;A statement that the permit holder is entitled to exercise his or her rights under the Act&lt;/li&gt;&lt;li&gt;The date of issue&lt;/li&gt;&lt;li&gt;The expiry date&lt;/li&gt;&lt;li&gt;The permit holder&amp;rsquo;s signature&lt;/li&gt;&lt;li&gt;Any conditions on the permit&lt;/li&gt;&lt;li&gt;The suspected contravention (Victoria only)&lt;/li&gt;&lt;/ul&gt;</x:v>
      </x:c>
      <x:c r="K57" s="6" t="n">
        <x:f>=HYPERLINK("#K57","Guidance Notes")</x:f>
      </x:c>
      <x:c r="L57" s="6" t="str">
        <x:v>&lt;p&gt;Ensure that WHS entry permit holders are allowed entry to the workplace to inquire into a suspected health and safety breach or, after prior notice, to consult and advise workers.&lt;/p&gt;</x:v>
      </x:c>
      <x:c r="M57" s="6" t="n">
        <x:f>=HYPERLINK("#M57","Remediation")</x:f>
      </x:c>
      <x:c r="N57" s="6" t="str">
        <x:v>&lt;p&gt;Under the harmonised acts, penalties apply if a person:&lt;/p&gt;&lt;ul&gt;&lt;li&gt;Without reasonable excuse, refuses or unduly delays entry into a workplace by a WHS entry permit holder who is entitled to enter the workplace under the relevant WHS Act (s 144)&lt;/li&gt;&lt;li&gt;Intentionally hinders or obstructs a WHS entry permit holder in entering a workplace or exercising any rights at a workplace (s 145)&lt;/li&gt;&lt;li&gt;Intentionally misrepresents the Act&amp;rsquo;s provisions on workplace entry (s 147)&lt;/li&gt;&lt;li&gt;Contravenes the authorising authority&amp;rsquo;s order in a dispute about right of entry (s 143)&lt;/li&gt;&lt;/ul&gt;&lt;p&gt;The maximum penalties in each case are $50,000 for an organisation and $10,000 for an individual.&lt;/p&gt;</x:v>
      </x:c>
      <x:c r="O57" s="6" t="n">
        <x:f>=HYPERLINK("#O57","Consequence")</x:f>
      </x:c>
      <x:c r="P57" s="6" t="str">
        <x:v>&lt;p&gt;&lt;a href="https://www.legislation.gov.au/Details/C2011A00137" target="_blank" &gt;Work Health and Safety Act 2011 (Cth)&lt;/a&gt; Pt 7 (see also corresponding Acts in ACT, NSW, NT, QLD, SA and TAS)&lt;/p&gt;&lt;p&gt;&lt;a href="https://www.legislation.gov.au/Details/F2011L02664" target="_blank" &gt;Work Health and Safety Regulations 2011 (Cth)&lt;/a&gt; regs 25&amp;ndash;31 (see also corresponding regulations in ACT, NSW, NT, QLD, SA and TAS)&lt;/p&gt;</x:v>
      </x:c>
      <x:c r="Q57" s="6" t="n">
        <x:f>=HYPERLINK("#Q57","Source")</x:f>
      </x:c>
      <x:c r="R57"/>
      <x:c r="S57"/>
      <x:c r="T57"/>
    </x:row>
    <x:row r="58" spans="1:20" ht="15.75" x14ac:dyDescent="0.25">
      <x:c r="A58" t="n">
        <x:v>12014</x:v>
      </x:c>
      <x:c r="B58" t="str">
        <x:v>NSW,NT,QLD,SA,TAS,ACT,COMMONWEALTH</x:v>
      </x:c>
      <x:c r="C58" t="inlineStr">
        <x:is>
          <x:t xml:space="preserve">  Subobligation</x:t>
        </x:is>
      </x:c>
      <x:c r="D58" t="inlineStr">
        <x:is>
          <x:t xml:space="preserve">  Rights of WHS Entry Permit Holders in the Workplace</x:t>
        </x:is>
      </x:c>
      <x:c r="E58" s="31" t="n">
        <x:v>9.01</x:v>
      </x:c>
      <x:c r="F58" s="8" t="n">
        <x:f>=HYPERLINK("#Obligation()","Workplace Entry by WHS Entry Permit Holders")</x:f>
      </x:c>
      <x:c r="G58" s="8" t="n">
        <x:f>=HYPERLINK("#SubObligation()","Rights of WHS Entry Permit Holders in the Workplace")</x:f>
      </x:c>
      <x:c r="H58" s="6" t="n">
        <x:f>=HYPERLINK("#H58","Tools")</x:f>
      </x:c>
      <x:c r="I58" s="27" t="str">
        <x:v>&lt;b&gt;&lt;p&gt;Rights of WHS Entry Permit Holders in the Workplace&lt;/p&gt;Does the organisation allow WHS entry permit holders to exercise their rights at the workplace, including the right to carry out an inspection or access relevant documents in relation to a suspected health and safety breach?&lt;/b&gt;</x:v>
      </x:c>
      <x:c r="J58" s="6" t="str">
        <x:v>&lt;p&gt;Once a work health and safety (WHS) entry permit holder enters a workplace, the organisation must allow the permit holder to exercise his or her rights under the relevant WHS Act. While at the workplace, the WHS entry permit holder may do any or all of the following in relation to a suspected contravention of the Act:&lt;/p&gt;&lt;ul&gt;&lt;li&gt;Inspect any work system, plant, substance, structure or other relevant thing&lt;/li&gt;&lt;li&gt;Consult with the relevant workers (note that this is only in relation to the suspected contravention and not more broadly, which is covered by separate provisions of the harmonised WHS Acts)&lt;/li&gt;&lt;li&gt;Consult with management&lt;/li&gt;&lt;li&gt;Inspect and copy any document that is directly relevant to the suspected contravention of the Act (for authorised use and disclosure only) (harmonised Acts)&lt;/li&gt;&lt;li&gt;Warn people about serious risks to their health and safety emanating from an immediate or imminent exposure to a hazard&lt;/li&gt;&lt;/ul&gt;&lt;p&gt;A WHS entry permit holder may also enter a workplace to consult and advise workers on health and safety matters, if one or more workers wish to participate in the discussions. If the permit holder enters the workplace to consult and advise workers, he or she can also warn people about serious risks to their health and safety emanating from an immediate or imminent exposure to a hazard.&lt;/p&gt;&lt;p&gt;Under the harmonised acts, an organisation is not required to allow a WHS entry permit holder to inspect or copy a document if to do so would be against a Commonwealth, state or territory law. The use or disclosure of personal information obtained by a WHS entry permit holder is regulated under the Privacy Act 1988 (Cth).&lt;/p&gt;&lt;p&gt;A WHS entry permit holder must:&lt;/p&gt;&lt;ul&gt;&lt;li&gt;Have his or her permit and photo ID available for inspection at all times while at the workplace&lt;/li&gt;&lt;li&gt;Only enter areas of the workplace where relevant workers work, or any other area that directly affects the workers&amp;rsquo; health and safety&lt;/li&gt;&lt;li&gt;Comply with any reasonable request by the organisation to comply with work health and safety and other legislative requirements while at the workplace&lt;/li&gt;&lt;li&gt;Only disclose to the organisation the name of a worker with that worker&amp;rsquo;s consent&lt;/li&gt;&lt;/ul&gt;&lt;p&gt;Under the harmonised Acts, the authority that issues WHS entry permits is able to deal with disputes about a right of entry by whatever means it considers appropriate, such as mediation, conciliation or arbitration.&lt;/p&gt;&lt;p&gt;Under the harmonised Acts, the parties to a dispute may also ask the regulator to appoint an inspector to attend the workplace to enquire into the issue.&lt;/p&gt;&lt;p&gt;&lt;u&gt;South Australia&lt;/u&gt;&lt;/p&gt;&lt;p&gt;The South Australian WHS Act differs from other harmonised WHS Acts by making WHS entry permit holders&amp;rsquo; right to require copies of documents subject to direction by an inspector (ss 118(2)(a), 120(6)).&lt;/p&gt;&lt;p&gt;An organisation should establish a written procedure for engaging with WHS entry permit holders while they are at the workplace. The procedure should include a mechanism for referring a dispute over a permit holder&amp;rsquo;s rights or conduct to the relevant authority. See Tool &amp;ndash; Interpretive guideline&amp;mdash;model WHS Act&amp;mdash;workplace entry by work health and safety entry permit holders, October 2012 (Safe Work Australia).&lt;/p&gt;&lt;p&gt;The organisation should ensure that its staff are aware of their obligations in relation to WHS entry permit holders. The organisation should also have a process for verifying that WHS entry permit holders conduct themselves in accordance with the relevant WHS Act and WHS Regulations while at the workplace.&lt;/p&gt;</x:v>
      </x:c>
      <x:c r="K58" s="6" t="n">
        <x:f>=HYPERLINK("#K58","Guidance Notes")</x:f>
      </x:c>
      <x:c r="L58" s="6" t="str">
        <x:v>&lt;p&gt;Ensure that the organisation allows WHS entry permit holders to exercise their rights at the workplace.&lt;/p&gt;</x:v>
      </x:c>
      <x:c r="M58" s="6" t="n">
        <x:f>=HYPERLINK("#M58","Remediation")</x:f>
      </x:c>
      <x:c r="N58" s="6" t="str">
        <x:v>&lt;p&gt;Penalties apply if a person:&lt;/p&gt;&lt;ul&gt;&lt;li&gt;Intentionally hinders or obstructs a WHS entry permit holder in exercising any rights at a workplace (s 145)&lt;/li&gt;&lt;li&gt;Fails to allow a WHS entry permit holder to inspect and copy any document that is directly relevant to a suspected contravention of the Act (s 118)&lt;/li&gt;&lt;li&gt;Intentionally misrepresents the Act&amp;rsquo;s provisions on workplace entry (s 147)&lt;/li&gt;&lt;li&gt;Contravenes the authorising authority&amp;rsquo;s orders in a dispute about right of entry (s 143).&lt;/li&gt;&lt;/ul&gt;&lt;p&gt;The maximum penalties in each case are $50,000 for an organisation and $10,000 for an individual.&lt;/p&gt;</x:v>
      </x:c>
      <x:c r="O58" s="6" t="n">
        <x:f>=HYPERLINK("#O58","Consequence")</x:f>
      </x:c>
      <x:c r="P58" s="6" t="str">
        <x:v>&lt;p&gt;&lt;a href="https://www.legislation.gov.au/Details/C2011A00137" target="_blank" &gt;Work Health and Safety Act 2011 (Cth)&lt;/a&gt; Pt 7 (see also corresponding Acts in ACT, NSW, NT, QLD, SA and TAS)&lt;/p&gt;&lt;p&gt;&lt;a href="https://www.legislation.gov.au/Details/F2011L02664" target="_blank" &gt;Work Health and Safety Regulations 2011 (Cth)&lt;/a&gt; regs 25&amp;ndash;31 (see also corresponding regulations in ACT, NSW, NT, QLD, SA and TAS)&lt;/p&gt;</x:v>
      </x:c>
      <x:c r="Q58" s="6" t="n">
        <x:f>=HYPERLINK("#Q58","Source")</x:f>
      </x:c>
      <x:c r="R58"/>
      <x:c r="S58"/>
      <x:c r="T58"/>
    </x:row>
    <x:row r="59" spans="1:20" ht="15.75" x14ac:dyDescent="0.25">
      <x:c r="A59" t="n">
        <x:v>12018</x:v>
      </x:c>
      <x:c r="B59" t="str">
        <x:v>NSW,NT,QLD,SA,TAS,ACT,COMMONWEALTH</x:v>
      </x:c>
      <x:c r="C59" t="str">
        <x:v>Obligation</x:v>
      </x:c>
      <x:c r="D59" t="str">
        <x:v>Discriminatory, Coercive or Misleading Conduct</x:v>
      </x:c>
      <x:c r="E59" s="31" t="n">
        <x:v>10.00</x:v>
      </x:c>
      <x:c r="F59" s="8" t="n">
        <x:f>=HYPERLINK("#Obligation()","Discriminatory, Coercive or Misleading Conduct")</x:f>
      </x:c>
      <x:c r="G59" s="8"/>
      <x:c r="H59" s="6" t="n">
        <x:f>=HYPERLINK("#H59","Tools")</x:f>
      </x:c>
      <x:c r="I59" s="27" t="str">
        <x:v>&lt;b&gt;&lt;p&gt;Discriminatory, Coercive or Misleading Conduct&lt;/p&gt;Does the organisation ensure that it does not engage in discriminatory conduct for a prohibited reason, and does not engage in coercion, inducement or misrepresentation in relation to work health and safety matters?&lt;/b&gt;</x:v>
      </x:c>
      <x:c r="J59" s="6" t="str">
        <x:v>&lt;p&gt;The harmonised Work Health and Safety (WHS) Acts prohibit certain types of conduct in relation to work health and safety matters. The prohibitions address inappropriate conduct that could deter people from being involved in health and safety activities or from exercising their roles, powers and functions under the relevant WHS Act. These provisions send a strong signal that such conduct is unlawful and will not be tolerated.&lt;/p&gt;&lt;p&gt;An organisation, and individuals within the organisation, must not engage in discriminatory conduct toward workers or prospective workers for any of the prohibited reasons listed in the WHS Acts.&lt;/p&gt;&lt;p&gt;The WHS Acts also prohibit discriminatory conduct toward people with whom the organisation has current or prospective commercial arrangements, including subcontractors.&lt;/p&gt;&lt;p&gt;Prohibitions also apply to:&lt;/p&gt;&lt;ul&gt;&lt;li&gt;Requesting, instructing, inducing, encouraging, authorising or assisting another person to engage in discriminatory conduct&lt;/li&gt;&lt;li&gt;Organising or taking action, or threatening to organise or take action, against a person with the intention of coercing or inducing any person to exercise (or not to exercise) powers or functions under the relevant WHS Act&lt;/li&gt;&lt;/ul&gt;&lt;p&gt;Knowingly or recklessly making a false or misleading representation to another person about that other person&amp;rsquo;s rights or obligations, the ability to participate in processes or the ability to make a complaint or inquiry under the relevant WHS Act.&lt;/p&gt;&lt;p&gt;The organisation should ensure that senior management and all relevant staff receive training or instruction so that they understand what types of conduct are prohibited under the harmonised WHS Acts. The organisation should also document the reasoning behind its personnel and contractual decisions so it has some evidence as to the actual motive for its conduct in the event of criminal or civil proceedings.&lt;/p&gt;&lt;p&gt;The organisation should demonstrate its commitment to appropriate conduct in relation to work health and safety matters by including statements on discriminatory, coercive and misleading conduct in its health and safety policy.&lt;/p&gt;&lt;p&gt;The provisions prohibiting discriminatory conduct apply concurrently with the protections that are afforded to national-system employees under the Fair Work Act 2009 (Cth). However, there are restrictions in the harmonised WHS Acts on a person commencing proceedings under both WHS and Fair Work legislation.&lt;/p&gt;</x:v>
      </x:c>
      <x:c r="K59" s="6" t="n">
        <x:f>=HYPERLINK("#K59","Guidance Notes")</x:f>
      </x:c>
      <x:c r="L59" s="6" t="str">
        <x:v>&lt;p&gt;Put in place mechanisms to ensure that the organisation and its staff do not engage in discriminatory, coercive, misleading or harmful conduct in relation to work health and safety matters.&lt;/p&gt;</x:v>
      </x:c>
      <x:c r="M59" s="6" t="n">
        <x:f>=HYPERLINK("#M59","Remediation")</x:f>
      </x:c>
      <x:c r="N59" s="6" t="str">
        <x:v>&lt;p&gt;The harmonised Acts provide for both criminal and civil proceedings for engaging in discriminatory conduct for a prohibited reason (civil proceedings are in addition to criminal proceedings). The prohibited reason must be the dominant reason for the discriminatory conduct in order to constitute a criminal offence. For civil liability, the prohibited reason must be a substantial reason for the discriminatory conduct.&lt;/p&gt;&lt;p&gt;Under the harmonised Acts, the maximum penalty for engaging in discriminatory conduct for a prohibited reason is $500,000 for an organisation and $100,000 for an individual (s 104). The same penalties apply for requesting, instructing, inducing, encouraging, authorising or assisting someone else to engage in discriminatory conduct for a prohibited reason (s 107).&lt;/p&gt;&lt;p&gt;The court may also make an order that an offender:&lt;/p&gt;&lt;ul&gt;&lt;li&gt;Pay compensation to the person who was the subject of the discriminatory conduct&lt;/li&gt;&lt;li&gt;Reinstate or re-employ an employee in his or her former position or, if that position is not available, in a similar position&lt;/li&gt;&lt;li&gt;Employ a prospective employee in the position for which he or she had applied or a similar position&lt;/li&gt;&lt;/ul&gt;&lt;p&gt;The harmonised Acts allow for civil proceedings in the cases of coercion and inducement. A court may make an injunction or any other order that it considers appropriate where it finds that a person has coerced or induced (or threatened to coerce or induce) another person in relation to the exercise of a power, function or role under the relevant WHS Act.&lt;/p&gt;</x:v>
      </x:c>
      <x:c r="O59" s="6" t="n">
        <x:f>=HYPERLINK("#O59","Consequence")</x:f>
      </x:c>
      <x:c r="P59" s="6" t="str">
        <x:v>&lt;p&gt;&lt;a href="https://www.legislation.gov.au/Details/C2011A00137" target="_blank" &gt;Work Health and Safety Act 2011 (Cth)&lt;/a&gt; Pt 6 (see also corresponding Acts in ACT, NSW, NT, QLD, SA and TAS)&lt;/p&gt;</x:v>
      </x:c>
      <x:c r="Q59" s="6" t="n">
        <x:f>=HYPERLINK("#Q59","Source")</x:f>
      </x:c>
      <x:c r="R59"/>
      <x:c r="S59"/>
      <x:c r="T59"/>
    </x:row>
    <x:row r="60" spans="1:20" ht="15.75" x14ac:dyDescent="0.25">
      <x:c r="A60" t="n">
        <x:v>12022</x:v>
      </x:c>
      <x:c r="B60" t="str">
        <x:v>NSW,NT,QLD,SA,TAS,ACT,COMMONWEALTH</x:v>
      </x:c>
      <x:c r="C60" t="inlineStr">
        <x:is>
          <x:t xml:space="preserve">  Subobligation</x:t>
        </x:is>
      </x:c>
      <x:c r="D60" t="inlineStr">
        <x:is>
          <x:t xml:space="preserve">  Discriminatory Conduct</x:t>
        </x:is>
      </x:c>
      <x:c r="E60" s="31" t="n">
        <x:v>10.01</x:v>
      </x:c>
      <x:c r="F60" s="8" t="n">
        <x:f>=HYPERLINK("#Obligation()","Discriminatory, Coercive or Misleading Conduct")</x:f>
      </x:c>
      <x:c r="G60" s="8" t="n">
        <x:f>=HYPERLINK("#SubObligation()","Discriminatory Conduct")</x:f>
      </x:c>
      <x:c r="H60" s="6" t="n">
        <x:f>=HYPERLINK("#H60","Tools")</x:f>
      </x:c>
      <x:c r="I60" s="27" t="str">
        <x:v>&lt;b&gt;&lt;p&gt;Discriminatory Conduct&lt;/p&gt;Does the organisation ensure that it does not engage in discriminatory conduct toward workers, prospective workers and others in relation to work health and safety matters, and does not ask or help other people to engage in such conduct?&lt;/b&gt;</x:v>
      </x:c>
      <x:c r="J60" s="6" t="str">
        <x:v>&lt;p&gt;The harmonised Work Health and Safety (WHS) Acts prohibit discriminatory conduct in relation to specified work health and safety matters. The aim of the prohibition is to allow workers, prospective workers and others to undertake legitimate safety-related activities or raise health and safety concerns without fear of reprisal.&lt;/p&gt;&lt;p&gt;An organisation, and individuals within the organisation, must not engage in discriminatory conduct toward workers and prospective workers for a prohibited reason. This prohibition against discriminatory conduct also extends to an organisation&amp;rsquo;s conduct toward people with whom the organisation has current or prospective commercial arrangements.&lt;/p&gt;&lt;p&gt;Discriminatory conduct includes:&lt;/p&gt;&lt;ul&gt;&lt;li&gt;Dismissing a worker or terminating a worker&amp;rsquo;s contract&lt;/li&gt;&lt;li&gt;Putting a worker to his or her detriment when the worker is engaged (e.g. offering less favourable terms of engagement to a prospective worker)&lt;/li&gt;&lt;li&gt;Altering the position of a worker to the worker&amp;rsquo;s detriment (e.g. through demotion, creating less favourable conditions for the worker, restricting training and promotion opportunities, exclusion from organisational activities, or other actions that have an adverse effect on the worker)&lt;/li&gt;&lt;li&gt;Refusing or failing to offer to engage a prospective worker&lt;/li&gt;&lt;li&gt;Treating a prospective worker less favourably than another prospective worker would be treated in offering terms of engagement&lt;/li&gt;&lt;li&gt;Terminating a commercial arrangement with another person, such as a supplier of goods or services&lt;/li&gt;&lt;li&gt;Refusing or failing to enter into a commercial arrangement with another person&lt;/li&gt;&lt;/ul&gt;&lt;p&gt;Organising to take any of the above actions, or threatening to organise or take any of the above actions, also amounts to discriminatory conduct if the conduct is for a prohibited reason.&lt;/p&gt;&lt;p&gt;It is prohibited to engage in discriminatory conduct where the dominant or substantial reason for the discrimination is related to particular health and safety matters. An organisation (or individual) must not engage in discriminatory conduct toward a worker or prospective worker on the grounds that the worker:&lt;/p&gt;&lt;ul&gt;&lt;li&gt;Is, has been or proposes to be a health and safety representative or a member of a health and safety committee&lt;/li&gt;&lt;li&gt;Undertakes, has undertaken or proposes to undertake another role under the relevant WHS Act&lt;/li&gt;&lt;li&gt;Exercises, has exercised or proposes to exercise a power, or performs, has performed or proposes to perform a function as a health and safety representative, a member of a health and safety committee, or in some other capacity under the Act&lt;/li&gt;&lt;li&gt;Exercises, has exercised or proposes to exercise a power, or performs, has performed or proposes to perform a function under the Act in a particular way&lt;/li&gt;&lt;li&gt;Refrains from, has refrained from or proposes to refrain from exercising a power or performing a function under the Act&lt;/li&gt;&lt;li&gt;Refrains from, has refrained from or proposes to refrain from exercising a power or performing a function under the Act in a particular way&lt;/li&gt;&lt;li&gt;Assists, has assisted or proposes to assist any person exercising a power or performing a function under the Act&lt;/li&gt;&lt;li&gt;Gives, has given or proposes to give information to any person exercising a power or performing a function under the Act&lt;/li&gt;&lt;li&gt;Raises, has raised or proposes to raise an issue or concern about work health and safety with an organisation, an inspector, a WHS entry permit holder, a health and safety representative, a&amp;nbsp;&amp;nbsp;member of a health and safety committee, another worker, or any other person who has a duty, exercises a power or performs a function under the Act&lt;/li&gt;&lt;li&gt;Is involved in, has been involved in or proposes to be involved in resolving a work health and safety issue under the Act&lt;/li&gt;&lt;li&gt;Is taking action, has taken action or proposes to take action to seek compliance by any person with any duty or obligation under the Act.&lt;/li&gt;&lt;/ul&gt;&lt;p&gt;The prohibited reasons listed above also apply to discriminatory conduct toward a person with whom the organisation (or individual) has current or prospective commercial arrangements. This prohibition is designed to protect a person from being refused a contract or from having a contract terminated because of their legitimate safety-related activities.&lt;/p&gt;&lt;p&gt;An organisation (or an individual within the organisation) also must not request, instruct, induce, encourage, authorise or assist another person to engage in discriminatory conduct of the kind described above. This provision recognises the role of people who have brought about discriminatory conduct, even though they have not directly engaged in the conduct themselves.&lt;/p&gt;&lt;p&gt;The organisation should ensure that senior management and relevant staff receive appropriate training or instruction so that they understand their obligation not to engage in discriminatory conduct for a prohibited reason. The training should emphasise that the prohibition against discriminatory conduct relates not just to current workers, but also prospective workers and people with whom the organisation has current or prospective commercial arrangements. See Tools &amp;ndash; Interpretive guideline&amp;mdash;model Work Health and Safety Act&amp;mdash;discriminatory, coercive or misleading conduct, February 2012 (Safe Work Australia).&lt;/p&gt;&lt;p&gt;The organisation&amp;rsquo;s work health and safety policy should include a statement that staff must not engage in discriminatory conduct for a prohibited reason.&lt;/p&gt;&lt;p&gt;The organisation should ensure that it documents the reasoning behind its personnel and contractual decisions so it has some evidence as to the actual motive for its conduct in the event of criminal or civil proceedings. Such documentation could take the form of file notes on discussions that led to a decision or board minutes that approve certain steps, and record the reasons for those steps (such as in a recommendation from the human resources manager). Ideally, the organisation should make such file notes earlier than, or at the same time as, it makes its decision, and the documentation should identify the decision-maker.&lt;/p&gt;&lt;p&gt;Similarly, if the organisation is part of a group of entities (for example, a parent or holding company and its subsidiaries), the lead entity should document any directions it gives to subsidiaries about who to hire and fire, the terms and conditions for employee engagement and which commercial arrangements to enter into.&lt;/p&gt;</x:v>
      </x:c>
      <x:c r="K60" s="6" t="n">
        <x:f>=HYPERLINK("#K60","Guidance Notes")</x:f>
      </x:c>
      <x:c r="L60" s="6" t="str">
        <x:v>&lt;p&gt;Put in place mechanisms to ensure that the organisation and its staff do not engage in discriminatory conduct for a prohibited reason.&lt;/p&gt;</x:v>
      </x:c>
      <x:c r="M60" s="6" t="n">
        <x:f>=HYPERLINK("#M60","Remediation")</x:f>
      </x:c>
      <x:c r="N60" s="6" t="str">
        <x:v>&lt;p&gt;The harmonised Acts provide for both criminal and civil proceedings for engaging in discriminatory conduct for a prohibited reason (civil proceedings are in addition to criminal proceedings). The prohibited reason must be the dominant reason for the discriminatory conduct in order to constitute a criminal offence. For civil liability, the prohibited reason must be a substantial reason for the discriminatory conduct.&lt;/p&gt;&lt;p&gt;Under the harmonised Acts, the maximum penalty for engaging in discriminatory conduct for a prohibited reason is $500,000 for an organisation and $100,000 for an individual (s 104). The same penalties apply for requesting, instructing, inducing, encouraging, authorising or assisting someone else to engage in discriminatory conduct for a prohibited reason (s 107).&lt;/p&gt;&lt;p&gt;The court may also make an order that an offender:&lt;/p&gt;&lt;ul&gt;&lt;li&gt;Pay compensation to the person who was the subject of the discriminatory conduct&lt;/li&gt;&lt;li&gt;Reinstate or re-employ an employee in his or her former position or, if that position is not available, in a similar position&lt;/li&gt;&lt;li&gt;Employ a prospective employee in the position for which he or she had applied or a similar position&lt;/li&gt;&lt;/ul&gt;&lt;p&gt;The harmonised Acts allow for civil proceedings in the cases of coercion and inducement. A court may make an injunction or any other order that it considers appropriate where it finds that a person has coerced or induced (or threatened to coerce or induce) another person in relation to the exercise of a power, function or role under the relevant WHS Act.&lt;/p&gt;</x:v>
      </x:c>
      <x:c r="O60" s="6" t="n">
        <x:f>=HYPERLINK("#O60","Consequence")</x:f>
      </x:c>
      <x:c r="P60" s="6" t="str">
        <x:v>&lt;p&gt;&lt;a href="https://www.legislation.gov.au/Details/C2011A00137" target="_blank" &gt;Work Health and Safety Act 2011 (Cth)&lt;/a&gt; Pt 6 (see also corresponding Acts in ACT, NSW, NT, QLD, SA and TAS)&lt;/p&gt;</x:v>
      </x:c>
      <x:c r="Q60" s="6" t="n">
        <x:f>=HYPERLINK("#Q60","Source")</x:f>
      </x:c>
      <x:c r="R60"/>
      <x:c r="S60"/>
      <x:c r="T60"/>
    </x:row>
    <x:row r="61" spans="1:20" ht="15.75" x14ac:dyDescent="0.25">
      <x:c r="A61" t="n">
        <x:v>12026</x:v>
      </x:c>
      <x:c r="B61" t="str">
        <x:v>NSW,NT,QLD,SA,TAS,ACT,COMMONWEALTH</x:v>
      </x:c>
      <x:c r="C61" t="inlineStr">
        <x:is>
          <x:t xml:space="preserve">  Subobligation</x:t>
        </x:is>
      </x:c>
      <x:c r="D61" t="inlineStr">
        <x:is>
          <x:t xml:space="preserve">  Coercion, Inducement or Misrepresentation</x:t>
        </x:is>
      </x:c>
      <x:c r="E61" s="31" t="n">
        <x:v>10.02</x:v>
      </x:c>
      <x:c r="F61" s="8" t="n">
        <x:f>=HYPERLINK("#Obligation()","Discriminatory, Coercive or Misleading Conduct")</x:f>
      </x:c>
      <x:c r="G61" s="8" t="n">
        <x:f>=HYPERLINK("#SubObligation()","Coercion, Inducement or Misrepresentation")</x:f>
      </x:c>
      <x:c r="H61" s="6" t="n">
        <x:f>=HYPERLINK("#H61","Tools")</x:f>
      </x:c>
      <x:c r="I61" s="27" t="str">
        <x:v>&lt;b&gt;&lt;p&gt;Coercion, Inducement or Misrepresentation&lt;/p&gt;Does the organisation ensure that it does not engage in coercion, inducement or misleading conduct in relation to work health and safety matters?&lt;/b&gt;</x:v>
      </x:c>
      <x:c r="J61" s="6" t="str">
        <x:v>&lt;p&gt;The harmonised Work Health and Safety (WHS) Acts prohibit coercion, inducement and misleading conduct in relation to specified work health and safety matters.&lt;/p&gt;&lt;p&gt;&lt;strong&gt;Coercion and inducement&lt;/strong&gt;&lt;/p&gt;&lt;p&gt;Coercion is action taken to compel or force someone to do or refrain from doing something&amp;mdash;for example, threatening to terminate a health and safety representative&amp;rsquo;s employment or contract if they issue a provisional improvement notice. Inducement is action taken to encourage someone to do or refrain from doing something through a promise of a benefit or a promise to relieve them from some sort of loss, injury or damage to their interests.&lt;/p&gt;&lt;p&gt;An organisation, and individuals within the organisation, must not organise or take action against another person, or threaten such action, with the intent to coerce or induce the other person, or a third person:&lt;/p&gt;&lt;ul&gt;&lt;li&gt;to exercise or not to exercise a power, or to propose to exercise or not to exercise a power, under the relevant WHS Act&lt;/li&gt;&lt;li&gt;to perform or not to perform a function, or to propose to perform or not to perform a function, under the Act&lt;/li&gt;&lt;li&gt;to exercise or not to exercise&amp;nbsp;&amp;nbsp;a power or perform a function, or to propose to exercise or not to exercise a power or perform a function, in a particular way&lt;/li&gt;&lt;li&gt;to refrain from seeking, or continuing to undertake, a role under the Act.&lt;/li&gt;&lt;/ul&gt;&lt;p&gt;The prohibition against coercion and inducement includes not taking a particular action or threatening not to take a particular action.&lt;/p&gt;&lt;p&gt;The WHS Acts clarify that any reasonable direction given by an emergency services worker in an emergency is not an action with the intent to coerce or induce a person.&lt;/p&gt;&lt;p&gt;&lt;strong&gt;Misrepresentation&lt;/strong&gt;&lt;/p&gt;&lt;p&gt;A person must not knowingly or recklessly make a false or misleading representation to another person about that other person&amp;rsquo;s:&lt;/p&gt;&lt;ul&gt;&lt;li&gt;rights or obligations under the relevant WHS Act&lt;/li&gt;&lt;li&gt;ability to initiate, or participate in, a process or proceedings under the Act&lt;/li&gt;&lt;li&gt;ability to make a complaint or inquiry to a person or body with compliance powers under the Act.&lt;/li&gt;&lt;/ul&gt;&lt;p&gt;However, the prohibition against misleading conduct does not apply if the person to whom the representation is made would not be expected to rely on it. For example, an inspector would not be expected to rely on advice from a workplace manager that the inspector does not have the power to enter a workplace where a safety incident has taken place, as the inspector would clearly be aware that he or she has the power to exercise the right of entry.&lt;/p&gt;&lt;p&gt;The organisation should ensure that senior management and relevant staff receive appropriate training or instruction so that they understand that it is unlawful to intentionally engage in (or threaten to engage in) coercion or inducement in relation to work health and safety powers, functions and roles.&lt;/p&gt;&lt;p&gt;The organisation should also ensure that relevant staff understand that it is unlawful to knowingly or recklessly misrepresent a person&amp;rsquo;s rights, obligations, ability to participate in processes or proceedings, or ability to make complaints or inquiries under the relevant WHS Act. The organisation should take care to ensure that any representations that it or its staff make about work health and safety matters accurately reflect the provisions of the relevant WHS Act. The organisation may consider obtaining expert legal advice, particularly in more complex cases.&lt;/p&gt;&lt;p&gt;The organisation&amp;rsquo;s work health and safety policy should include a statement that staff must not engage in coercion or inducement in relation to health and safety matters, and must not knowingly mislead another person about his or her rights or abilities under the relevant WHS Act. See Tools &amp;ndash; Interpretive guideline&amp;mdash;model Work Health and Safety Act&amp;mdash;discriminatory, coercive or misleading conduct, February 2012 (Safe Work Australia).&lt;/p&gt;</x:v>
      </x:c>
      <x:c r="K61" s="6" t="n">
        <x:f>=HYPERLINK("#K61","Guidance Notes")</x:f>
      </x:c>
      <x:c r="L61" s="6" t="str">
        <x:v>&lt;p&gt;Put in place mechanisms to ensure that the organisation and its staff do not engage in coercion, inducement or intentional misrepresentation.&lt;/p&gt;</x:v>
      </x:c>
      <x:c r="M61" s="6" t="n">
        <x:f>=HYPERLINK("#M61","Remediation")</x:f>
      </x:c>
      <x:c r="N61" s="6" t="str">
        <x:v>&lt;p&gt;The maximum penalties for coercion, inducement or misrepresentation are $500,000 for an organisation and $100,000 for an individual (ss 108&amp;ndash;109).&lt;/p&gt;&lt;p&gt;The WHS Acts provide for civil proceedings in the cases of coercion and inducement. A court may make an injunction or any other order that it considers appropriate where it finds that a person has coerced or induced (or threatened to coerce or induce) another person in relation to the exercise of a power, function or role under the relevant WHS Act (s 112).&lt;/p&gt;</x:v>
      </x:c>
      <x:c r="O61" s="6" t="n">
        <x:f>=HYPERLINK("#O61","Consequence")</x:f>
      </x:c>
      <x:c r="P61" s="6" t="str">
        <x:v>&lt;p&gt;&lt;a href="https://www.legislation.gov.au/Details/C2011A00137" target="_blank" &gt;Work Health and Safety Act 2011 (Cth)&lt;/a&gt; Pt 6 (see also corresponding Acts in ACT, NSW, NT, QLD, SA and TAS)&lt;/p&gt;</x:v>
      </x:c>
      <x:c r="Q61" s="6" t="n">
        <x:f>=HYPERLINK("#Q61","Source")</x:f>
      </x:c>
      <x:c r="R61"/>
      <x:c r="S61"/>
      <x:c r="T61"/>
    </x:row>
    <x:row r="62" spans="1:20" ht="15.75" x14ac:dyDescent="0.25">
      <x:c r="A62" t="n">
        <x:v>11178</x:v>
      </x:c>
      <x:c r="B62" t="str">
        <x:v>NSW,NT,QLD,SA,TAS,ACT,COMMONWEALTH</x:v>
      </x:c>
      <x:c r="C62" t="str">
        <x:v>Obligation</x:v>
      </x:c>
      <x:c r="D62" t="str">
        <x:v>Workplace and Facilities Management</x:v>
      </x:c>
      <x:c r="E62" s="31" t="n">
        <x:v>11.00</x:v>
      </x:c>
      <x:c r="F62" s="8" t="n">
        <x:f>=HYPERLINK("#Obligation()","Workplace and Facilities Management")</x:f>
      </x:c>
      <x:c r="G62" s="8"/>
      <x:c r="H62" s="6" t="n">
        <x:f>=HYPERLINK("#H62","Tools")</x:f>
      </x:c>
      <x:c r="I62" s="27" t="str">
        <x:v>&lt;b&gt;&lt;p&gt;Workplace and Facilities Management&lt;/p&gt;Does the organisation have a structured, documented and effective process for maintaining a safe physical work environment with appropriate facilities for workers?&lt;/b&gt;</x:v>
      </x:c>
      <x:c r="J62" s="6" t="str">
        <x:v>&lt;p&gt;The harmonised Work Health and Safety (WHS) Acts place a primary duty of care on a person conducting a business or undertaking to ensure, so far as is reasonably practicable, that workers and other people are not exposed to health and safety risks arising from the business or undertaking.&lt;/p&gt;&lt;p&gt;An organisation that manages or controls a workplace must ensure, so far as is reasonably practicable, that the workplace, the means of entering and exiting the workplace, and anything arising from the workplace are without risks to the health and safety of any person. Similarly, an organisation that manages or controls fitting, fixtures or plant at the workplace must ensure, so far as is reasonably practicable, that the fixtures, fittings or plant are without risks to the health and safety of any person.&lt;/p&gt;&lt;p&gt;The harmonised WHS Regulations place specific obligations on organisations in relation to the physical work environment and facilities for workers. The regulations set out requirements for:&lt;/p&gt;&lt;ul type="disc"&gt;&lt;li&gt;the workplace environment (e.g. layout, entry and exit, floors, lighting and ventilation)&lt;/li&gt;&lt;li&gt;adequate and accessible facilities for workers (including toilets, drinking water, and washing and eating facilities)&lt;/li&gt;&lt;li&gt;managing risks of remote and isolated work&lt;/li&gt;&lt;li&gt;preparing emergency plans&lt;/li&gt;&lt;li&gt;providing first aid.&lt;/li&gt;&lt;/ul&gt;&lt;p&gt;Officers (for example, company directors) must exercise due diligence to ensure that the organisation meets its obligations in relation to the work environment and facilities. This includes taking reasonable steps to:&lt;/p&gt;&lt;ul type="disc"&gt;&lt;li&gt;understand the workplace hazards and risks&lt;/li&gt;&lt;li&gt;ensure that appropriate resources and processes are in place to manage the risks.&lt;/li&gt;&lt;/ul&gt;&lt;p&gt;Workers have a duty to take reasonable care for their own health and safety and the health and safety of others. This includes complying and cooperating with any reasonable instruction or procedure relating to health and safety at the workplace.&lt;/p&gt;&lt;p&gt;The organisation should ensure that it is familiar with all the specific requirements in relation to providing and maintaining a safe and healthy work environment and ensuring access to adequate facilities for workers. The organisation should document its processes for meeting these requirements.&lt;/p&gt;&lt;p&gt;The organisation should consult with workers about the work environment and facilities, give workers a reasonable opportunity to express their views, and take those views into account before making decisions about changes to the work environment or the provision and maintenance of facilities.&lt;/p&gt;&lt;p&gt;If the organisation shares responsibility with other duty holders for ensuring the safety of the work environment and access to facilities (for example, where more than one organisation shares a workplace), then all the duty holders should consult, cooperate and coordinate with each other, so far as is reasonably practicable, when making decisions about the work environment or facilities.&lt;/p&gt;&lt;p&gt;The organisation should ensure that it has a good understanding of the nature of the work that is carried out, the size, location and nature of the workplace, and the number of workers and composition of the workforce. All of these factors will influence decisions about the work environment and facilities for workers.&lt;/p&gt;&lt;p&gt;The organisation should ensure that it has a program for maintaining the work environment and facilities so they remain clean and in a safe condition. The program should include repairing broken and damaged items promptly, replenishing consumables in facilities regularly, and arranging regular cleaning.&lt;/p&gt;&lt;p&gt;The codes of practice &lt;em&gt;Managing the Work Environment and Facilities&lt;/em&gt; and &lt;em&gt;First Aid in the Workplace&lt;/em&gt; provide practical guidance on achieving the required health and safety standards for the work environment and facilities.&lt;/p&gt;</x:v>
      </x:c>
      <x:c r="K62" s="6" t="n">
        <x:f>=HYPERLINK("#K62","Guidance Notes")</x:f>
      </x:c>
      <x:c r="L62" s="6" t="str">
        <x:v>&lt;p&gt;Put in place a structured, documented and effective process for providing and maintaining a safe and healthy work environment (including first aid provisions and an emergency plan), and ensuring that workers have access to adequate facilities.&lt;/p&gt;</x:v>
      </x:c>
      <x:c r="M62" s="6" t="n">
        <x:f>=HYPERLINK("#M62","Remediation")</x:f>
      </x:c>
      <x:c r="N62" s="6" t="str">
        <x:v>&lt;p&gt;Penalties apply for organisations or individuals that have management or control of a workplace, or of fittings, fixtures or plant at a workplace, and engage, without reasonable excuse, in reckless conduct (that is, conduct that exposes someone to a risk of death or serious injury or illness). For serious offences involving reckless conduct which amount to a crime:&lt;/p&gt;&lt;ul type="disc"&gt;&lt;li&gt;organisations may be liable for up to $3 million&lt;/li&gt;&lt;li&gt;individuals may be liable for up to $600,000 and/or a 5-year jail term (s 31).&lt;/li&gt;&lt;/ul&gt;&lt;p&gt;Other offences not involving recklessness can attract penalties of up to $1.5 million for organisations, and $300,000 for officers (ss 32&amp;ndash;33).&lt;/p&gt;&lt;p&gt;The WHS Regulations stipulate penalties for not ensuring the provision and maintenance of a healthy and safe work environment and adequate, accessible facilities for workers (regs 40&amp;ndash;41). Penalties also apply for failing to:&lt;/p&gt;&lt;ul type="disc"&gt;&lt;li&gt;provide adequate information, training and instruction to workers on risk control measures for workplace hazards (reg 39)&lt;/li&gt;&lt;li&gt;make adequate first aid provisions (reg 42)&lt;/li&gt;&lt;li&gt;prepare, maintain and implement an emergency plan (reg 43)&lt;/li&gt;&lt;li&gt;manage the risks of remote or isolated work (reg 48)&lt;/li&gt;&lt;li&gt;minimise the risk of injury from falling objects (reg 55).&lt;/li&gt;&lt;/ul&gt;&lt;p&gt;In all the cases above, the WHS Regulations provide for maximum penalties of $30,000 for an organisation and $6,000 for an individual.&lt;/p&gt;</x:v>
      </x:c>
      <x:c r="O62" s="6" t="n">
        <x:f>=HYPERLINK("#O62","Consequence")</x:f>
      </x:c>
      <x:c r="P62" s="6" t="str">
        <x:v>&lt;p&gt;&lt;a href="https://www.legislation.gov.au/Details/C2011A00137" target="_blank" &gt;Work Health and Safety Act 2011 (Cth)&lt;/a&gt; ss 19&amp;ndash;20, 46&amp;ndash;48 (see also corresponding Acts in ACT, NSW, NT, QLD, SA and TAS)&lt;/p&gt;&lt;p&gt;&lt;a href="https://www.legislation.gov.au/Details/F2011L02664" target="_blank" &gt;Work Health and Safety Regulations 2011 (Cth)&lt;/a&gt; Pt 3.2 (see also corresponding regulations in ACT, NSW, NT, QLD, SA and TAS)&lt;/p&gt;&lt;p&gt;Managing the Work Environment and Facilities Code of Practice&amp;mdash;December 2011&lt;/p&gt;&lt;p&gt;First Aid in the Workplace Code of Practice&amp;mdash;March 2015&lt;/p&gt;</x:v>
      </x:c>
      <x:c r="Q62" s="6" t="n">
        <x:f>=HYPERLINK("#Q62","Source")</x:f>
      </x:c>
      <x:c r="R62"/>
      <x:c r="S62"/>
      <x:c r="T62"/>
    </x:row>
    <x:row r="63" spans="1:20" ht="15.75" x14ac:dyDescent="0.25">
      <x:c r="A63" t="n">
        <x:v>11202</x:v>
      </x:c>
      <x:c r="B63" t="str">
        <x:v>NSW,NT,QLD,SA,TAS,ACT,COMMONWEALTH</x:v>
      </x:c>
      <x:c r="C63" t="inlineStr">
        <x:is>
          <x:t xml:space="preserve">  Subobligation</x:t>
        </x:is>
      </x:c>
      <x:c r="D63" t="inlineStr">
        <x:is>
          <x:t xml:space="preserve">  Management of Workplaces, Fixtures, Fittings or Plant</x:t>
        </x:is>
      </x:c>
      <x:c r="E63" s="31" t="n">
        <x:v>11.01</x:v>
      </x:c>
      <x:c r="F63" s="8" t="n">
        <x:f>=HYPERLINK("#Obligation()","Workplace and Facilities Management")</x:f>
      </x:c>
      <x:c r="G63" s="8" t="n">
        <x:f>=HYPERLINK("#SubObligation()","Management of Workplaces, Fixtures, Fittings or Plant")</x:f>
      </x:c>
      <x:c r="H63" s="6" t="n">
        <x:f>=HYPERLINK("#H63","Tools")</x:f>
      </x:c>
      <x:c r="I63" s="27" t="str">
        <x:v>&lt;b&gt;&lt;p&gt;Management of Workplaces, Fixtures, Fittings or Plant&lt;/p&gt;Does the organisation that manages or controls a workplace, or workplace fittings, fixtures or plant, ensure, so far as is reasonably practicable, that the workplace, or fixtures, fittings or plant, are without health and safety risks?&lt;/b&gt;</x:v>
      </x:c>
      <x:c r="J63" s="6" t="str">
        <x:v>&lt;p&gt;The harmonised Work Health and Safety (WHS) Acts impose specific duties on an organisation that manages or controls a workplace. The organisation with management or control of a workplace must ensure, so far as is reasonably practicable, that the workplace, the means of entering and exiting the workplace, and anything arising from the workplace are without risks to the health and safety of any person.&lt;/p&gt;&lt;p&gt;Specific duties also apply to an organisation that manages or controls fixtures, fittings or plant at a workplace. The organisation must ensure, so far as is reasonably practicable, that the fixtures, fittings or plant are without risks to the health and safety of any person.&lt;/p&gt;&lt;p&gt;The regulations place specific duties on organisations that manage or control specific types of workplaces, such as construction sites, workplaces where asbestos-related work is carried out, and major hazard facilities.&lt;/p&gt;&lt;p&gt;The regulations also set out specific duties of organisations that manage or control plant, amusement devices or passenger ropeways at a workplace.&lt;/p&gt;</x:v>
      </x:c>
      <x:c r="K63" s="6" t="n">
        <x:f>=HYPERLINK("#K63","Guidance Notes")</x:f>
      </x:c>
      <x:c r="L63" s="6" t="str">
        <x:v>&lt;p&gt;Put in place processes to ensure that the workplace, ways of entering and exiting the workplace, anything arising from the workplace, and the fittings, fixtures and plant, and are without risk to the health and safety of any person, so far as is reasonably practicable.&lt;/p&gt;</x:v>
      </x:c>
      <x:c r="M63" s="6" t="n">
        <x:f>=HYPERLINK("#M63","Remediation")</x:f>
      </x:c>
      <x:c r="N63" s="6" t="str">
        <x:v>&lt;p&gt;The maximum penalties for reckless conduct (that is, engaging without reasonable excuse in conduct that exposes someone to a risk of death or serious injury or illness) are:&lt;/p&gt;&lt;ul type="disc"&gt;&lt;li&gt;$3 million for an organisation&lt;/li&gt;&lt;li&gt;$600,000 and/or 5 years imprisonment for an individual person conducting a business or undertaking or an officer of a business or undertaking&lt;/li&gt;&lt;li&gt;$300,000 and/or 5 years imprisonment for other individuals (s 31).&lt;/li&gt;&lt;/ul&gt;&lt;p&gt;The lesser offence of failing to comply with a health and safety duty carries a maximum penalty of:&lt;/p&gt;&lt;ul type="disc"&gt;&lt;li&gt;$1.5 million for an organisation&lt;/li&gt;&lt;li&gt;$300,000 for an individual person conducting a business or undertaking or an officer of a business or undertaking&lt;/li&gt;&lt;li&gt;$150,000 for other individuals (ss 32&amp;ndash;33).&lt;/li&gt;&lt;/ul&gt;</x:v>
      </x:c>
      <x:c r="O63" s="6" t="n">
        <x:f>=HYPERLINK("#O63","Consequence")</x:f>
      </x:c>
      <x:c r="P63" s="6" t="str">
        <x:v>&lt;p&gt;&lt;a href="https://www.legislation.gov.au/Details/C2011A00137" target="_blank" &gt;Work Health and Safety Act 2011 (Cth)&lt;/a&gt; (ss 20&amp;ndash;21) (see also corresponding Acts in ACT, NSW, NT, QLD, SA and TAS)&lt;/p&gt;&lt;p&gt;&lt;a href="https://www.legislation.gov.au/Details/F2011L02664" target="_blank" &gt;Work Health and Safety Regulations 2011 (Cth)&lt;/a&gt; (165, 203&amp;ndash;227, 235&amp;ndash;242, 293, 298, 304, 422&amp;ndash;433, 448&amp;ndash;449, 452, 454, 456, 468, 470) (see also corresponding regulations in ACT, NSW, NT, QLD, SA and TAS)&lt;/p&gt;&lt;p&gt;&lt;a href="http://www.safeworkaustralia.gov.au/sites/swa/about/publications/pages/manage-whs-risks-cop" target="_blank" &gt;How to Manage Work Health and Safety Risks Code of Practice&lt;/a&gt;&amp;mdash;December 2011&lt;/p&gt;&lt;p&gt;&lt;a href="http://www.safeworkaustralia.gov.au/sites/swa/about/publications/pages/managing-the-risks-of-plant-in-the-workplace" target="_blank" &gt;Managing Risks of Plant in the Workplace Code of Practice&lt;/a&gt;&amp;mdash;September 2013&lt;/p&gt;&lt;p&gt;&lt;a href="http://www.safeworkaustralia.gov.au/sites/swa/about/publications/pages/environment-facilities-cop" target="_blank" target="_blank" &gt;Managing the Work Environment and Facilities Code of Practice&lt;/a&gt;&amp;mdash;December 2011&lt;/p&gt;&lt;p&gt;&lt;a href="https://www.comcare.gov.au/__data/assets/pdf_file/0016/41281/Call_centres_-_A_guide_to_safe_work_PDF,_1.59_MB.pdf" target="_blank" &gt;Occupational Safety and Health in Call Centres Code of Practice&amp;mdash; 2005 &lt;/a&gt;(Commission for Occupational Health and Safety)&lt;/p&gt;&lt;p&gt;First Aid Facilities and Services/Workplace Amenities and Facilities/Personal Protective Clothing and Equipment Codes of Practice&amp;mdash; 2002 (Commission for Occupational Health and Safety)&lt;/p&gt;</x:v>
      </x:c>
      <x:c r="Q63" s="6" t="n">
        <x:f>=HYPERLINK("#Q63","Source")</x:f>
      </x:c>
      <x:c r="R63"/>
      <x:c r="S63"/>
      <x:c r="T63"/>
    </x:row>
    <x:row r="64" spans="1:20" ht="15.75" x14ac:dyDescent="0.25">
      <x:c r="A64" t="n">
        <x:v>11228</x:v>
      </x:c>
      <x:c r="B64" t="str">
        <x:v>NSW,NT,QLD,SA,TAS,ACT,COMMONWEALTH</x:v>
      </x:c>
      <x:c r="C64" t="inlineStr">
        <x:is>
          <x:t xml:space="preserve">  Subobligation</x:t>
        </x:is>
      </x:c>
      <x:c r="D64" t="inlineStr">
        <x:is>
          <x:t xml:space="preserve">  Entry and Exit Safety</x:t>
        </x:is>
      </x:c>
      <x:c r="E64" s="31" t="n">
        <x:v>11.02</x:v>
      </x:c>
      <x:c r="F64" s="8" t="n">
        <x:f>=HYPERLINK("#Obligation()","Workplace and Facilities Management")</x:f>
      </x:c>
      <x:c r="G64" s="8" t="n">
        <x:f>=HYPERLINK("#SubObligation()","Entry and Exit Safety")</x:f>
      </x:c>
      <x:c r="H64" s="6" t="n">
        <x:f>=HYPERLINK("#H64","Tools")</x:f>
      </x:c>
      <x:c r="I64" s="27" t="str">
        <x:v>&lt;b&gt;&lt;p&gt;Entry and Exit Safety&lt;/p&gt;Does the organisation ensure that the means of entering and exiting the workplace are safe?&lt;/b&gt;</x:v>
      </x:c>
      <x:c r="J64" s="6" t="str">
        <x:v>&lt;p&gt;An organisation that manages or controls a workplace must ensure, so far as is reasonably practicable, that the means of entering and exiting the workplace are without risks to the health and safety of any person. The means of entering and exiting must be safe both under normal working conditions and in the event of an emergency.&lt;/p&gt;&lt;p&gt;The risk management of workplace entries and exits includes:&lt;/p&gt;&lt;ul&gt;&lt;li&gt;clear marking and lighting of entries and exits&lt;/li&gt;&lt;li&gt;making provisions for people with disabilities or&amp;nbsp;&amp;nbsp;special needs&lt;/li&gt;&lt;li&gt;ensuring surfaces are slip-resistant in wet and dry&amp;nbsp;&amp;nbsp;conditions&lt;/li&gt;&lt;li&gt;installing hand rails and guards (e.g. on staircases)&lt;/li&gt;&lt;li&gt;installing clear signage to aid emergency evacuation.&lt;/li&gt;&lt;/ul&gt;&lt;p&gt;Aisles and walkways at entries and exits should be at least 600 mm wide and be kept free of furniture or other obstructions at all times.&lt;/p&gt;&lt;p&gt;An organisation should provide separate entries and exits for pedestrians and mobile equipment (such as forklifts and trucks) to minimise the risk of people being hit by moving vehicles. If pedestrians and vehicles have to share a traffic route, the organisation should ensure that kerbs, barriers or clear markings are used to designate a safe walkway. Doors and gates should be fitted with safety devices if necessary, and doors on main traffic routes should have a transparent viewing panel (unless they are fire-rated doors).&lt;/p&gt;&lt;p&gt;Power-operated doors and gates should have safety features to prevent people becoming stuck or trapped, and upward-opening doors or gates should be fitted with an effective device to prevent them falling back.&lt;/p&gt;&lt;p&gt;The organisation should conduct a step-by-step risk management process for workplace entries and exits. The process should involve:&lt;/p&gt;&lt;ol&gt;&lt;li&gt;identifying any hazards associated with entries and&amp;nbsp;&amp;nbsp;exits&lt;/li&gt;&lt;li&gt;assessing the risks&lt;/li&gt;&lt;li&gt;implementing risk controls (such as installing safety&amp;nbsp;&amp;nbsp;devices, signage or slip-resistant floors)&lt;/li&gt;&lt;li&gt;maintaining the risk controls to ensure that they remain&amp;nbsp;&amp;nbsp;effective (e.g. testing safety devices)&lt;/li&gt;&lt;li&gt;periodically reviewing the risk controls.&lt;/li&gt;&lt;/ol&gt;&lt;p&gt;The organisation should consult workers, or their health and safety representative, when making decisions about the means of entering or exiting the workplace, and give workers a reasonable opportunity to express their views.&lt;/p&gt;&lt;p&gt;The responsibility for providing and maintaining safe means of entering and exiting a workplace is sometimes shared by more than one organisation (for example, tenants within an office building and the building owner or property manager). In such situations, the law requires organisations to consult, cooperate and coordinate with each other to ensure, so far as is reasonably practicable, that workplace entries and exits are safe.&lt;/p&gt;&lt;p&gt;The organisation should ensure that workplace entries and exits comply with the relevant Australian standards, such as AS 1657&amp;ndash;2013 &lt;em&gt;Fixed platforms, walkways, stairways and ladders&amp;mdash;Design, construction and installation&lt;/em&gt;, and AS 2293.1&amp;ndash;2005 &lt;em&gt;Emergency escape lighting and exit signs for buildings&lt;/em&gt;. Although these standards are not mandatory, they should be followed unless the organisation can demonstrate that its method to control risks provides a similar level of risk reduction. New buildings and major renovations must also comply with the National Construction Code.&lt;/p&gt;</x:v>
      </x:c>
      <x:c r="K64" s="6" t="n">
        <x:f>=HYPERLINK("#K64","Guidance Notes")</x:f>
      </x:c>
      <x:c r="L64" s="6" t="str">
        <x:v>&lt;p&gt;Ensure that all workplace entries and exits are safe and comply with applicable Australian standards.&lt;/p&gt;</x:v>
      </x:c>
      <x:c r="M64" s="6" t="n">
        <x:f>=HYPERLINK("#M64","Remediation")</x:f>
      </x:c>
      <x:c r="N64" s="6" t="str">
        <x:v>&lt;p&gt;Penalties apply if an organisation does not ensure, so far as is reasonably practicable, that the layout of the workplace allows, and the workplace is maintained so as to allow, people to enter and exit without risk to health and safety, both under normal working conditions and in an emergency. The maximum penalties are $30,000 for an organisation and $6,000 for an individual (reg 40).&lt;/p&gt;</x:v>
      </x:c>
      <x:c r="O64" s="6" t="n">
        <x:f>=HYPERLINK("#O64","Consequence")</x:f>
      </x:c>
      <x:c r="P64" s="6" t="str">
        <x:v>&lt;p&gt;&lt;a href="https://www.legislation.gov.au/Details/C2011A00137" target="_blank" &gt;Work Health and Safety Act 2011 (Cth)&lt;/a&gt; s 20 (see also corresponding Acts in ACT, NSW, NT, QLD, SA and TAS)&lt;/p&gt;&lt;p&gt;&lt;a href="https://www.legislation.gov.au/Details/F2011L02664" target="_blank" &gt;Work Health and Safety Regulations 2011 (Cth)&lt;/a&gt; reg 40 (see also corresponding regulations in ACT, NSW, NT, QLD, SA and TAS)&lt;/p&gt;&lt;p&gt;Model Code of Practice - Managing the Work Environment and Facilities, December 2011&lt;/p&gt;&lt;p&gt;AS 1657&amp;ndash;2013 Fixed Platforms, Walkways, Stairways and Ladders&amp;mdash;Design, Construction and Installation&lt;/p&gt;&lt;p&gt;AS 2293.1&amp;ndash;2005 Emergency Escape Lighting and Exit Signs For Buildings&lt;/p&gt;</x:v>
      </x:c>
      <x:c r="Q64" s="6" t="n">
        <x:f>=HYPERLINK("#Q64","Source")</x:f>
      </x:c>
      <x:c r="R64"/>
      <x:c r="S64"/>
      <x:c r="T64"/>
    </x:row>
    <x:row r="65" spans="1:20" ht="15.75" x14ac:dyDescent="0.25">
      <x:c r="A65" t="n">
        <x:v>11248</x:v>
      </x:c>
      <x:c r="B65" t="str">
        <x:v>NSW,NT,QLD,SA,TAS,ACT,COMMONWEALTH</x:v>
      </x:c>
      <x:c r="C65" t="inlineStr">
        <x:is>
          <x:t xml:space="preserve">  Subobligation</x:t>
        </x:is>
      </x:c>
      <x:c r="D65" t="inlineStr">
        <x:is>
          <x:t xml:space="preserve">  Managing the Work Environment</x:t>
        </x:is>
      </x:c>
      <x:c r="E65" s="31" t="n">
        <x:v>11.03</x:v>
      </x:c>
      <x:c r="F65" s="8" t="n">
        <x:f>=HYPERLINK("#Obligation()","Workplace and Facilities Management")</x:f>
      </x:c>
      <x:c r="G65" s="8" t="n">
        <x:f>=HYPERLINK("#SubObligation()","Managing the Work Environment")</x:f>
      </x:c>
      <x:c r="H65" s="6" t="n">
        <x:f>=HYPERLINK("#H65","Tools")</x:f>
      </x:c>
      <x:c r="I65" s="27" t="str">
        <x:v>&lt;b&gt;&lt;p&gt;Managing the Work Environment&lt;/p&gt;Does the organisation have a structured, documented and effective process for providing and maintaining a physical work environment that is without risks to health and safety, so far as is reasonably practicable?&lt;/b&gt;</x:v>
      </x:c>
      <x:c r="J65" s="6" t="str">
        <x:v>&lt;p&gt;An organisation has a duty to provide and maintain, so far as is reasonably practicable, a general working environment that is without risks to health and safety. The harmonised Work Health and Safety (WHS) Regulations set out the following obligations:&lt;/p&gt;&lt;ul&gt;&lt;li&gt;The workplace must be laid out and maintained in a way that allows for safe entry and exit and moving about, both under normal working conditions and in an emergency.&lt;/li&gt;&lt;li&gt;The work areas must have sufficient space to carry out work safely.&lt;/li&gt;&lt;li&gt;The floors and other surfaces must be designed, installed and maintained to allow work to be carried out safely.&lt;/li&gt;&lt;li&gt;Lighting must be appropriate for carrying out work safely, moving around the workplace safely and safe evacuation.&lt;/li&gt;&lt;li&gt;Ventilation must be appropriate for workers to carry out work safely.&lt;/li&gt;&lt;li&gt;Workers who carry out work in extreme heat or cold must be able to do so safely, so far as is reasonably practicable.&lt;/li&gt;&lt;li&gt;Work in relation to or near essential services (such as gas, electricity, water, sewerage and telecommunications) must not give rise to a risk to the health and safety of people at the workplace.&lt;/li&gt;&lt;/ul&gt;&lt;p&gt;The organisation should have a documented process for providing and maintaining a safe and healthy workplace, including a risk register that covers all aspects of the physical work environment. The organisation should consider:&lt;/p&gt;&lt;ul&gt;&lt;li&gt;the nature of the work being carried out&lt;/li&gt;&lt;li&gt;the nature of the hazards at the workplace&lt;/li&gt;&lt;li&gt;the size and location of the workplace&lt;/li&gt;&lt;li&gt;the number of workers and the composition of the workforce.&lt;/li&gt;&lt;/ul&gt;&lt;p&gt;Appendix A of the Model code of practice - Managing the work environment and facilities, December 2011 (Safe Work Australia) provides a checklist for reviewing the work environment. See Tools &amp;ndash; Model code of practice - Managing the work environment and facilities, December 2011 (Safe Work Australia).&lt;/p&gt;&lt;p&gt;The organisation should consult workers on workplace hazards and any changes to the work environment, and provide information and training to workers on safe work practices. Where the organisation shares responsibility for aspects of the work environment with other organisations, it should consult with those other organisations on ways to cooperate and coordinate to provide and maintain a physical work environment that is without risks to health and safety.&lt;/p&gt;&lt;p&gt;The organisation should ensure that the workplace remains clean and tidy, especially to prevent injuries from slips and trips. Good housekeeping practices include cleaning up spills on floors immediately, keeping walkways clear of obstructions, neatly storing work materials and regularly removing any waste. The organisation should ensure that floor surfaces are suitable for the work being carried out, and should regularly inspect and maintain the floors to eliminate slip and trip hazards. See Tools - Slips and trips at the workplace (Safe Work Australia fact sheet, February 2012).&lt;/p&gt;&lt;p&gt;The organisation should ensure that the layout of work areas enables workers to move about freely without risk of strain or injury, and to evacuate quickly in case of an emergency. The amount of space needed will depend on factors such as the physical actions needed to perform tasks, whether the tasks are to be performed sitting or standing, the type of equipment to be handled, and environmental factors such as heat and noise. If pedestrians and vehicles interact at the workplace, the organisation should put in place a traffic management plan.&lt;/p&gt;&lt;p&gt;The organisation should ensure that workstations are designed so workers can carry out their work in a comfortable, upright position. The organisation should consult workers when assessing ergonomic requirements, and ensure that workstations and/or chairs are adjustable to different heights. Where possible, the organisation should develop systems of work that mean workers do not have prolonged periods of sitting or standing.&lt;/p&gt;&lt;p&gt;The organisation should ensure that workplaces have sufficient lighting to enable workers to perform their tasks without adopting awkward postures or straining their eyes to see. Table 1 of the Tool Managing the work environment and facilities code of practice, December 2011 (Safe Work Australia) provides guidance on the recommended illumination levels for various types of tasks, activities or interiors. The organisation should also take into account the Australian/New Zealand Standard (AS/NZS) 1680.1:2006 Interior and workplace lighting&amp;mdash;General principles and recommendations.&lt;/p&gt;&lt;p&gt;The organisation should ensure that the workplace is adequately ventilated, whether through natural ventilation, mechanical ventilation (fans or extraction units) or air-conditioning. The organisation should take into account AS/NZS 3666 Set:2011 Air-handling and water systems of buildings and AS&amp;nbsp;1668.2&amp;ndash;2012 The use of ventilation and airconditioning in buildings&amp;mdash;Mechanical ventilation in buildings.&lt;/p&gt;&lt;p&gt;Where possible, the organisation should ensure that work is carried out within a comfortable temperature range that is suited to the type of work, taking into account conditions at the workplace. If it is not possible to eliminate exposure to extreme heat or cold, the organisation should implement measures to minimise the risk of heat strain or exhaustion and hypothermia, so far as is reasonably practicable (see pages 14&amp;ndash;15 of the Model code of practice - Managing the work environment and facilities, December 2011 (Safe Work Australia)). The organisation should also monitor the environmental conditions and physical wellbeing of workers who carry out work in extreme heat or cold, and train workers to recognise the early signs of heat strain or hypothermia.&lt;/p&gt;&lt;p&gt;The organisation should have a program of regular maintenance for the aspects of the physical work environment that it manages or controls, and have a procedure for workers to report faults or damage. If aspects of the work environment are under the management or control of others, the organisation should regularly check that those aspects are maintained to an acceptable standard.&lt;/p&gt;&lt;p&gt;The organisation should bear in mind that new buildings and major renovations must comply with the National Construction Code. See Tools &amp;ndash; National construction code (Australian Building Codes Board).&lt;/p&gt;</x:v>
      </x:c>
      <x:c r="K65" s="6" t="n">
        <x:f>=HYPERLINK("#K65","Guidance Notes")</x:f>
      </x:c>
      <x:c r="L65" s="6" t="str">
        <x:v>&lt;p&gt;Develop a structured process for providing and maintaining a safe and healthy physical work environment that complies with relevant Australian standards.&lt;/p&gt;</x:v>
      </x:c>
      <x:c r="M65" s="6" t="n">
        <x:f>=HYPERLINK("#M65","Remediation")</x:f>
      </x:c>
      <x:c r="N65" s="6" t="str">
        <x:v>&lt;p&gt;Penalties apply for failing to ensure, so far as is reasonably practicable, that the general working environment is without risk to health and safety. The maximum penalties are $30,000 for an organisation and $6,000 for an individual (reg 40).&lt;/p&gt;&lt;p&gt;A failure to ensure, so far as is reasonably practicable, a healthy and safe physical work environment might also be a breach of the general duties of an organisation under the harmonised WHS Acts (Part 2).&lt;/p&gt;</x:v>
      </x:c>
      <x:c r="O65" s="6" t="n">
        <x:f>=HYPERLINK("#O65","Consequence")</x:f>
      </x:c>
      <x:c r="P65" s="6" t="str">
        <x:v>&lt;p&gt;&lt;a href="https://www.legislation.gov.au/Details/C2011A00137" target="_blank" &gt;Work Health and Safety Act 2011 (Cth)&lt;/a&gt; ss 19, 46&amp;ndash;48 (see also corresponding Acts in ACT, NSW, NT, QLD, SA and TAS)&lt;/p&gt;&lt;p&gt;&lt;a href="https://www.legislation.gov.au/Details/F2011L02664" target="_blank" &gt;Work Health and Safety Regulations 2011 (Cth)&lt;/a&gt; reg 40 (see also corresponding regulations in ACT, NSW, NT, QLD, SA and TAS)&lt;/p&gt;&lt;p&gt;Managing the Work Environment and Facilities Code of Practice&amp;mdash;December 2011&lt;/p&gt;&lt;p&gt;AS/NZS 1680.1:2006 Interior and Workplace Lighting&amp;mdash;General Principles and Recommendations&lt;/p&gt;&lt;p&gt;AS/NZS 3666 Set:2011 Air-Handling and Water Systems of Buildings&lt;/p&gt;&lt;p&gt;AS 1668.2&amp;ndash;2012 The Use of Ventilation And Airconditioning in Buildings&amp;mdash;Mechanical Ventilation in Buildings&lt;/p&gt;</x:v>
      </x:c>
      <x:c r="Q65" s="6" t="n">
        <x:f>=HYPERLINK("#Q65","Source")</x:f>
      </x:c>
      <x:c r="R65"/>
      <x:c r="S65"/>
      <x:c r="T65"/>
    </x:row>
    <x:row r="66" spans="1:20" ht="15.75" x14ac:dyDescent="0.25">
      <x:c r="A66" t="n">
        <x:v>11263</x:v>
      </x:c>
      <x:c r="B66" t="str">
        <x:v>NSW,NT,QLD,SA,TAS,ACT,COMMONWEALTH</x:v>
      </x:c>
      <x:c r="C66" t="inlineStr">
        <x:is>
          <x:t xml:space="preserve">  Subobligation</x:t>
        </x:is>
      </x:c>
      <x:c r="D66" t="inlineStr">
        <x:is>
          <x:t xml:space="preserve">  Facilities Management</x:t>
        </x:is>
      </x:c>
      <x:c r="E66" s="31" t="n">
        <x:v>11.04</x:v>
      </x:c>
      <x:c r="F66" s="8" t="n">
        <x:f>=HYPERLINK("#Obligation()","Workplace and Facilities Management")</x:f>
      </x:c>
      <x:c r="G66" s="8" t="n">
        <x:f>=HYPERLINK("#SubObligation()","Facilities Management")</x:f>
      </x:c>
      <x:c r="H66" s="6" t="n">
        <x:f>=HYPERLINK("#H66","Tools")</x:f>
      </x:c>
      <x:c r="I66" s="27" t="str">
        <x:v>&lt;b&gt;&lt;p&gt;Facilities Management&lt;/p&gt;Does the organisation provide adequate and accessible welfare facilities for workers while they are at work?&lt;/b&gt;</x:v>
      </x:c>
      <x:c r="J66" s="6" t="str">
        <x:v>&lt;p&gt;An organisation must ensure, so far as is reasonably practicable, that it provides adequate and accessible welfare facilities for workers, including toilets, drinking water, washing facilities and eating facilities. Depending on the type of work being carried out, other facilities for workers may include accessible and secure storage for workers&amp;rsquo; personal items, change rooms, and shelter when performing outdoor work.&lt;/p&gt;&lt;p&gt;The organisation must ensure, so far as is reasonably practicable, that the facilities are maintained in good working order and are clean, safe and accessible.&lt;/p&gt;&lt;p&gt;The organisation should have a documented process for providing and maintaining adequate and accessible facilities for workers. When deciding on appropriate facilities, the organisation should consider:&lt;/p&gt;&lt;ul&gt;&lt;li&gt;the nature of the work being carried out&lt;/li&gt;&lt;li&gt;the nature of the hazards at the workplace&lt;/li&gt;&lt;li&gt;the size and location of the workplace&lt;/li&gt;&lt;li&gt;the number of workers and the composition of the workforce.&lt;/li&gt;&lt;/ul&gt;&lt;p&gt;The type of facilities provided will depend in part on whether the workplace is fixed, temporary, mobile or remote. Appendix A of the Model code of practice - Managing the work environment and facilities, December 2011 (Safe Work Australia) provides a checklist for reviewing the adequacy of facilities provided to workers, while Appendix B contains examples of facilities for temporary and permanent workplaces. Facilities should be separated from work areas where there is a risk of contamination from work processes. See Tools &amp;ndash; Model code of practice - Managing the work environment and facilities, December 2011 (Safe Work Australia).&lt;/p&gt;&lt;p&gt;The organisation should consult workers when making decisions about welfare facilities. If the organisation shares responsibility for providing facilities with other duty holders, it should ensure that it consults, cooperates and coordinates with those duty holders on the provision and maintenance of the facilities.&lt;/p&gt;&lt;p&gt;The organisation should ensure that facilities are accessible for all workers, including those with special needs or disabilities. The organisation may not need to provide its own facilities if suitable facilities are already available nearby and workers have the opportunity to access them. In this case, the organisation would need to ensure that workers have breaks to use the facilities, that night-shift workers have similar access as those who work in the day, and that the means of access is safe at all times.&lt;/p&gt;&lt;p&gt;The organisation should ensure that it provides an adequate and accessible supply of clean drinking water to workers free of charge, and that the water is provided separately from toilet or washing facilities.&lt;/p&gt;&lt;p&gt;The organisation should ensure that workers have access to clean toilets while they are at work. For workplaces within buildings, the organisation should consult the Model code of practice - Managing the work environment and facilities, December 2011 (Safe Work Australia) (pages 17&amp;ndash;18) and the National Construction Code for guidance on the ratio of toilets to the number of workers (including by gender) and specifications for toilets.&lt;/p&gt;&lt;p&gt;The organisation must ensure that accessible hand-washing facilities are provided so workers can maintain good standards of personal hygiene. The number of wash basins will depend on the number of workers and the type of work carried out. If the organisation engages in activities such as food preparation or health care, it should also ensure that it complies with its obligations under health legislation. The Model code of practice - Managing the work environment and facilities, December 2011 (Safe Work Australia) sets out the requirements for hand-washing facilities (pages 18&amp;ndash;19).&lt;/p&gt;&lt;p&gt;The organisation should ensure that workers have access to hygienic facilities for preparing, eating and storing food. The Model code of practice - Managing the work environment and facilities, December 2011 (Safe Work Australia) sets out the requirements for large and small static workplaces and mobile, temporary or remote workplaces (pages 19&amp;ndash;20).&lt;/p&gt;&lt;p&gt;The organisation should ensure that private changing areas are provided to workers who have to change in and out of clothing (such as personal protective clothing or uniforms) due to the nature of their work. The change rooms should be in a convenient location and have sufficient space, be heated or cooled as needed, include secure storage for personal belongings, and be equipped with seating, mirrors and hooks and/or shelves. Separate change rooms should be provided for male and female workers. The Model code of practice - Managing the work environment and facilities, December 2011 (Safe Work Australia) sets out the requirements for change rooms (pages 20&amp;ndash;21).&lt;/p&gt;&lt;p&gt;If the organisation requires its workers to carry out dirty, hot or hazardous work, it may need to ensure that those workers have access to safe and clean shower facilities at work. Usually, separate facilities should be provided for male and female workers. The Model code of practice - Managing the work environment and facilities, December 2011 (Safe Work Australia) sets out the requirements for shower facilities (page 21).&lt;/p&gt;&lt;p&gt;The organisation should have a program of regular maintenance for the facilities that it manages or controls, and have a procedure for workers to report faults or damage. If workers&amp;rsquo; facilities are under the management or control of others, the organisation should regularly check that the facilities are being maintained to an acceptable standard.&lt;/p&gt;&lt;p&gt;The organisation should bear in mind that new buildings and major renovations must comply with the National Construction Code. See Tools &amp;ndash; National construction code (Australian Building Codes Board).&lt;/p&gt;</x:v>
      </x:c>
      <x:c r="K66" s="6" t="n">
        <x:f>=HYPERLINK("#K66","Guidance Notes")</x:f>
      </x:c>
      <x:c r="L66" s="6" t="str">
        <x:v>&lt;p&gt;Develop a structured process to ensure that workers have access to adequate facilities that comply with legislation and relevant Australian standards.&lt;/p&gt;</x:v>
      </x:c>
      <x:c r="M66" s="6" t="n">
        <x:f>=HYPERLINK("#M66","Remediation")</x:f>
      </x:c>
      <x:c r="N66" s="6" t="str">
        <x:v>&lt;p&gt;Penalties of up to $30,000 for an organisation and $6000 for an individual apply for not providing and maintaining adequate and accessible facilities for workers (reg 41).&lt;/p&gt;</x:v>
      </x:c>
      <x:c r="O66" s="6" t="n">
        <x:f>=HYPERLINK("#O66","Consequence")</x:f>
      </x:c>
      <x:c r="P66" s="6" t="str">
        <x:v>&lt;p&gt;&lt;a href="https://www.legislation.gov.au/Details/C2011A00137" target="_blank" &gt;Work Health and Safety Act 2011 (Cth)&lt;/a&gt; ss 47&amp;ndash;48 (see also corresponding Acts in ACT, NSW, NT, QLD, SA and TAS)&lt;/p&gt;&lt;p&gt;&lt;a href="https://www.legislation.gov.au/Details/F2011L02664" target="_blank" &gt;Work Health and Safety Regulations 2011 (Cth)&lt;/a&gt; reg 41 (see also corresponding regulations in ACT, NSW, NT, QLD, SA and TAS)&lt;/p&gt;&lt;p&gt;Model Code of Practice - Managing the Work Environment and Facilities, December 2011&lt;/p&gt;</x:v>
      </x:c>
      <x:c r="Q66" s="6" t="n">
        <x:f>=HYPERLINK("#Q66","Source")</x:f>
      </x:c>
      <x:c r="R66"/>
      <x:c r="S66"/>
      <x:c r="T66"/>
    </x:row>
    <x:row r="67" spans="1:20" ht="15.75" x14ac:dyDescent="0.25">
      <x:c r="A67" t="n">
        <x:v>11271</x:v>
      </x:c>
      <x:c r="B67" t="str">
        <x:v>NSW,NT,QLD,SA,TAS,ACT,COMMONWEALTH</x:v>
      </x:c>
      <x:c r="C67" t="inlineStr">
        <x:is>
          <x:t xml:space="preserve">  Subobligation</x:t>
        </x:is>
      </x:c>
      <x:c r="D67" t="inlineStr">
        <x:is>
          <x:t xml:space="preserve">  Emergency Management</x:t>
        </x:is>
      </x:c>
      <x:c r="E67" s="31" t="n">
        <x:v>11.05</x:v>
      </x:c>
      <x:c r="F67" s="8" t="n">
        <x:f>=HYPERLINK("#Obligation()","Workplace and Facilities Management")</x:f>
      </x:c>
      <x:c r="G67" s="8" t="n">
        <x:f>=HYPERLINK("#SubObligation()","Emergency Management")</x:f>
      </x:c>
      <x:c r="H67" s="6" t="n">
        <x:f>=HYPERLINK("#H67","Tools")</x:f>
      </x:c>
      <x:c r="I67" s="27" t="str">
        <x:v>&lt;b&gt;&lt;p&gt;Emergency Management&lt;/p&gt;Does the organisation have a current, documented, tested and effective process for managing emergencies at the workplace?&lt;/b&gt;</x:v>
      </x:c>
      <x:c r="J67" s="6" t="str">
        <x:v>&lt;p&gt;Emergency plans and procedures are a crucial part of ensuring health and safety at the workplace. An organisation must prepare a written emergency plan for the workplace, and implement it in the event of an emergency. The organisation&amp;rsquo;s emergency procedures must provide for an effective response to an emergency and include:&lt;/p&gt;&lt;ul&gt;&lt;li&gt;safe evacuation procedures&lt;/li&gt;&lt;li&gt;notifying emergency service organisations at the earliest opportunity&lt;/li&gt;&lt;li&gt;provisions for medical treatment and assistance&lt;/li&gt;&lt;li&gt;effective communication between the organisation&amp;rsquo;s emergency response coordinator and all people at the workplace.&lt;/li&gt;&lt;/ul&gt;&lt;p&gt;The organisation must test its emergency procedures at regular intervals, and provide information, training and instruction to relevant workers on how to implement emergency procedures. The organisation must also maintain its emergency plan so it remains effective.&lt;/p&gt;&lt;p&gt;When preparing its emergency plan, the organisation must take into account all relevant matters, including:&lt;/p&gt;&lt;ul&gt;&lt;li&gt;the nature of the work being carried out&lt;/li&gt;&lt;li&gt;the nature of the hazards at the workplace&lt;/li&gt;&lt;li&gt;the size and location of the workplace&lt;/li&gt;&lt;li&gt;the number and composition of workers and other people at the workplace.&lt;/li&gt;&lt;/ul&gt;&lt;p&gt;The harmonised Work Health and Safety Regulations outline specific requirements for emergency plans and procedures in relation to work in confined spaces, fall arrest systems, high-risk work, electrical work, general diving work, hazardous chemicals, asbestos and major hazard facilities.&lt;/p&gt;&lt;p&gt;The organisation should ensure that it has a written emergency plan that is suited to the different types of emergency situations that could arise, including fire or explosion, dangerous chemical release, medical emergency, natural disaster, bomb threats, violence or robbery. The plan should clearly explain how to respond to different emergencies, including how to safely evacuate people, and should cover all work areas. A more comprehensive plan may be required for high-risk situations, such as at hotels and stadiums and the handling of significant amounts of cash.&lt;/p&gt;&lt;p&gt;If a workplace is shared by more than one organisation, then the organisation that manages or controls the workplace should coordinate the preparation of the emergency plan in consultation with all organisations at the workplace.&lt;/p&gt;&lt;p&gt;The organisation should consult workers and their health and safety representative when preparing, reviewing and revising the emergency plan.&lt;/p&gt;&lt;p&gt;If the workplace presents a significant hazard in the event of an emergency, the organisation should consult with local emergency services when developing the emergency plan.&lt;/p&gt;&lt;p&gt;The organisation should display key elements of the emergency plan, including evacuation procedures, in prominent places at the workplace, and workers must be instructed and trained in the procedures. The organisation should conduct an evacuation practice drill at least once a year.&lt;/p&gt;&lt;p&gt;The organisation should regularly test its emergency procedures in accordance with the emergency plan, and periodically review the plan to ensure that it remains relevant. Triggers for a review of an emergency plan would include:&lt;/p&gt;&lt;ul&gt;&lt;li&gt;new work processes or changes to the work being carried out at the workplace&lt;/li&gt;&lt;li&gt;identification of new hazards or changes to specific hazards at the workplace&lt;/li&gt;&lt;li&gt;changes in the size and location of the workplace&lt;/li&gt;&lt;li&gt;changes to the number and composition of the workers and other people at the workplace.&lt;/li&gt;&lt;/ul&gt;&lt;p&gt;The Model code of practice - Managing the work environment and facilities, December 2011 (Safe Work Australia) sets out the matters that an emergency plan should address (page 27), while Appendix A of the code contains a checklist of matters to consider when preparing an emergency plan. Safe Work Australia&amp;rsquo;s fact sheet on emergency plans also contains a checklist for preparing an emergency plan, from defining responsibilities to post-incident follow-up and reviewing the plan. The organisation should also consult the Australian standard (AS) 3745&amp;ndash;2010 Planning for emergencies in facilities. See Tools &amp;ndash; Model code of practice - Managing the work environment and facilities, December 2011 (Safe Work Australia) and Emergency plans fact sheet, February 2012 (Safe Work Australia).&lt;/p&gt;</x:v>
      </x:c>
      <x:c r="K67" s="6" t="n">
        <x:f>=HYPERLINK("#K67","Guidance Notes")</x:f>
      </x:c>
      <x:c r="L67" s="6" t="str">
        <x:v>&lt;p&gt;Prepare an effective and documented emergency plan, provide training to relevant workers in emergency procedures, organise an evacuation drill and other tests, and periodically review the plan.&lt;/p&gt;</x:v>
      </x:c>
      <x:c r="M67" s="6" t="n">
        <x:f>=HYPERLINK("#M67","Remediation")</x:f>
      </x:c>
      <x:c r="N67" s="6" t="str">
        <x:v>&lt;p&gt;Penalties apply for not having a current and tested emergency plan. Penalties also apply for not providing adequate information, training and instruction to relevant workers about implementing emergency procedures, and for not implementing an emergency plan in the event of an emergency. The maximum penalties are $30,000 for an organisation and $6000 for an individual (reg 43).&lt;/p&gt;</x:v>
      </x:c>
      <x:c r="O67" s="6" t="n">
        <x:f>=HYPERLINK("#O67","Consequence")</x:f>
      </x:c>
      <x:c r="P67" s="6" t="str">
        <x:v>&lt;p&gt;&lt;a href="https://www.legislation.gov.au/Details/F2011L02664" target="_blank" &gt;Work Health and Safety Regulations 2011 (Cth)&lt;/a&gt; regs 40, 43, 74&amp;ndash;75, 80, 84, 161, 171A, 178, 359&amp;ndash;361, 454&amp;ndash;455, 557, 559, 567, 569, 571&amp;ndash;572, 575 (see also corresponding regulations in ACT, NSW, NT, QLD, SA and TAS)&lt;/p&gt;&lt;p&gt;Model Code of Practice - Managing the Work Environment and Facilities, December 2011&lt;/p&gt;&lt;p&gt;AS 3745&amp;ndash;2010 Planning for Emergencies in Facilities&lt;/p&gt;</x:v>
      </x:c>
      <x:c r="Q67" s="6" t="n">
        <x:f>=HYPERLINK("#Q67","Source")</x:f>
      </x:c>
      <x:c r="R67"/>
      <x:c r="S67"/>
      <x:c r="T67"/>
    </x:row>
    <x:row r="68" spans="1:20" ht="15.75" x14ac:dyDescent="0.25">
      <x:c r="A68" t="n">
        <x:v>11280</x:v>
      </x:c>
      <x:c r="B68" t="str">
        <x:v>NSW,NT,QLD,SA,TAS,ACT,COMMONWEALTH</x:v>
      </x:c>
      <x:c r="C68" t="inlineStr">
        <x:is>
          <x:t xml:space="preserve">  Subobligation</x:t>
        </x:is>
      </x:c>
      <x:c r="D68" t="inlineStr">
        <x:is>
          <x:t xml:space="preserve">  First Aid</x:t>
        </x:is>
      </x:c>
      <x:c r="E68" s="31" t="n">
        <x:v>11.06</x:v>
      </x:c>
      <x:c r="F68" s="8" t="n">
        <x:f>=HYPERLINK("#Obligation()","Workplace and Facilities Management")</x:f>
      </x:c>
      <x:c r="G68" s="8" t="n">
        <x:f>=HYPERLINK("#SubObligation()","First Aid")</x:f>
      </x:c>
      <x:c r="H68" s="6" t="n">
        <x:f>=HYPERLINK("#H68","Tools")</x:f>
      </x:c>
      <x:c r="I68" s="27" t="str">
        <x:v>&lt;b&gt;&lt;p&gt;First Aid&lt;/p&gt;Does the organisation have accessible first aid equipment and facilities at the workplace, and do workers have access to trained first aiders while at work?&lt;/b&gt;</x:v>
      </x:c>
      <x:c r="J68" s="6" t="str">
        <x:v>&lt;p&gt;First aid forms a crucial part of managing accidents and illnesses at the workplace. Providing timely and effective first aid to workers who are injured or ill at work reduces the harm to workers and can also reduce their recovery time.&lt;/p&gt;&lt;p&gt;An organisation must ensure that it provides first aid equipment for the workplace, that each worker has access to the equipment, and that facilities for administering first aid are easily accessible.&lt;/p&gt;&lt;p&gt;An organisation must also ensure that an adequate number of workers are trained to administer first aid at the workplace, or that workers have access to people who are trained to administer first aid.&lt;/p&gt;&lt;p&gt;When implementing its first aid provisions, an organisation must take into account all relevant matters, including:&lt;/p&gt;&lt;ul&gt;&lt;li&gt;the nature of the work being carried out&lt;/li&gt;&lt;li&gt;the nature of the hazards at the workplace (certain workplaces have greater risks of injury and illness)&lt;/li&gt;&lt;li&gt;the size and location of the workplace (e.g. distance from emergency services)&lt;/li&gt;&lt;li&gt;the number and composition of workers and other people at the workplace.&lt;/li&gt;&lt;/ul&gt;&lt;p&gt;The harmonised Work Health and Safety (WHS) Regulations also stipulate that if an organisation&amp;rsquo;s workers carry out work in a confined space, then the organisation must have in place first aid procedures in the event of an emergency in the confined space. The WHS Regulations also require a worker who carries out general diving work to have first aid skills.&lt;/p&gt;&lt;p&gt;The organisation should use a risk management approach to tailor its first aid arrangements to the conditions and circumstances at the workplace. This approach involves:&lt;/p&gt;&lt;ul&gt;&lt;li&gt;identifying hazards that could result in work-related injury or illness&lt;/li&gt;&lt;li&gt;assessing the type, severity and likelihood of injuries and illness&lt;/li&gt;&lt;li&gt;implementing appropriate control measures (i.e. first aid equipment, facilities, training and procedures)&lt;/li&gt;&lt;li&gt;maintaining the control measures to ensure they remain effective (e.g. replenishing first aid kits as required)&lt;/li&gt;&lt;li&gt;reviewing first aid requirements on a regular basis or as circumstances change.&lt;/li&gt;&lt;/ul&gt;&lt;p&gt;Appendix A of the model Code of practice - First aid in the workplace, March 2015 (Safe Work Australia) outlines the steps in the risk management process, while Table 1 of the code sets out injuries that are associated with common workplace hazards and may require first aid. Appendix B of the code provides an example of a first aid risk assessment. See Tool &amp;ndash; model Code of practice - First aid in the workplace, March 2015 (Safe Work Australia).&lt;/p&gt;&lt;p&gt;The organisation should consult workers about first aid requirements at the workplace, and give workers a reasonable opportunity to express their views.&lt;/p&gt;&lt;p&gt;If the organisation shares responsibility for health and safety matters with other organisations that are involved in the same activities or share the same workplace, then all organisations should consult, cooperate and coordinate with each other, so far as is reasonably practicable, to ensure that the workplace has appropriate first aid arrangements in place. The organisations may agree to share first aid equipment and facilities and coordinate access to first aiders.&lt;/p&gt;&lt;p&gt;The organisation should ensure that all workers can access first aid equipment, facilities and first aiders whenever they work, including on night shifts or during overtime. The model Code of practice - First aid in the workplace, March 2015 (Safe Work Australia) provides details on the required contents, design and location of first aid kits (see pages 9&amp;ndash;10 and Appendix C). The organisation should also consider whether it needs to provide other first aid equipment, such as an automated external defibrillator or eyewash and shower equipment (see Australian standard (AS) 4775&amp;ndash;2007 Emergency eyewash and shower equipment).&lt;/p&gt;&lt;p&gt;The organisation&amp;rsquo;s risk assessment will determine what first aid facilities are appropriate for the workplace. First aid facilities include:&lt;/p&gt;&lt;ul&gt;&lt;li&gt;a clean, quiet and private area in the workplace&lt;/li&gt;&lt;li&gt;a well-equipped and accessible first aid room&lt;/li&gt;&lt;li&gt;a health centre staffed by a doctor, nurse or paramedic.&lt;/li&gt;&lt;/ul&gt;&lt;p&gt;The model Code of practice - First aid in the workplace, March 2015 (Safe Work Australia) sets out the requirements for first aid facilities (pages 11&amp;ndash;12).&lt;/p&gt;&lt;p&gt;The organisation should display well-recognised first aid signs to assist in locating first aid equipment and facilities (see AS 1319&amp;ndash;1994 Safety signs for the occupational environment).&lt;/p&gt;&lt;p&gt;The organisation should ensure that it has access to sufficient people who can administer first aid to workers at the times when workers carry out work (including any shift work or overtime). The organisation may decide to train one of more of its own workers, or arrange for another trained person to administer first aid. First aiders should hold a nationally recognised statement of attainment from a registered training organisation, and should also undertake refresher training. Guidance on the types of training for first aiders and the recommended number of trained first aiders is on pages 13&amp;ndash;15 of the model Code of practice - First aid in the workplace, March 2015 (Safe Work Australia).&lt;/p&gt;&lt;p&gt;The organisation should develop and implement first aid procedures to ensure that workers understand first aid arrangements in their workplace. Page 15 of the model Code of practice - First aid in the workplace, March 2015 (Safe Work Australia) sets out what the procedures should cover, while Appendix D of the code sets out standard precautions that first aiders should follow to prevent infection when handling blood or other body substances. The organisation may incorporate its first aid procedures into its emergency plan.&lt;/p&gt;&lt;p&gt;The organisation must provide easy-to-understand information to workers about first aid so they know what to do and who to contact in the event of injury or illness at work.&lt;/p&gt;&lt;p&gt;The organisation should regularly review its first aid arrangements to ensure that they remain adequate and effective. Page 17 of the model Code of practice - First aid in the workplace, March 2015 (Safe Work Australia) provides guidance on how to conduct a review.&lt;/p&gt;&lt;p&gt;The organisation should keep a record of any first aid treatment given and consult the first aid records when reviewing first aid requirements. First aid treatment records are subject to requirements under health records legislation.&lt;/p&gt;</x:v>
      </x:c>
      <x:c r="K68" s="6" t="n">
        <x:f>=HYPERLINK("#K68","Guidance Notes")</x:f>
      </x:c>
      <x:c r="L68" s="6" t="str">
        <x:v>&lt;p&gt;Ensure that accessible equipment, facilities and trained first aiders are provided for administering first aid at work.&lt;/p&gt;</x:v>
      </x:c>
      <x:c r="M68" s="6" t="n">
        <x:f>=HYPERLINK("#M68","Remediation")</x:f>
      </x:c>
      <x:c r="N68" s="6" t="str">
        <x:v>&lt;p&gt;Penalties apply for not providing accessible first aid equipment and facilities and access to an adequate number of workers or other people who are trained to administer first aid. The maximum penalties are $30,000 for an organisation and $6,000 for an individual.&lt;/p&gt;</x:v>
      </x:c>
      <x:c r="O68" s="6" t="n">
        <x:f>=HYPERLINK("#O68","Consequence")</x:f>
      </x:c>
      <x:c r="P68" s="6" t="str">
        <x:v>&lt;p&gt;&lt;a href="https://www.legislation.gov.au/Details/F2011L02664" target="_blank" &gt;Work Health and Safety Regulations 2011 (Cth)&lt;/a&gt; regs 42, 74&amp;ndash;75, 171A (see also corresponding regulations in ACT, NSW, NT, QLD, SA and TAS)&lt;/p&gt;&lt;p&gt;Model Code of practice - First aid in the workplace, March 2015 (Safe Work Australia)&lt;/p&gt;&lt;p&gt;AS 1319&amp;ndash;1994 Safety Signs for the Occupational Environment&lt;/p&gt;&lt;p&gt;AS 4775&amp;ndash;2007 Emergency Eyewash and Shower Equipment&lt;/p&gt;&lt;p&gt;AS 4031&amp;ndash;1992 Non-Reusable Containers for the Collection of Sharp Medical Items Used in Health Care Areas&lt;/p&gt;&lt;p&gt;AS/NZS 4261:1994 Reusable Containers For the Collection of Sharp Items Used in Human and Animal Medical Applications&lt;/p&gt;</x:v>
      </x:c>
      <x:c r="Q68" s="6" t="n">
        <x:f>=HYPERLINK("#Q68","Source")</x:f>
      </x:c>
      <x:c r="R68"/>
      <x:c r="S68"/>
      <x:c r="T68"/>
    </x:row>
    <x:row r="69" spans="1:20" ht="15.75" x14ac:dyDescent="0.25">
      <x:c r="A69" t="n">
        <x:v>11294</x:v>
      </x:c>
      <x:c r="B69" t="str">
        <x:v>NSW,NT,QLD,SA,TAS,ACT,COMMONWEALTH</x:v>
      </x:c>
      <x:c r="C69" t="inlineStr">
        <x:is>
          <x:t xml:space="preserve">  Subobligation</x:t>
        </x:is>
      </x:c>
      <x:c r="D69" t="inlineStr">
        <x:is>
          <x:t xml:space="preserve">  Remote, Isolated or Outdoor Work</x:t>
        </x:is>
      </x:c>
      <x:c r="E69" s="31" t="n">
        <x:v>11.07</x:v>
      </x:c>
      <x:c r="F69" s="8" t="n">
        <x:f>=HYPERLINK("#Obligation()","Workplace and Facilities Management")</x:f>
      </x:c>
      <x:c r="G69" s="8" t="n">
        <x:f>=HYPERLINK("#SubObligation()","Remote, Isolated or Outdoor Work")</x:f>
      </x:c>
      <x:c r="H69" s="6" t="n">
        <x:f>=HYPERLINK("#H69","Tools")</x:f>
      </x:c>
      <x:c r="I69" s="27" t="str">
        <x:v>&lt;b&gt;&lt;p&gt;Remote, Isolated or Outdoor Work&lt;/p&gt;Does the organisation have a structured, documented and effective process for managing the risks of remote, isolated or outdoor work?&lt;/b&gt;</x:v>
      </x:c>
      <x:c r="J69" s="6" t="str">
        <x:v>&lt;p&gt;An organisation must manage the health and safety risks associated with remote or isolated work. Remote or isolated work is work that is isolated from the assistance of other people because of the location, time or nature of the work. Assistance of other people includes rescue, medical treatment and emergency services.&lt;/p&gt;&lt;p&gt;Remote or isolated workers may be alone for short periods of time or for days or weeks. The Model code of practice - Managing the work environment and facilities, December 2011 (Safe Work Australia) gives the following examples of remote or isolated workers (see Tools &amp;mdash; Model code of practice - Managing the work environment and facilities, December 2011 (Safe Work Australia)):&lt;/p&gt;&lt;ul&gt;&lt;li&gt;night-time cleaners working alone in office buildings&lt;/li&gt;&lt;li&gt;farm workers&lt;/li&gt;&lt;li&gt;all-night convenience store and service station attendants&lt;/li&gt;&lt;li&gt;sales representatives, including real estate agents&lt;/li&gt;&lt;li&gt;long-distance freight transport drivers&lt;/li&gt;&lt;li&gt;scientists, park rangers and others carrying out field work alone&lt;/li&gt;&lt;li&gt;health and community workers working in isolation with members of the public.&lt;/li&gt;&lt;/ul&gt;&lt;p&gt;In minimising the risks associated with remote or isolated work, the organisation must provide a system of work that includes effective communication with the worker.&lt;/p&gt;&lt;p&gt;If the organisation needs to provide accommodation for workers in remote or regional areas, it must ensure, so far as is reasonably practicable, that it maintains the premises so that workers are not exposed to health and safety risks.&lt;/p&gt;&lt;p&gt;Outdoor workers require access to shelter for eating meals and taking breaks, and for protection in adverse weather conditions. They also require personal protective clothing and sunscreen to protect them against sun exposure.&lt;/p&gt;&lt;p&gt;The organisation should conduct a step-by-step risk management process for remote, isolated or outdoor work. The process should involve:&lt;/p&gt;&lt;ol&gt;&lt;li&gt;identifying any hazards&lt;/li&gt;&lt;li&gt;assessing the risks&lt;/li&gt;&lt;li&gt;implementing risk controls&lt;/li&gt;&lt;li&gt;maintaining the risk controls to ensure that they remain effective&lt;/li&gt;&lt;li&gt;periodically reviewing the risk controls.&lt;/li&gt;&lt;/ol&gt;&lt;p&gt;When assessing the risks of remote or isolated work, the organisation should consider the following factors:&lt;/p&gt;&lt;ul&gt;&lt;li&gt;the length of time a person may be working alone&lt;/li&gt;&lt;li&gt;the time of day when a person may be working alone&lt;/li&gt;&lt;li&gt;the forms of communication with the worker&lt;/li&gt;&lt;li&gt;the location of the work&lt;/li&gt;&lt;li&gt;the nature of the work&lt;/li&gt;&lt;li&gt;the skills and capabilities of the worker&lt;/li&gt;&lt;li&gt;any pre-existing medical conditions that the worker may have.&lt;/li&gt;&lt;/ul&gt;&lt;p&gt;The organisation should consider implementing the following risk control measures for its remote or isolated workers:&lt;/p&gt;&lt;ul&gt;&lt;li&gt;a buddy system&amp;mdash;for jobs with such a high level of risk that workers should not work alone&lt;/li&gt;&lt;li&gt;workplace layout and design&amp;mdash;for example, installing physical barriers to reduce the likelihood of violence&lt;/li&gt;&lt;li&gt;a reliable communication system, taking into account the distance of the worker from the base and the environment in which he or she is located (the organisation may need to seek expert advice and draw on local knowledge when selecting the best communication system)&lt;/li&gt;&lt;li&gt;movement records (e.g. call-in systems or satellite tracking)&lt;/li&gt;&lt;li&gt;training, information and instruction that provides the worker with the necessary skills for carrying out remote or isolated work.&lt;/li&gt;&lt;/ul&gt;&lt;p&gt;Where possible, the organisation should put in place systems of work that protect outdoor workers against sun exposure&amp;mdash;for example, providing alternative tasks or work in the shade when the sun is most intense (in addition to providing protective clothing and sunscreen). See Tools &amp;mdash; Guide on exposure to solar ultraviolet radiation (UVR), August 2013 (Safe Work Australia).&lt;/p&gt;&lt;p&gt;The Model code of practice - Managing the work environment and facilities, December 2011 (Safe Work Australia) sets out the requirements for worker accommodation in remote or regional areas (page 25).&lt;/p&gt;&lt;p&gt;The organisation should consult remote, isolated or outdoor workers, or their health and safety representative, at each stage of the risk management process, and give workers a reasonable opportunity to express their views.&lt;/p&gt;&lt;p&gt;The organisation should keep records of its risk management process as evidence of compliance with health and safety obligations. A useful form of record-keeping is a risk register, which details the hazards identified, risks assessed and control measures implemented, and how and when the control measures are monitored and reviewed.&lt;/p&gt;&lt;p&gt;Appendix A of the Model code of practice - Managing the work environment and facilities, December 2011 (Safe Work Australia) contains a checklist for managing the risks of remote, isolated or outdoor work.&lt;/p&gt;</x:v>
      </x:c>
      <x:c r="K69" s="6" t="n">
        <x:f>=HYPERLINK("#K69","Guidance Notes")</x:f>
      </x:c>
      <x:c r="L69" s="6" t="str">
        <x:v>&lt;p&gt;Develop and maintain a documented and effective risk management program for remote, isolated or outdoor work.&lt;/p&gt;</x:v>
      </x:c>
      <x:c r="M69" s="6" t="n">
        <x:f>=HYPERLINK("#M69","Remediation")</x:f>
      </x:c>
      <x:c r="N69" s="6" t="str">
        <x:v>&lt;p&gt;Penalties of up to $30,000 for an organisation and $6000 for an individual apply for not providing and maintaining effective communication to manage the risks of remote or isolated work (reg 48).&lt;/p&gt;</x:v>
      </x:c>
      <x:c r="O69" s="6" t="n">
        <x:f>=HYPERLINK("#O69","Consequence")</x:f>
      </x:c>
      <x:c r="P69" s="6" t="str">
        <x:v>&lt;p&gt;&lt;a href="https://www.legislation.gov.au/Details/C2011A00137" target="_blank" &gt;Work Health and Safety Act 2011 (Cth)&lt;/a&gt; s 19 (see also corresponding Acts in ACT, NSW, NT, QLD, SA and TAS)&lt;/p&gt;&lt;p&gt;&lt;a href="https://www.legislation.gov.au/Details/F2011L02664" target="_blank" &gt;Work Health and Safety Regulations 2011 (Cth)&lt;/a&gt; regs 32&amp;ndash;38, 48 (see also corresponding regulations in ACT, NSW, NT, QLD, SA and TAS)&lt;/p&gt;&lt;p&gt;Model Code of Practice - Managing the Work Environment and Facilities, December 2011&lt;/p&gt;</x:v>
      </x:c>
      <x:c r="Q69" s="6" t="n">
        <x:f>=HYPERLINK("#Q69","Source")</x:f>
      </x:c>
      <x:c r="R69"/>
      <x:c r="S69"/>
      <x:c r="T69"/>
    </x:row>
    <x:row r="70" spans="1:20" ht="15.75" x14ac:dyDescent="0.25">
      <x:c r="A70" t="n">
        <x:v>11305</x:v>
      </x:c>
      <x:c r="B70" t="str">
        <x:v>NSW,NT,QLD,SA,TAS,ACT,COMMONWEALTH</x:v>
      </x:c>
      <x:c r="C70" t="inlineStr">
        <x:is>
          <x:t xml:space="preserve">  Subobligation</x:t>
        </x:is>
      </x:c>
      <x:c r="D70" t="inlineStr">
        <x:is>
          <x:t xml:space="preserve">  Falling Objects</x:t>
        </x:is>
      </x:c>
      <x:c r="E70" s="31" t="n">
        <x:v>11.08</x:v>
      </x:c>
      <x:c r="F70" s="8" t="n">
        <x:f>=HYPERLINK("#Obligation()","Workplace and Facilities Management")</x:f>
      </x:c>
      <x:c r="G70" s="8" t="n">
        <x:f>=HYPERLINK("#SubObligation()","Falling Objects")</x:f>
      </x:c>
      <x:c r="H70" s="6" t="n">
        <x:f>=HYPERLINK("#H70","Tools")</x:f>
      </x:c>
      <x:c r="I70" s="27" t="str">
        <x:v>&lt;b&gt;&lt;p&gt;Falling Objects&lt;/p&gt;Does the organisation manage the risks associated with an object falling on a person where the object is reasonably likely to injure the person?&lt;/b&gt;</x:v>
      </x:c>
      <x:c r="J70" s="6" t="str">
        <x:v>&lt;p&gt;An organisation must manage the risks associated with an object falling on a person if the object is reasonably likely to injure the person. If the organisation is unable to eliminate the risks associated with falling objects, it must minimise the risks by providing adequate protection. Such protection involves providing and maintaining a safe system of work, including:&lt;/p&gt;&lt;ul&gt;&lt;li&gt;preventing an object from falling freely, so far as is reasonably practicable&lt;/li&gt;&lt;li&gt;if it is not reasonably practicable to prevent an object from falling freely&amp;mdash;providing, so far as is reasonably practicable, a system to arrest the fall of a falling object.&lt;/li&gt;&lt;/ul&gt;&lt;p&gt;Objects that can be released sideways or upwards are also considered to be falling objects for the purposes of the Work Health and Safety (WHS) Regulations.&lt;/p&gt;&lt;p&gt;The WHS Regulations require the organisation to manage the risks of falling objects in accordance with the risk management processes in Part 3.1 of the regulations. This involves identifying hazards, applying the hierarchy of control measures when implementing measures to eliminate or minimise the risks, and maintaining and reviewing the control measures. Some types of work, such as construction, demolition, working at a height, shelf-stacking and storage, present greater risks of injury from falling objects.&lt;/p&gt;&lt;p&gt;The organisation should assess the risk of objects falling and hitting people not only within the workplace, but also in adjoining areas such as a public footpath, a road or a neighbouring property. The organisation should also identify what objects at the workplace might fall, such as material, equipment, fixtures, tools, debris and items on over-stacked shelving. It should also identify where the objects might fall from, such as from structures, shelves, benches, lifting machinery and vehicles. Machinery and hand tools might also eject an object or material.&lt;/p&gt;&lt;p&gt;The organisation should give priority to preventing objects from falling before considering options for arresting the fall of objects. Examples of safe systems of work that prevent objects from falling include erecting a secure barrier, and providing a safe means of raising and lowering objects. The organisation may also set up an exclusion zone that people are prohibited from entering. Further examples of risk control measures are provided in Safe Work Australia&amp;rsquo;s fact sheet on falling objects.&lt;/p&gt;&lt;p&gt;The organisation should provide appropriate training and supervision to workers, and (where appropriate) suitable personal protective equipment, such as safety helmets, to minimise the risk of injury from falling objects.&lt;/p&gt;&lt;p&gt;The organisation should consult workers at each step of the process for managing risks associated with falling objects, and encourage workers to report any hazards or incidents promptly.&lt;/p&gt;&lt;p&gt;The organisation should ensure that it documents its process for managing risks associated with falling objects, and reviews control measures regularly to ensure that they remain effective.&lt;/p&gt;</x:v>
      </x:c>
      <x:c r="K70" s="6" t="n">
        <x:f>=HYPERLINK("#K70","Guidance Notes")</x:f>
      </x:c>
      <x:c r="L70" s="6" t="str">
        <x:v>&lt;p&gt;Put in place a process for managing the risks associated with falling objects.&lt;/p&gt;</x:v>
      </x:c>
      <x:c r="M70" s="6" t="n">
        <x:f>=HYPERLINK("#M70","Remediation")</x:f>
      </x:c>
      <x:c r="N70" s="6" t="str">
        <x:v>&lt;p&gt;Penalties apply for failing to provide adequate protection against the risk of an object falling on a person if the object is likely to injure the person. The maximum penalties are $30,000 for an organisation and $6,000 for an individual (reg 55).&lt;/p&gt;</x:v>
      </x:c>
      <x:c r="O70" s="6" t="n">
        <x:f>=HYPERLINK("#O70","Consequence")</x:f>
      </x:c>
      <x:c r="P70" s="6" t="str">
        <x:v>&lt;p&gt;&lt;a href="https://www.legislation.gov.au/Details/F2011L02664" target="_blank" &gt;Work Health and Safety Regulations 2011 (Cth)&lt;/a&gt; (54&amp;ndash;55) (see also corresponding regulations in ACT, NSW, NT, QLD, SA and TAS)&lt;/p&gt;</x:v>
      </x:c>
      <x:c r="Q70" s="6" t="n">
        <x:f>=HYPERLINK("#Q70","Source")</x:f>
      </x:c>
      <x:c r="R70"/>
      <x:c r="S70"/>
      <x:c r="T70"/>
    </x:row>
    <x:row r="71" spans="1:20" ht="15.75" x14ac:dyDescent="0.25">
      <x:c r="A71" t="n">
        <x:v>11225</x:v>
      </x:c>
      <x:c r="B71" t="str">
        <x:v>NSW,NT,QLD,SA,TAS,ACT,COMMONWEALTH</x:v>
      </x:c>
      <x:c r="C71" t="str">
        <x:v>Obligation</x:v>
      </x:c>
      <x:c r="D71" t="str">
        <x:v>Plant and Structures</x:v>
      </x:c>
      <x:c r="E71" s="31" t="n">
        <x:v>12.00</x:v>
      </x:c>
      <x:c r="F71" s="8" t="n">
        <x:f>=HYPERLINK("#Obligation()","Plant and Structures")</x:f>
      </x:c>
      <x:c r="G71" s="8"/>
      <x:c r="H71" s="6" t="n">
        <x:f>=HYPERLINK("#H71","Tools")</x:f>
      </x:c>
      <x:c r="I71" s="27" t="str">
        <x:v>&lt;b&gt;&lt;p&gt;Plant and Structures&lt;/p&gt;Does the organisation ensure that it eliminates or minimises the risks arising from plant or structures at the workplace, so far as is reasonably practicable?&lt;/b&gt;</x:v>
      </x:c>
      <x:c r="J71" s="6" t="str">
        <x:v>&lt;p&gt;Plant and structures are a significant source of hazards at a workplace, and a major cause of deaths and injuries. The work activities associated with plant and structures, such as installation, operation, maintenance, storage, decommissioning and dismantling, often give rise to serious health and safety risks that require careful management.&lt;/p&gt;&lt;p&gt;The harmonised Work Health and Safety (WHS) Acts define plant as any machinery, equipment, appliance, container, implement and tool, including components and fitted or connected parts. This exclusion to the general definition of plant only applies in relation to the specific duties owed under the harmonised regulations dealing with plant. It does not apply to duties that may be owed in respect of plant under the Act.&lt;/p&gt;&lt;p&gt;The harmonised WHS Acts define a structure as anything that is constructed, whether fixed or moveable, temporary or permanent (e.g. buildings, masts, towers, framework, pipelines, roads, bridges, rail infrastructure and underground works), and the components or parts of those things.&lt;/p&gt;&lt;p&gt;An organisation that conducts a business or undertaking has a primary duty of care to ensure, so far as is reasonably practicable, that workers and others are not exposed to health and safety risks arising from the business or undertaking. This duty includes providing and maintaining safe plant and structures and ensuring safe use, handling and storage of plant and structures, so far as is reasonably practicable.&lt;/p&gt;&lt;p&gt;If an organisation manages or controls fixtures, fittings or plant at a workplace, it must ensure, so far as is reasonably practicable, that the fixtures, fittings or plant are without health and safety risks. The WHS Regulations place additional duties on organisations that manage or control plant, such as the requirement to implement specific control measures for certain types of plant.&lt;/p&gt;&lt;p&gt;Designers, manufacturers, importers and suppliers of plant and structures must also ensure, so far as is reasonably practicable, that an item of plant or structure is without health and safety risks. In addition, organisations that install, construct or commission plant or structures at a workplace must ensure, so far as is reasonably practicable, that the methods of installation, construction or commissioning are without health and safety and risks. Organisations are also required to ensure that there is a flow of information between duty holders on the safe use of plant.&lt;/p&gt;&lt;p&gt;The WHS Regulations also require certain items of plant to be registered before the plant can be used at a workplace. The completed designs of certain types of plant, or altered designs, must also be registered before the plant can be supplied to a workplace.&lt;/p&gt;&lt;p&gt;If the organisation manages or controls plant or a structure at a workplace, it should have in place a systematic process for managing the risks associated with the plant or structure. This process should involve:&lt;/p&gt;&lt;ul&gt;&lt;li&gt;identifying hazards&lt;/li&gt;&lt;li&gt;assessing risks associated with the hazards&lt;/li&gt;&lt;li&gt;implementing risk control measures&lt;/li&gt;&lt;li&gt;maintaining the risk control measures&lt;/li&gt;&lt;li&gt;regularly reviewing the risk control measures.&lt;/li&gt;&lt;/ul&gt;&lt;p&gt;The organisation should consult with employees and others at the workplace at each stage of the risk management process. Employees and others at the workplace will usually have useful insights into the hazards and risks associated with the plant that they use. The organisation should consult with them at an early stage when planning to introduce new plant or change the way the plant is used. It should also ensure that they receive the necessary training, instruction, information and supervision to use the plant safely.&lt;/p&gt;&lt;p&gt;As several organisations are often involved in work activities associated with an item of plant or structure, it is likely that these organisations will have overlapping responsibilities for ensuring the safety of the plant or structure at different times (and potentially concurrent duties for ensuring the safety of the plant or structure at the same time). In some cases, an organisation may share an item of plant with other organisations, or share the same structure. Each organisation should seek to identify the other duty holders who share health and safety duties in relation to an item of plant or structure, and put in place a process for consulting, cooperating and coordinating with those duty holders, so far as is reasonably practicable.&lt;/p&gt;&lt;p&gt;For example, a labour-hire business may need to discuss risk management with a host business if workers are likely to be exposed to hazardous plant. A further example would be tenants in an office building consulting, cooperating and coordinating activities with the landlord of the building and organisations that provide services within the building, such as cleaning and maintenance.&lt;/p&gt;&lt;p&gt;Providing and obtaining accurate and up-to-date information about plant and structures is an important aspect of managing health and safety risks. So-called &amp;lsquo;upstream&amp;rsquo; organisations (that is, plant designers, manufacturers, importers, suppliers and installers), plant owners and operators, and organisations involved in the decommissioning or dismantling of plant should have procedures for obtaining and passing on relevant information to help ensure that the plant or structure can be installed, used and disposed of safely. It is mandatory to obtain and provide certain types of information under the WHS Regulations.&lt;/p&gt;&lt;p&gt;The organisation should ensure that it keeps records about the plant or structure to demonstrate compliance with work health and safety laws and inform subsequent risk assessments. The keeping of some records relating to plant and structures is mandatory under the WHS Regulations.&lt;/p&gt;</x:v>
      </x:c>
      <x:c r="K71" s="6" t="n">
        <x:f>=HYPERLINK("#K71","Guidance Notes")</x:f>
      </x:c>
      <x:c r="L71" s="6" t="str">
        <x:v>&lt;p&gt;Put in place a systematic process for managing the risks associated with plant and structures at the workplace.&lt;/p&gt;</x:v>
      </x:c>
      <x:c r="M71" s="6" t="n">
        <x:f>=HYPERLINK("#M71","Remediation")</x:f>
      </x:c>
      <x:c r="N71" s="6" t="str">
        <x:v>&lt;p&gt;An organisation&amp;rsquo;s failure to manage risks associated with plant or structures may be regarded as reckless conduct if that failure exposes someone to the risk of death or serious injury or illness, and if the organisation does not have a reasonable excuse for failing to manage the risks. The maximum penalties for reckless conduct are:&lt;/p&gt;&lt;ul&gt;&lt;li&gt;$3 million for a body corporate&lt;/li&gt;&lt;li&gt;$600,000 and/or 5 years&amp;rsquo; imprisonment for an individual person conducting a business or undertaking or an officer of a business or undertaking&lt;/li&gt;&lt;li&gt;$300,000 and/or 5 years&amp;rsquo; imprisonment for other individuals (s 31).&lt;/li&gt;&lt;/ul&gt;&lt;p&gt;Lesser penalties apply where the failure to comply with a duty does not involve reckless conduct (ss&amp;nbsp;32&amp;ndash;33).&lt;/p&gt;&lt;p&gt;The WHS Regulations impose a range of financial penalties for offences relating to plant and structures, such as failing to implement the required risk control measures for certain types of plant.&lt;/p&gt;</x:v>
      </x:c>
      <x:c r="O71" s="6" t="n">
        <x:f>=HYPERLINK("#O71","Consequence")</x:f>
      </x:c>
      <x:c r="P71" s="6" t="str">
        <x:v>&lt;p&gt;&lt;a href="https://www.legislation.gov.au/Details/C2011A00137" target="_blank" &gt;Work Health and Safety Act 2011 (Cth)&lt;/a&gt; ss 19&amp;ndash;26, 42 (see also corresponding Acts in ACT, NSW, NT, QLD, SA and TAS)&lt;/p&gt;&lt;p&gt;&lt;a href="https://www.legislation.gov.au/Details/F2011L02664" target="_blank" &gt;Work Health and Safety Regulations 2011 (Cth)&lt;/a&gt; Ch&amp;nbsp;5 (see also corresponding regulations in ACT, NSW, NT, QLD, SA and TAS)&lt;/p&gt;&lt;p&gt;Managing Risks of Plant in the Workplace Code of Practice&amp;mdash;September 2013&lt;/p&gt;&lt;p&gt;How to Manage Work Health and Safety Risks Code of Practice&amp;mdash;December 2011&lt;/p&gt;&lt;p&gt;Safe Design of Structures Code of Practice&amp;mdash;July 2012&lt;/p&gt;</x:v>
      </x:c>
      <x:c r="Q71" s="6" t="n">
        <x:f>=HYPERLINK("#Q71","Source")</x:f>
      </x:c>
      <x:c r="R71"/>
      <x:c r="S71"/>
      <x:c r="T71"/>
    </x:row>
    <x:row r="72" spans="1:20" ht="15.75" x14ac:dyDescent="0.25">
      <x:c r="A72" t="n">
        <x:v>11242</x:v>
      </x:c>
      <x:c r="B72" t="str">
        <x:v>NSW,NT,QLD,SA,TAS,ACT,COMMONWEALTH</x:v>
      </x:c>
      <x:c r="C72" t="inlineStr">
        <x:is>
          <x:t xml:space="preserve">  Subobligation</x:t>
        </x:is>
      </x:c>
      <x:c r="D72" t="inlineStr">
        <x:is>
          <x:t xml:space="preserve">  Design, Manufacture, Import and Supply of Plant or Structures</x:t>
        </x:is>
      </x:c>
      <x:c r="E72" s="31" t="n">
        <x:v>12.01</x:v>
      </x:c>
      <x:c r="F72" s="8" t="n">
        <x:f>=HYPERLINK("#Obligation()","Plant and Structures")</x:f>
      </x:c>
      <x:c r="G72" s="8" t="n">
        <x:f>=HYPERLINK("#SubObligation()","Design, Manufacture, Import and Supply of Plant or Structures")</x:f>
      </x:c>
      <x:c r="H72" s="6" t="n">
        <x:f>=HYPERLINK("#H72","Tools")</x:f>
      </x:c>
      <x:c r="I72" s="27" t="str">
        <x:v>&lt;b&gt;&lt;p&gt;Design, Manufacture, Import and Supply of Plant or Structures&lt;/p&gt;Does the organisation that designs, manufactures, imports or supplies plant or structures for a workplace ensure, so far as is reasonably practicable, that the plant or structure is without health and safety risks?&lt;/b&gt;</x:v>
      </x:c>
      <x:c r="J72" s="6" t="str">
        <x:v>&lt;p&gt;In addition to imposing a primary duty of care to ensure that those undertaking work for the organisation are safe, work health and safety legislation in each state and territory also imposes specific duties on organisations that design, manufacture, import or supply plant or structures to be used at a workplace. These organisations are sometimes called &amp;lsquo;upstream&amp;rsquo; duty holders.&lt;/p&gt;&lt;p&gt;An organisation must ensure, so far as is reasonably practicable, that the plant or structure that it designs, manufactures, imports or supplies is without risks to the health and safety of people who:&lt;/p&gt;&lt;ul&gt;&lt;li&gt;use, manufacture or assemble&amp;nbsp;&amp;nbsp;the plant or structure for its intended purpose at a workplace&lt;/li&gt;&lt;li&gt;store the plant at a workplace&lt;/li&gt;&lt;li&gt;construct the structure at a&amp;nbsp;&amp;nbsp;workplace&lt;/li&gt;&lt;li&gt;properly decommission,&amp;nbsp;&amp;nbsp;dismantle, demolish or dispose of the plant or structure.&lt;/li&gt;&lt;/ul&gt;&lt;p&gt;In the harmonised jurisdictions, designers and manufacturers must carry out or arrange calculations, analysis, testing or examination to ensure that the plant or structure is without health and safety risks. Importers and suppliers must either carry out or arrange such calculations, analysis, testing or examination themselves, or ensure that somebody else has already carried out these activities.&lt;/p&gt;&lt;p&gt;Designers, manufacturers, importers and suppliers in the harmonised jurisdictions must also ensure that people who use the plant or structure at a workplace receive adequate information about:&lt;/p&gt;&lt;ul&gt;&lt;li&gt;the intended purpose of the&amp;nbsp;&amp;nbsp;plant or structure&lt;/li&gt;&lt;li&gt;the results of any&amp;nbsp;&amp;nbsp;calculations, analysis, testing or examination&lt;/li&gt;&lt;li&gt;any conditions necessary to ensure&amp;nbsp;&amp;nbsp;that the plant or structure is without health and safety risks when used for&amp;nbsp;&amp;nbsp;its intended purpose.&lt;/li&gt;&lt;/ul&gt;&lt;p&gt;Designers, manufacturers, importers and suppliers in the harmonised jurisdictions must also, on request and so far as is reasonably practical, give current relevant information about these matters to people who use the plant or structure at a workplace.&lt;/p&gt;&lt;p&gt;In addition, the harmonised WHS Regulations impose specific duties on designers, manufacturers, importers and suppliers in relation to plant&amp;rsquo;s noise emission levels, hazardous manual tasks associated with plant or structures, and plant or structures that include confined spaces.&lt;/p&gt;&lt;p&gt;If the organisation designs, manufactures, imports or supplies plant or structures for a workplace, then it should establish and implement processes to ensure that it consistently meets its specific duties under the relevant WHS Act and Regulations. See Tools &amp;ndash; Model code of practice &amp;ndash; Safe design of structures, July 2012 (Safe Work Australia), Model code of practice &amp;ndash; Managing risks of plant in the workplace, September 2013 (Safe Work Australia) and Model code of practice &amp;ndash; How to manage work health and safety risks, December 2011 (Safe Work Australia).&lt;/p&gt;&lt;p&gt;The organisation should consult, cooperate and coordinate with other duty holders who share responsibility for the safety of the plant or structure, so far as is reasonably practicable. For example, a designer or manufacturer may develop a procedure for liaising with plant owners and operators about the features and proper uses of the plant or structure, including the results of testing and analysis, and for providing all relevant people with any updates to safety information in a timely way. See Tools &amp;ndash; How to determine what is reasonably practicable to meet a health and safety duty, May 2013 (Safe Work Australia guide) and Interpretive guideline&amp;mdash;model Work Health and Safety Act&amp;mdash;the meaning of &amp;lsquo;reasonably practicable&amp;rsquo;, September 2011 (Safe Work Australia).&lt;/p&gt;&lt;p&gt;Designers, manufacturers, importers and suppliers of plant or structures should keep thorough and up-to-date records to demonstrate compliance with their legal obligations. See Tools &amp;ndash; Plant designers, manufacturers, importers and suppliers (Safe Work Australia information sheet) and Checklist: Design, manufacture, import or supply of plant, substances or structures.&lt;/p&gt;&lt;p&gt;Further information see Tools &amp;ndash; Plant designers, manufacturers, importers and suppliers (Safe Work Australia information sheet) and Guide for importing and supplying safe plant, July 2014 (Safe Work Australia).&lt;/p&gt;</x:v>
      </x:c>
      <x:c r="K72" s="6" t="n">
        <x:f>=HYPERLINK("#K72","Guidance Notes")</x:f>
      </x:c>
      <x:c r="L72" s="6" t="str">
        <x:v>&lt;p&gt;Put in place processes to ensure that the plant or structure for use at a workplace is without health and safety risks, and develop procedures for obtaining and disseminating safety information about the plant or structure.&lt;/p&gt;</x:v>
      </x:c>
      <x:c r="M72" s="6" t="n">
        <x:f>=HYPERLINK("#M72","Remediation")</x:f>
      </x:c>
      <x:c r="N72" s="6" t="str">
        <x:v>&lt;p&gt;The maximum penalties for reckless conduct (that is, engaging without reasonable excuse in conduct that exposes someone to a risk of death or serious injury or illness) are:&lt;/p&gt;&lt;ul&gt;&lt;li&gt;$3 million for a body corporate&lt;/li&gt;&lt;li&gt;$600,000 and/or 5 years imprisonment for an individual person conducting a business or undertaking or an officer of a business or undertaking&lt;/li&gt;&lt;li&gt;$300,000 and/or 5 years imprisonment for other individuals (s 31).&lt;/li&gt;&lt;/ul&gt;&lt;p&gt;The lesser offence of failing to comply with a health and safety duty carries maximum penalties of:&lt;/p&gt;&lt;ul&gt;&lt;li&gt;$1.5 million for a body corporate&lt;/li&gt;&lt;li&gt;$300,000 for an individual person conducting a business or undertaking or an officer of a business or undertaking&lt;/li&gt;&lt;li&gt;$150,000 for other individuals (ss 32&amp;ndash;33).&lt;/li&gt;&lt;/ul&gt;</x:v>
      </x:c>
      <x:c r="O72" s="6" t="n">
        <x:f>=HYPERLINK("#O72","Consequence")</x:f>
      </x:c>
      <x:c r="P72" s="6" t="str">
        <x:v>&lt;p&gt;&lt;a href="https://www.legislation.gov.au/Details/C2011A00137" target="_blank" &gt;Work Health and Safety Act 2011 (Cth)&lt;/a&gt; ss 22&amp;ndash;25 (see also corresponding Acts in ACT, NSW, NT, QLD, SA and TAS)&lt;/p&gt;&lt;p&gt;&lt;a href="https://www.legislation.gov.au/Details/F2011L02664" target="_blank" &gt;Work Health and Safety Regulations 2011 (Cth)&lt;/a&gt; regs 59, 61, 64, 187&amp;ndash;200, 228&amp;ndash;233 (see also corresponding regulations in ACT, NSW, NT, QLD, SA and TAS)&lt;/p&gt;&lt;p&gt;Model Code of Practice &amp;ndash; Managing Risks of Plant in the Workplace, September 2013 (Safe Work Australia)&lt;/p&gt;&lt;p&gt;Model Code of Practice &amp;ndash; How to Manage Work Health and Safety Risks, December 2011 (Safe Work Australia)&lt;/p&gt;&lt;p&gt;Model Code of Practice &amp;ndash; Safe Design of Structures, July 2012 (Safe Work Australia)&lt;/p&gt;</x:v>
      </x:c>
      <x:c r="Q72" s="6" t="n">
        <x:f>=HYPERLINK("#Q72","Source")</x:f>
      </x:c>
      <x:c r="R72"/>
      <x:c r="S72"/>
      <x:c r="T72"/>
    </x:row>
    <x:row r="73" spans="1:20" ht="15.75" x14ac:dyDescent="0.25">
      <x:c r="A73" t="n">
        <x:v>11268</x:v>
      </x:c>
      <x:c r="B73" t="str">
        <x:v>NSW,NT,QLD,SA,TAS,ACT,COMMONWEALTH</x:v>
      </x:c>
      <x:c r="C73" t="inlineStr">
        <x:is>
          <x:t xml:space="preserve">  Subobligation</x:t>
        </x:is>
      </x:c>
      <x:c r="D73" t="inlineStr">
        <x:is>
          <x:t xml:space="preserve">  Installing, Constructing or Commissioning Plant or Structures</x:t>
        </x:is>
      </x:c>
      <x:c r="E73" s="31" t="n">
        <x:v>12.02</x:v>
      </x:c>
      <x:c r="F73" s="8" t="n">
        <x:f>=HYPERLINK("#Obligation()","Plant and Structures")</x:f>
      </x:c>
      <x:c r="G73" s="8" t="n">
        <x:f>=HYPERLINK("#SubObligation()","Installing, Constructing or Commissioning Plant or Structures")</x:f>
      </x:c>
      <x:c r="H73" s="6" t="n">
        <x:f>=HYPERLINK("#H73","Tools")</x:f>
      </x:c>
      <x:c r="I73" s="27" t="str">
        <x:v>&lt;b&gt;&lt;p&gt;Installing, Constructing or Commissioning Plant or Structures&lt;/p&gt;Does the organisation ensure, so far as is reasonably practicable, that it installs, constructs or commissions plant or structures in such a way that the plant or structures do not pose health and safety risks at a workplace?&lt;/b&gt;</x:v>
      </x:c>
      <x:c r="J73" s="6" t="str">
        <x:v>&lt;p&gt;In addition to imposing a primary duty of care on businesses or undertakings, the harmonised Work Health and Safety (WHS) Acts place specific duties on organisations that install, construct or commission plant or structures for use at a workplace.&lt;/p&gt;&lt;p&gt;An organisation must ensure, so far as is reasonably practicable, that the way it installs, constructs or commissions plant or structures for use at a workplace ensures that the plant or structure is without risks to the health and safety of anyone who:&lt;/p&gt;&lt;ul&gt;&lt;li&gt;installs or constructs the&amp;nbsp;&amp;nbsp;plant or structure at a workplace&lt;/li&gt;&lt;li&gt;uses the plant or structure at&amp;nbsp;&amp;nbsp;a workplace for its intended purpose&lt;/li&gt;&lt;li&gt;decommissions or dismantles&amp;nbsp;&amp;nbsp;the plant&lt;/li&gt;&lt;li&gt;demolishes or disposes of the&amp;nbsp;&amp;nbsp;structure&lt;/li&gt;&lt;li&gt;is in the vicinity of a&amp;nbsp;&amp;nbsp;workplace and may be affected by any of the activities listed above.&lt;/li&gt;&lt;/ul&gt;&lt;p&gt;The harmonised WHS Regulations require an organisation that installs, constructs or commissions plant or structures to take into account information provided by the designer, manufacturer, importer or supplier of the plant or structure, and any health and safety instructions provided by a competent person.&lt;/p&gt;&lt;p&gt;In addition, the WHS Regulations impose specific duties on organisations that install or construct plant or structures that contain confined spaces.&lt;/p&gt;&lt;p&gt;An organisation must not commission an item of plant or structure for use at a workplace if the plant or structure requires registration and has not been registered. However, the organisation can still perform any necessary adjustments, tests or inspections as part of the commissioning process before the plant or structure is commissioned at the workplace.&lt;/p&gt;&lt;p&gt;If an organisation installs, constructs or commissions plant or structures at a workplace, then it should implement processes to ensure that it consistently meets its specific duties under the relevant WHS Act and Regulations. See Tool &amp;ndash; Checklist: Installation, construction or commissioning of plant or structures.&lt;/p&gt;&lt;p&gt;The organisation should consult, cooperate and coordinate with other duty holders who share responsibility for the safety of the plant or structure, so far as is reasonably practicable. For example, the organisation may develop a procedure for liaising with customers and others about the features and proper uses of the plant or structure, and safe methods for decommissioning, dismantling, demolishing or disposing of the plant or structure. See Tools &amp;mdash; How to determine what is reasonably practicable to meet a health and safety duty, May 2013 (Safe Work Australia guide) and Interpretive guideline&amp;mdash;model Work Health and Safety Act&amp;mdash;the meaning of &amp;lsquo;reasonably practicable&amp;rsquo;, September 2011 (Safe Work Australia).&lt;/p&gt;&lt;p&gt;The organisation should have a procedure for checking whether any required registration for an item of plant has been completed before installing, constructing or commissioning the plant.&lt;/p&gt;&lt;p&gt;Organisations that install, construct or commission plant or structures should keep thorough and up-to-date records to demonstrate compliance with their legal obligations.&lt;/p&gt;</x:v>
      </x:c>
      <x:c r="K73" s="6" t="n">
        <x:f>=HYPERLINK("#K73","Guidance Notes")</x:f>
      </x:c>
      <x:c r="L73" s="6" t="str">
        <x:v>&lt;p&gt;Put in place processes to ensure that plant or structures are installed, constructed or commissioned without risks to health and safety, and that the plant or structures can be safely used, decommissioned, dismantled, demolished or disposed of.&lt;/p&gt;</x:v>
      </x:c>
      <x:c r="M73" s="6" t="n">
        <x:f>=HYPERLINK("#M73","Remediation")</x:f>
      </x:c>
      <x:c r="N73" s="6" t="str">
        <x:v>&lt;p&gt;The maximum penalties for reckless conduct (that is, engaging without reasonable excuse in conduct that exposes someone to a risk of death or serious injury or illness) are:&lt;/p&gt;&lt;ul&gt;&lt;li&gt;$3 million for a body corporate&lt;/li&gt;&lt;li&gt;$600,000 and/or 5 years&amp;rsquo; imprisonment for an individual person conducting a business or undertaking or an officer of a business or undertaking&lt;/li&gt;&lt;li&gt;$300,000 and/or 5 years&amp;rsquo; imprisonment for other individuals (s 31).&lt;/li&gt;&lt;/ul&gt;&lt;p&gt;The lesser offence of failing to comply with a health and safety duty carries maximum penalties of:&lt;/p&gt;&lt;ul&gt;&lt;li&gt;$1.5 million for a body corporate&lt;/li&gt;&lt;li&gt;$300,000 for an individual person conducting a business or undertaking or an officer of a business or undertaking&lt;/li&gt;&lt;li&gt;$150,000 for other individuals (ss 32&amp;ndash;33).&lt;/li&gt;&lt;/ul&gt;&lt;p&gt;Penalties apply for failing to take into account information provided by the designer, manufacturer, importer or supplier of plant or a structure when installing, constructing or commissioning the plant or structure, or failing to take into account health and safety instructions provided by a competent person. The maximum penalties are $30,000 for an organisation and $6,000 for an individual (regs&amp;nbsp;201&amp;ndash;202). The same maximum penalties apply if an organisation commissions an unregistered item of plant or structure for use at a workplace when the plant or structure requires registration (reg 234)., and $25,000 (for a first offence) and $31,250 (for a subsequent offence) for an individual (regs 4.27, 4.36)&amp;nbsp;.&lt;/p&gt;</x:v>
      </x:c>
      <x:c r="O73" s="6" t="n">
        <x:f>=HYPERLINK("#O73","Consequence")</x:f>
      </x:c>
      <x:c r="P73" s="6" t="str">
        <x:v>&lt;p&gt;&lt;a href="https://www.legislation.gov.au/Details/C2011A00137" target="_blank" &gt;Work Health and Safety Act 2011 (Cth)&lt;/a&gt; s 26 (see also corresponding Acts in ACT, NSW, NT, QLD, SA and TAS)&lt;/p&gt;&lt;p&gt;&lt;a href="https://www.legislation.gov.au/Details/F2011L02664" target="_blank" &gt;Work Health and Safety Regulations 2011 (Cth)&lt;/a&gt; regs 64, 201&amp;ndash;202, 234 (see also corresponding regulations in ACT, NSW, NT, QLD, SA and TAS)&lt;/p&gt;&lt;p&gt;Model Code of Practice &amp;ndash; Managing Risks of Plant in the Workplace, September 2013 (Safe Work Australia)&lt;/p&gt;&lt;p&gt;Model Code of Practice &amp;ndash; How to Manage Work Health and Safety Risks, December 2011 (Safe Work Australia)&lt;/p&gt;</x:v>
      </x:c>
      <x:c r="Q73" s="6" t="n">
        <x:f>=HYPERLINK("#Q73","Source")</x:f>
      </x:c>
      <x:c r="R73"/>
      <x:c r="S73"/>
      <x:c r="T73"/>
    </x:row>
    <x:row r="74" spans="1:20" ht="15.75" x14ac:dyDescent="0.25">
      <x:c r="A74" t="n">
        <x:v>11283</x:v>
      </x:c>
      <x:c r="B74" t="str">
        <x:v>NSW,NT,QLD,SA,TAS,ACT,COMMONWEALTH</x:v>
      </x:c>
      <x:c r="C74" t="inlineStr">
        <x:is>
          <x:t xml:space="preserve">  Subobligation</x:t>
        </x:is>
      </x:c>
      <x:c r="D74" t="inlineStr">
        <x:is>
          <x:t xml:space="preserve">  Specific Duties of Plant Designers</x:t>
        </x:is>
      </x:c>
      <x:c r="E74" s="31" t="n">
        <x:v>12.03</x:v>
      </x:c>
      <x:c r="F74" s="8" t="n">
        <x:f>=HYPERLINK("#Obligation()","Plant and Structures")</x:f>
      </x:c>
      <x:c r="G74" s="8" t="n">
        <x:f>=HYPERLINK("#SubObligation()","Specific Duties of Plant Designers")</x:f>
      </x:c>
      <x:c r="H74" s="6" t="n">
        <x:f>=HYPERLINK("#H74","Tools")</x:f>
      </x:c>
      <x:c r="I74" s="27" t="str">
        <x:v>&lt;b&gt;&lt;p&gt;Specific Duties of Plant Designers&lt;/p&gt;Does the plant designer eliminate or minimise risks, so far as is reasonably practicable, to ensure that plant is safe to use at the workplace?&lt;/b&gt;</x:v>
      </x:c>
      <x:c r="J74" s="6" t="str">
        <x:v>&lt;p&gt;In addition to the duties that the harmonised Work Health and Safety (WHS) Acts place on plant designers, manufacturers, importers and suppliers, the harmonised WHS Regulations place some specific duties on plant designers.&lt;/p&gt;&lt;p&gt;When providing a plant design to a manufacturer, a plant designer must include information that enables the plant to be manufactured in accordance with the design specifications and, if applicable, provide information about:&lt;/p&gt;&lt;ul&gt;&lt;li&gt;the installation, commissioning, decommissioning, use, handling, storage and dismantling of the&amp;nbsp;&amp;nbsp;plant&lt;/li&gt;&lt;li&gt;hazards and risks associated with the use of the plant that the designer has identified&lt;/li&gt;&lt;li&gt;tests or inspections to be carried out on the plant&lt;/li&gt;&lt;li&gt;the systems of work and competency of operators that are necessary for the safe use of the plant&lt;/li&gt;&lt;li&gt;the emergency procedures (if&amp;nbsp;&amp;nbsp;any) in the event that the plant malfunctions.&lt;/li&gt;&lt;/ul&gt;&lt;p&gt;If a manufacturer advises the designer that there is a hazard in the design of the plant for which the designer has not provided a control measure, the designer must revise the information originally supplied to the manufacturer to ensure that the risk is eliminated or minimised, so far as is reasonably practicable. Alternatively, the designer must notify the manufacturer, in writing, that the designer is of the opinion that it is not necessary to revise the original information to ensure compliance with the relevant health and safety regulations.&lt;/p&gt;&lt;p&gt;The WHS Regulations also place specific duties on plant designers in relation to:&lt;/p&gt;&lt;ul&gt;&lt;li&gt;the use of guarding as a risk control measure&lt;/li&gt;&lt;li&gt;the design, location and features of operator controls&lt;/li&gt;&lt;li&gt;emergency stop controls&lt;/li&gt;&lt;li&gt;ensuring that the plant is designed to be manufactured so that its noise emission is as low as is&amp;nbsp;&amp;nbsp;reasonably practicable&lt;/li&gt;&lt;li&gt;ensuring that the plant is designed so as to eliminate the need for any hazardous manual task to be&amp;nbsp;&amp;nbsp;carried out in connection with the plant&lt;/li&gt;&lt;li&gt;emergency warning devices.&lt;/li&gt;&lt;/ul&gt;&lt;p&gt;If a plant design is required to be registered under the WHS Regulations, the designer must:&lt;/p&gt;&lt;ul&gt;&lt;li&gt;make a record of the method used to determine the control measures for the plant, and the actual control&amp;nbsp;&amp;nbsp;measures designed&lt;/li&gt;&lt;li&gt;keep a copy of information provided to the manufacturer about the plant&lt;/li&gt;&lt;li&gt;record any published technical standard or engineering principles used to design the plant&lt;/li&gt;&lt;li&gt;make these records about&amp;nbsp;&amp;nbsp;control measures, the information provided to the manufacturer, and the technical&amp;nbsp;&amp;nbsp;standard and engineering principles available for inspection by a design&amp;nbsp;&amp;nbsp;verifier (that is, a person who is competent to verify whether a design was produced in accordance with the specified technical standard or engineering&amp;nbsp;&amp;nbsp;principles)&lt;/li&gt;&lt;li&gt;keep all the above records for the design life of the plant.&lt;/li&gt;&lt;/ul&gt;&lt;p&gt;The designer should give careful thought to the foreseeable workplace activities that might be undertaken in relation to the plant, and design appropriate risk control measures for identified hazards.&lt;/p&gt;&lt;p&gt;The designer should have a process for consulting, cooperating and coordinating with other duty holders who share responsibility for ensuring that the plant is without health and safety risks, so far as is reasonably practicable. If registration of a plant design is required, the designer may need to coordinate with the plant owner or operator to determine who will register the design.&lt;/p&gt;&lt;p&gt;The designer should seek to anticipate, as much as possible, the type of information that the manufacturer will need to manufacture the plant in accordance with the design specifications. The designer should seek to maintain open lines of communication with the manufacturer, and raise or respond to any health and safety issues in a timely way.&lt;/p&gt;&lt;p&gt;The designer should keep thorough and up-to-date records of plant designs and interactions with manufacturers and others to demonstrate compliance with work health and safety laws.&lt;/p&gt;&lt;p&gt;The Model code of practice &amp;ndash; Managing risks of plant in the workplace, September 2013 (Safe Work Australia) provides guidance on who is competent to verify plant design (page 33), while Appendix C of the code gives examples of published technical standards for plant design.&lt;/p&gt;&lt;p&gt;Further information on the responsibilities of plant designers, see Tools &amp;ndash; Model code of practice &amp;ndash; Safe design of structures, July 2012 (Safe Work Australia) and Guide for safe design of plant, July 2014 (Safe Work Australia).&lt;/p&gt;</x:v>
      </x:c>
      <x:c r="K74" s="6" t="n">
        <x:f>=HYPERLINK("#K74","Guidance Notes")</x:f>
      </x:c>
      <x:c r="L74" s="6" t="str">
        <x:v>&lt;p&gt;Put in place procedures to ensure that the correct information is provided to a plant manufacturer or design verifier, that plant designs comply with legislated specifications, and that appropriate records are kept for the design life of the plant.&lt;/p&gt;</x:v>
      </x:c>
      <x:c r="M74" s="6" t="n">
        <x:f>=HYPERLINK("#M74","Remediation")</x:f>
      </x:c>
      <x:c r="N74" s="6" t="str">
        <x:v>&lt;p&gt;Penalties apply for failing to comply with obligations in relation to guarding, operator controls, emergency stop controls and emergency warning devices. The maximum penalties are $30,000 for an organisation and $6,000 for an individual (regs 189&amp;ndash;192).&lt;/p&gt;&lt;p&gt;Penalties also apply for failing to provide the required design information to the manufacturer of plant. The maximum penalties are $18,000 for an organisation and $3,600 for an individual (regs&amp;nbsp;187&amp;ndash;188).&lt;/p&gt;&lt;p&gt;The maximum penalties for failing to record required information about plant design, failing to make records available for inspection, or failing to keep the required records for the design life of the plant amount to $6,000 for an organisation and $1,250 for an individual (regs 228&amp;ndash;230).&lt;/p&gt;</x:v>
      </x:c>
      <x:c r="O74" s="6" t="n">
        <x:f>=HYPERLINK("#O74","Consequence")</x:f>
      </x:c>
      <x:c r="P74" s="6" t="str">
        <x:v>&lt;p&gt;&lt;a href="https://www.legislation.gov.au/Details/C2011A00137" target="_blank" &gt;Work Health and Safety Act 2011 (Cth)&lt;/a&gt; s 22 (see also corresponding Acts in ACT, NSW, NT, QLD, SA and TAS)&lt;/p&gt;&lt;p&gt;&lt;a href="https://www.legislation.gov.au/Details/F2011L02664" target="_blank" &gt;Work Health and Safety Regulations 2011 (Cth)&lt;/a&gt; regs 187&amp;ndash;192, 228&amp;ndash;230 (see also corresponding regulations in ACT, NSW, NT, QLD, SA and TAS)&lt;/p&gt;&lt;p&gt;Model Code of Practice &amp;ndash; Managing Risks of Plant in the Workplace, September 2013 (Safe Work Australia)&lt;/p&gt;&lt;p&gt;Model Code of Practice &amp;ndash; Safe Design of Structures, July 2012 (Safe Work Australia)&lt;/p&gt;</x:v>
      </x:c>
      <x:c r="Q74" s="6" t="n">
        <x:f>=HYPERLINK("#Q74","Source")</x:f>
      </x:c>
      <x:c r="R74"/>
      <x:c r="S74"/>
      <x:c r="T74"/>
    </x:row>
    <x:row r="75" spans="1:20" ht="15.75" x14ac:dyDescent="0.25">
      <x:c r="A75" t="n">
        <x:v>11297</x:v>
      </x:c>
      <x:c r="B75" t="str">
        <x:v>NSW,NT,QLD,SA,TAS,ACT,COMMONWEALTH</x:v>
      </x:c>
      <x:c r="C75" t="inlineStr">
        <x:is>
          <x:t xml:space="preserve">  Subobligation</x:t>
        </x:is>
      </x:c>
      <x:c r="D75" t="inlineStr">
        <x:is>
          <x:t xml:space="preserve">  Specific Duties of Plant Manufacturers</x:t>
        </x:is>
      </x:c>
      <x:c r="E75" s="31" t="n">
        <x:v>12.04</x:v>
      </x:c>
      <x:c r="F75" s="8" t="n">
        <x:f>=HYPERLINK("#Obligation()","Plant and Structures")</x:f>
      </x:c>
      <x:c r="G75" s="8" t="n">
        <x:f>=HYPERLINK("#SubObligation()","Specific Duties of Plant Manufacturers")</x:f>
      </x:c>
      <x:c r="H75" s="6" t="n">
        <x:f>=HYPERLINK("#H75","Tools")</x:f>
      </x:c>
      <x:c r="I75" s="27" t="str">
        <x:v>&lt;b&gt;&lt;p&gt;Specific Duties of Plant Manufacturers&lt;/p&gt;Does the plant manufacturer meet its duties to ensure, so far as is reasonably practicable, that plant is safe to use at the workplace?&lt;/b&gt;</x:v>
      </x:c>
      <x:c r="J75" s="6" t="str">
        <x:v>&lt;p&gt;In addition to the duties that the harmonised Work Health and Safety (WHS) Acts place on plant designers, manufacturers, importers and suppliers, the harmonised WHS Regulations place some specific duties on plant manufacturers.&lt;/p&gt;&lt;p&gt;A plant manufacturer must ensure that it manufactures the plant to the designer&amp;rsquo;s specifications, and carries out any tests specified by the designer. If, during the manufacturing process, the manufacturer identifies any hazard for which the designer has not provided a control measure, the manufacturer must ensure that:&lt;/p&gt;&lt;ul&gt;&lt;li&gt;the hazard is not incorporated into the manufacture of the plant&lt;/li&gt;&lt;li&gt;the designer receives written notice about the hazard as soon as practicable&lt;/li&gt;&lt;li&gt;all reasonable steps are taken to consult with the designer to provide an altered design that rectifies the&amp;nbsp;&amp;nbsp;hazard.&lt;/li&gt;&lt;/ul&gt;&lt;p&gt;If it is not possible to notify the designer about the hazard, the manufacturer must ensure that the risk is eliminated or minimised, so far as is reasonably practicable, before manufacturing the plant.&lt;/p&gt;&lt;p&gt;The WHS Regulations also place specific obligations on plant manufacturers in relation to guarding (including the requirement that guarding be of solid construction and securely mounted so as to resist impact or shock), reducing noise emissions from the plant, so far as is reasonably practicable, and manufacturing plant so as to eliminate the need for any hazardous manual task to be carried out in connection with the plant.&lt;/p&gt;&lt;p&gt;A plant manufacturer must take all reasonable steps to obtain the information that the plant designer is required to provide to the manufacturer. In turn, the manufacturer must ensure that the organisation to which the manufacturer supplies the plant is provided with design information about the plant.&lt;/p&gt;&lt;p&gt;A manufacturer must not supply plant if the plant requires design registration and the design has not been registered.&lt;/p&gt;&lt;p&gt;Throughout the manufacturing process, the manufacturer should have a process for identifying any potential hazards that may arise from foreseeable workplace activities associated with the plant. The manufacturer&amp;rsquo;s risk management process may include conducting tests and consulting with organisations that will work with the plant, including operating, commissioning or installing the plant.&lt;/p&gt;&lt;p&gt;The manufacturer should have a process for consulting, cooperating and coordinating with other duty holders who share responsibility for ensuring that the plant is without health and safety risks, so far as is reasonably practicable. The manufacturer should seek to maintain open lines of communication with the plant designer, suppliers and plant owners and operators, and raise or respond to any health and safety issues in a timely way.&lt;/p&gt;&lt;p&gt;The manufacturer should have a process for checking whether registration of a plant design is required, and whether a work health and safety regulator has registered the design.&lt;/p&gt;&lt;p&gt;The manufacturer should keep thorough and up-to-date records of plant designs, manufacturing processes and interactions with designers, suppliers, plant owners or operators, and others to demonstrate compliance with work health and safety laws.&lt;/p&gt;&lt;p&gt;Further information on the responsibilities of plant manufacturers see Tools &amp;ndash; Guide for manufacturing safe plant, July 2014 (Safe Work Australia) and Plant designers, manufacturers, importers and suppliers (Safe Work Australia information sheet).&lt;/p&gt;</x:v>
      </x:c>
      <x:c r="K75" s="6" t="n">
        <x:f>=HYPERLINK("#K75","Guidance Notes")</x:f>
      </x:c>
      <x:c r="L75" s="6" t="str">
        <x:v>&lt;p&gt;Put in place procedures to ensure that plant is manufactured according to design specifications, that any necessary tests are carried out, that hazards are eliminated or minimised, and that design information is passed to customers where applicable.&lt;/p&gt;</x:v>
      </x:c>
      <x:c r="M75" s="6" t="n">
        <x:f>=HYPERLINK("#M75","Remediation")</x:f>
      </x:c>
      <x:c r="N75" s="6" t="str">
        <x:v>&lt;p&gt;Penalties apply for failing to adequately control risks during the manufacturing of plant for the workplace. The maximum penalties are $30,000 for an organisation and $6,000 for an individual (reg&amp;nbsp;193). The same maximum penalties also apply for failing to comply with the requirements for guarding (reg 194), and failing to obtain and provide required information about plant design (reg&amp;nbsp;195).&lt;/p&gt;&lt;p&gt;If a manufacturer supplies plant whose design has not been registered, when the design is required to be registered, the manufacturer faces maximum penalties of $30,000 for an organisation and $6,000 for an individual (reg 231).&lt;/p&gt;</x:v>
      </x:c>
      <x:c r="O75" s="6" t="n">
        <x:f>=HYPERLINK("#O75","Consequence")</x:f>
      </x:c>
      <x:c r="P75" s="6" t="str">
        <x:v>&lt;p&gt;&lt;a href="https://www.legislation.gov.au/Details/C2011A00137" target="_blank" &gt;Work Health and Safety Act 2011 (Cth)&lt;/a&gt; s 23 (see also corresponding Acts in ACT, NSW, NT, QLD, SA and TAS)&lt;/p&gt;&lt;p&gt;&lt;a href="https://www.legislation.gov.au/Details/F2011L02664" target="_blank" &gt;Work Health and Safety Regulations 2011 (Cth)&lt;/a&gt; regs 193&amp;ndash;195, 231 (see also corresponding regulations in ACT, NSW, NT, QLD, SA and TAS)&lt;/p&gt;&lt;p&gt;Model Code of Practice &amp;ndash; Managing Risks of Plant in the Workplace, September 2013 (Safe Work Australia)&lt;/p&gt;</x:v>
      </x:c>
      <x:c r="Q75" s="6" t="n">
        <x:f>=HYPERLINK("#Q75","Source")</x:f>
      </x:c>
      <x:c r="R75"/>
      <x:c r="S75"/>
      <x:c r="T75"/>
    </x:row>
    <x:row r="76" spans="1:20" ht="15.75" x14ac:dyDescent="0.25">
      <x:c r="A76" t="n">
        <x:v>11308</x:v>
      </x:c>
      <x:c r="B76" t="str">
        <x:v>NSW,NT,SA,TAS,ACT,COMMONWEALTH</x:v>
      </x:c>
      <x:c r="C76" t="inlineStr">
        <x:is>
          <x:t xml:space="preserve">  Subobligation</x:t>
        </x:is>
      </x:c>
      <x:c r="D76" t="inlineStr">
        <x:is>
          <x:t xml:space="preserve">  Specific Duties of Plant Importers</x:t>
        </x:is>
      </x:c>
      <x:c r="E76" s="31" t="n">
        <x:v>12.05</x:v>
      </x:c>
      <x:c r="F76" s="8" t="n">
        <x:f>=HYPERLINK("#Obligation()","Plant and Structures")</x:f>
      </x:c>
      <x:c r="G76" s="8" t="n">
        <x:f>=HYPERLINK("#SubObligation()","Specific Duties of Plant Importers")</x:f>
      </x:c>
      <x:c r="H76" s="6" t="n">
        <x:f>=HYPERLINK("#H76","Tools")</x:f>
      </x:c>
      <x:c r="I76" s="27" t="str">
        <x:v>&lt;b&gt;&lt;p&gt;Specific Duties of Plant Importers&lt;/p&gt;Does the plant importer meet its duties to ensure, so far as is reasonably practicable, that imported plant is safe to use at the workplace?&lt;/b&gt;</x:v>
      </x:c>
      <x:c r="J76" s="6" t="str">
        <x:v>&lt;p&gt;In addition to the duties that the harmonised Work Health and Safety (WHS) Acts place on plant designers, manufacturers, importers and suppliers, the harmonised WHS Regulations place some specific duties on plant importers.&lt;/p&gt;&lt;p&gt;The plant importer must take all reasonable steps to obtain required information about the design and purpose of the plant, and any conditions necessary to ensure that the plant is without risks to health and safety when used for a purpose for which it was designed or manufactured. The importer must give that information to any person to whom the importer supplies plant.&lt;/p&gt;&lt;p&gt;A plant importer must ensure that the plant is inspected and, if required, tested in accordance with information provided by the manufacturer. If any hazards are identified, the importer must ensure that the plant is not supplied until the risks have been eliminated, so far as is reasonably practicable. If it is not possible to eliminate the risks, the importer should advise customers of the risks. The importer should also take all reasonable steps to consult the plant designer or manufacturer about any alterations made to the plant to control the risk.&lt;/p&gt;&lt;p&gt;An importer must not supply plant if the plant requires design registration and the design has not been registered.&lt;/p&gt;&lt;p&gt;The importer should have a process for consulting, cooperating and coordinating with other duty holders who share responsibility for ensuring that the plant is without health and safety risks, so far as is reasonably practicable. The importer should seek to maintain open lines of communication with the plant manufacturer, the plant designer, and plant owners and operators, and raise or respond to any health and safety issues in a timely way.&lt;/p&gt;&lt;p&gt;The importer should have a procedure for obtaining all required safety information about imported plant from the overseas manufacturer and the plant designer, whether the designer is located in Australia or overseas, and providing that information to customers.&lt;/p&gt;&lt;p&gt;The importer should have a procedure for inspecting and testing the plant and making alterations to eliminate any identified hazards, if practicable.&lt;/p&gt;&lt;p&gt;The importer should have a process for checking whether registration of a plant design is required, and whether a work health and safety regulator in Australia has registered the design.&lt;/p&gt;&lt;p&gt;The importer should keep thorough and up-to-date records of plant inspections and tests, and interactions with manufacturers, designers, and plant owners and operators, to demonstrate compliance with work health and safety laws.&lt;/p&gt;&lt;p&gt;Further information on the responsibilities of plant importers see Tools &amp;ndash; Guide for importing and supplying safe plant, July 2014 (Safe Work Australia) and Plant designers, manufacturers, importers and suppliers (Safe Work Australia information sheet).&lt;/p&gt;</x:v>
      </x:c>
      <x:c r="K76" s="6" t="n">
        <x:f>=HYPERLINK("#K76","Guidance Notes")</x:f>
      </x:c>
      <x:c r="L76" s="6" t="str">
        <x:v>&lt;p&gt;Put in place procedures to ensure that the required information about imported plant is obtained and passed on to customers, that plant is inspected and, where necessary, tested, and that identified hazards have been eliminated where practicable.&lt;/p&gt;</x:v>
      </x:c>
      <x:c r="M76" s="6" t="n">
        <x:f>=HYPERLINK("#M76","Remediation")</x:f>
      </x:c>
      <x:c r="N76" s="6" t="str">
        <x:v>&lt;p&gt;Penalties apply if a plant importer fails to take the required steps to control the risk associated with imported plant. The maximum penalties are $30,000 for an organisation and $6,000 for an individual (reg 197). The same maximum penalties apply if a plant importer supplies plant whose design has not been registered, when the design is required to be registered (reg 232).&lt;/p&gt;&lt;p&gt;Penalties also apply if a plant importer fails to obtain required information about plant or fails to provide that information to any person to whom the importer supplies the plant. The maximum penalties are $18,000 for an organisation and $3,600 for an individual (reg 196).&lt;/p&gt;</x:v>
      </x:c>
      <x:c r="O76" s="6" t="n">
        <x:f>=HYPERLINK("#O76","Consequence")</x:f>
      </x:c>
      <x:c r="P76" s="6" t="str">
        <x:v>&lt;p&gt;&lt;a href="https://www.legislation.gov.au/Details/C2011A00137" target="_blank" &gt;Work Health and Safety Act 2011 (Cth)&lt;/a&gt; s 24 (see also corresponding Acts in ACT, NSW, NT, QLD, SA and TAS)&lt;/p&gt;&lt;p&gt;&lt;a href="https://www.legislation.gov.au/Details/F2011L02664" target="_blank" &gt;Work Health and Safety Regulations 2011 (Cth)&lt;/a&gt; regs 196&amp;ndash;197, 232 see also corresponding regulations in ACT, NSW, NT, QLD, SA and TAS)&lt;/p&gt;&lt;p&gt;Model Code of Practice &amp;ndash; Managing Risks of Plant in the Workplace, September 2013 (Safe Work Australia)&lt;/p&gt;</x:v>
      </x:c>
      <x:c r="Q76" s="6" t="n">
        <x:f>=HYPERLINK("#Q76","Source")</x:f>
      </x:c>
      <x:c r="R76"/>
      <x:c r="S76"/>
      <x:c r="T76"/>
    </x:row>
    <x:row r="77" spans="1:20" ht="15.75" x14ac:dyDescent="0.25">
      <x:c r="A77" t="n">
        <x:v>11317</x:v>
      </x:c>
      <x:c r="B77" t="str">
        <x:v>NSW,NT,QLD,SA,TAS,ACT,COMMONWEALTH</x:v>
      </x:c>
      <x:c r="C77" t="inlineStr">
        <x:is>
          <x:t xml:space="preserve">  Subobligation</x:t>
        </x:is>
      </x:c>
      <x:c r="D77" t="inlineStr">
        <x:is>
          <x:t xml:space="preserve">  Specific Duties of Plant Suppliers</x:t>
        </x:is>
      </x:c>
      <x:c r="E77" s="31" t="n">
        <x:v>12.06</x:v>
      </x:c>
      <x:c r="F77" s="8" t="n">
        <x:f>=HYPERLINK("#Obligation()","Plant and Structures")</x:f>
      </x:c>
      <x:c r="G77" s="8" t="n">
        <x:f>=HYPERLINK("#SubObligation()","Specific Duties of Plant Suppliers")</x:f>
      </x:c>
      <x:c r="H77" s="6" t="n">
        <x:f>=HYPERLINK("#H77","Tools")</x:f>
      </x:c>
      <x:c r="I77" s="27" t="str">
        <x:v>&lt;b&gt;&lt;p&gt;Specific Duties of Plant Suppliers&lt;/p&gt;Does the plant supplier meet its duties to ensure, so far as is reasonably practicable, that new and second-hand plant is safe to use at the workplace, and that second-hand plant to be used for scrap or spare parts is not operated as plant?&lt;/b&gt;</x:v>
      </x:c>
      <x:c r="J77" s="6" t="str">
        <x:v>&lt;p&gt;In addition to the duties that the harmonised Work Health and Safety (WHS) Acts place on plant designers, manufacturers, importers and suppliers, the harmonised WHS Regulations place some specific duties on plant suppliers.&lt;/p&gt;&lt;p&gt;The plant supplier must take all reasonable steps to obtain required information about the design and purpose of the plant, and any conditions necessary to ensure that the plant is without risks to health and safety when used for a purpose for which it was designed or manufactured. The supplier must give that information to any person who receives the plant from the supplier.&lt;/p&gt;&lt;p&gt;A supplier of second-hand plant must ensure, so far as is reasonably practicable, that any faults in the plant are identified. Before supplying second-hand plant, the supplier must give the person who is to receive the plant written notice about the condition of the plant, including any faults identified. If applicable, the notice should state that the plant should not be used until the faults are rectified.&lt;/p&gt;&lt;p&gt;Before supplying second-hand plant that is to be used for scrap or spare parts, a supplier must inform the person who is to receive the plant that it is being supplied for scrap or spare parts only, and is not to be used as plant in its current form. The supplier can provide this information either in writing or by marking the plant.&lt;/p&gt;&lt;p&gt;A supplier must not supply plant if the plant requires design registration and the design has not been registered.&lt;/p&gt;&lt;p&gt;The supplier should have a process for consulting, cooperating and coordinating with other duty holders who share responsibility for ensuring that the plant is without health and safety risks, so far as is reasonably practicable. The supplier should seek to maintain open lines of communication with customers, the plant manufacturer and, if applicable, the plant designer, and raise or respond to any health and safety issues in a timely way.&lt;/p&gt;&lt;p&gt;The supplier should have a procedure for obtaining all required safety information about the plant from the manufacturer and, if necessary, the designer, and providing that information to customers.&lt;/p&gt;&lt;p&gt;The supplier should have a procedure for inspecting and testing all second-hand plant to identify faults. The supplier may decide to develop a template for written notices to buyers about the condition of second-hand plant.&lt;/p&gt;&lt;p&gt;The supplier should have a process for checking whether registration of a plant design is required, and whether a work health and safety regulator has registered the design.&lt;/p&gt;&lt;p&gt;The supplier should keep thorough and up-to-date records of plant inspections and tests, and interactions with manufacturers, designers, and plant owners and operators, to demonstrate compliance with work health and safety laws.&lt;/p&gt;&lt;p&gt;Further information on the responsibilities of plant suppliers see Tools &amp;ndash; Guide for importing and supplying safe plant, July 2014 (Safe Work Australia) and Plant designers, manufacturers, importers and suppliers (Safe Work Australia information sheet).&lt;/p&gt;</x:v>
      </x:c>
      <x:c r="K77" s="6" t="n">
        <x:f>=HYPERLINK("#K77","Guidance Notes")</x:f>
      </x:c>
      <x:c r="L77" s="6" t="str">
        <x:v>&lt;p&gt;Put in place procedures to ensure that the requirements for supplying new and second-hand plant, and plant to be used for scrap or spare parts, are followed.&lt;/p&gt;</x:v>
      </x:c>
      <x:c r="M77" s="6" t="n">
        <x:f>=HYPERLINK("#M77","Remediation")</x:f>
      </x:c>
      <x:c r="N77" s="6" t="str">
        <x:v>&lt;p&gt;Penalties apply if a supplier of second-hand plant fails to ensure, so far as is reasonably practicable, that any faults in the plant are identified, or if the required information about the second-hand plant is not provided in advance to any person who receives the plant. For both offences, the maximum penalties are $30,000 for an organisation and $6,000 for an individual (reg 199). Failure to advise that second-hand plant is being supplied for scrap or spare parts, and is not to be used as plant in its current form, attracts maximum penalties of $18,000 for an organisation and $3,600 for an individual (reg 200).&lt;/p&gt;&lt;p&gt;Penalties also apply if a plant supplier fails to obtain the required information about plant or fails to provide that information to any person who receives the plant from the supplier. The maximum penalties are $18,000 for an organisation and $3,600 for an individual (reg 198).&lt;/p&gt;&lt;p&gt;If a supplier supplies plant whose design has not been registered, when the design is required to be registered, the supplier faces maximum penalties of $30,000 for an organisation and $6,000 for an individual (reg 233).&lt;/p&gt;</x:v>
      </x:c>
      <x:c r="O77" s="6" t="n">
        <x:f>=HYPERLINK("#O77","Consequence")</x:f>
      </x:c>
      <x:c r="P77" s="6" t="str">
        <x:v>&lt;p&gt;&lt;a href="https://www.legislation.gov.au/Details/C2011A00137" target="_blank" &gt;Work Health and Safety Act 2011 (Cth)&lt;/a&gt; s 25 (see also corresponding Acts in ACT, NSW, NT, QLD, SA and TAS)&lt;/p&gt;&lt;p&gt;&lt;a href="https://www.legislation.gov.au/Details/F2011L02664" target="_blank" &gt;Work Health and Safety Regulations 2011 (Cth)&lt;/a&gt; regs 198&amp;ndash;200, 233 (see also corresponding regulations in ACT, NSW, NT, QLD, SA and TAS)&lt;/p&gt;&lt;p&gt;Model Code of Practice &amp;ndash; Managing Risks of Plant in the Workplace, September 2013 (Safe Work Australia)&lt;/p&gt;</x:v>
      </x:c>
      <x:c r="Q77" s="6" t="n">
        <x:f>=HYPERLINK("#Q77","Source")</x:f>
      </x:c>
      <x:c r="R77"/>
      <x:c r="S77"/>
      <x:c r="T77"/>
    </x:row>
    <x:row r="78" spans="1:20" ht="15.75" x14ac:dyDescent="0.25">
      <x:c r="A78" t="n">
        <x:v>11340</x:v>
      </x:c>
      <x:c r="B78" t="str">
        <x:v>NSW,NT,QLD,SA,TAS,ACT,COMMONWEALTH</x:v>
      </x:c>
      <x:c r="C78" t="inlineStr">
        <x:is>
          <x:t xml:space="preserve">  Subobligation</x:t>
        </x:is>
      </x:c>
      <x:c r="D78" t="inlineStr">
        <x:is>
          <x:t xml:space="preserve">  Management of Plant at the Workplace</x:t>
        </x:is>
      </x:c>
      <x:c r="E78" s="31" t="n">
        <x:v>12.07</x:v>
      </x:c>
      <x:c r="F78" s="8" t="n">
        <x:f>=HYPERLINK("#Obligation()","Plant and Structures")</x:f>
      </x:c>
      <x:c r="G78" s="8" t="n">
        <x:f>=HYPERLINK("#SubObligation()","Management of Plant at the Workplace")</x:f>
      </x:c>
      <x:c r="H78" s="6" t="n">
        <x:f>=HYPERLINK("#H78","Tools")</x:f>
      </x:c>
      <x:c r="I78" s="27" t="str">
        <x:v>&lt;b&gt;&lt;p&gt;Management of Plant at the Workplace&lt;/p&gt;Does the organisation that manages or controls plant at a workplace comply with its general duties to ensure, so far as is reasonably practicable, that the plant is without health and safety risks?&lt;/b&gt;</x:v>
      </x:c>
      <x:c r="J78" s="6" t="str">
        <x:v>&lt;p&gt;The harmonised Work Health and Safety (WHS) Regulations set out the general duties of organisations that manage or control plant at the workplace. These general duties are in addition to the overarching requirement&amp;mdash;under the harmonised WHS Acts&amp;mdash;that an organisation with management or control of fixtures, fittings or plant at a workplace ensures, so far as is reasonably practicable, that those fixtures, fitting or plant are without health and safety risks.&lt;/p&gt;&lt;p&gt;An organisation that manages or controls plant at a workplace must not commission the plant unless the organisation has established, so far as is reasonably practicable, that the plant is without health and safety risks. Furthermore, decommissioning or dismantling of the plant must only be carried out if it can be done so safely, so far as is reasonably practicable.&lt;/p&gt;&lt;p&gt;An organisation that manages or controls plant must ensure that anyone who installs, assembles, constructs, commissions, decommissions or dismantles plant is competent to do so, and is provided with the available information for eliminating or minimising risks to health and safety. The organisation must also ensure that inspections are carried out to monitor risks during the installation, construction, commissioning, decommissioning or dismantling of plant.&lt;/p&gt;&lt;p&gt;An organisation that manages or controls plant must, so far as is reasonably practicable, prevent unauthorised alterations to or interference with the plant. The organisation must also take all reasonable steps to ensure that:&lt;/p&gt;&lt;ul&gt;&lt;li&gt;the plant is only used for its&amp;nbsp;&amp;nbsp;intended purpose, unless other uses do not increase health and safety risks&amp;nbsp;&amp;nbsp;(as assessed by a competent person)&lt;/li&gt;&lt;li&gt;workers use all health and&amp;nbsp;&amp;nbsp;safety features and warning devices in accordance with the training,&amp;nbsp;&amp;nbsp;instruction and information provided by the organisation.&lt;/li&gt;&lt;/ul&gt;&lt;p&gt;An organisation that manages or controls plant must ensure, so far as is reasonably practicable, that when the plant is not in use, it is left in a state that does not create health and safety risks.&lt;/p&gt;&lt;p&gt;An organisation that manages or controls plant must ensure that maintenance, inspection and, if necessary, testing is carried out by a competent person in accordance with the manufacturer&amp;rsquo;s recommendations or, in the absence of manufacturer&amp;rsquo;s recommendations, in accordance with the competent person&amp;rsquo;s recommendations.&lt;/p&gt;&lt;p&gt;The harmonised WHS Regulations place a number of other general duties on organisations that manage or control plant in relation to the following control measures:&lt;/p&gt;&lt;ul&gt;&lt;li&gt;guarding and insulation&lt;/li&gt;&lt;li&gt;operator controls&lt;/li&gt;&lt;li&gt;emergency stops&lt;/li&gt;&lt;li&gt;emergency warning devices.&lt;/li&gt;&lt;/ul&gt;&lt;p&gt;Further guidance on these control measures, and on isolating energy sources when maintaining, repairing, installing or cleaning plant, is available in the Model code of practice &amp;ndash; Managing risks of plant in the workplace, September 2013 (Safe Work Australia) (Section 4). See Tool &amp;ndash; Model code of practice &amp;ndash; Managing risks of plant in the workplace, September 2013 (Safe Work Australia)&lt;/p&gt;&lt;p&gt;The WHS Regulations require an organisation to manage health and safety risks associated with plant in accordance with the risk management process outlined in Part 3.1 of the regulations. This means that the organisation should:&lt;/p&gt;&lt;ol&gt;&lt;li&gt;identify hazards that may&amp;nbsp;&amp;nbsp;arise from the plant, including how and where the plant is used, for example by&amp;nbsp;&amp;nbsp;inspecting the plant and reviewing safety information and incident records and&amp;nbsp;&amp;nbsp;data (Appendix B of the Model code of practice &amp;ndash; Managing risks of plant in&amp;nbsp;&amp;nbsp;the workplace, September 2013 (Safe Work Australia) contains a checklist to&amp;nbsp;&amp;nbsp;assist in identifying hazards)&lt;/li&gt;&lt;li&gt;assess the risks associated&amp;nbsp;&amp;nbsp;with the identified hazards, including the potential impact of the hazard and&amp;nbsp;&amp;nbsp;the likelihood of harm occurring&lt;/li&gt;&lt;li&gt;implement risk control&amp;nbsp;&amp;nbsp;measures in accordance with the hierarchy of controls (the hierarchy is a way&amp;nbsp;&amp;nbsp;of ranking control measures from the highest level of protection and&amp;nbsp;&amp;nbsp;reliability to the lowest)&amp;mdash;note that the WHS Regulations require specific&amp;nbsp;&amp;nbsp;control measures for certain kinds of plant and scaffolds&lt;/li&gt;&lt;li&gt;maintain the control measures&amp;nbsp;&amp;nbsp;to ensure that they remain effective&lt;/li&gt;&lt;li&gt;regularly review the control&amp;nbsp;&amp;nbsp;methods to make sure that they are working as planned and that no new hazards&amp;nbsp;&amp;nbsp;have been introduced by the control measures.&lt;/li&gt;&lt;/ol&gt;&lt;p&gt;The organisation should consult workers at all stages of the risk management process to obtain feedback on the plant and the work processes that are in place or under consideration. The organisation should also ensure that workers receive all the necessary training, instruction, information and supervision to operate, maintain and store the plant safely.&lt;/p&gt;&lt;p&gt;The organisation should have a process for consulting, cooperating and coordinating with other duty holders who share responsibility for ensuring that the plant is without health and safety risks, so far as is reasonably practicable. The plant owner or operator should seek to maintain open lines of communication with relevant &amp;lsquo;upstream&amp;rsquo; organisations, such as the plant installer, commissioner, supplier, manufacturer or designer, and raise or respond to any health and safety issues in a timely way.&lt;/p&gt;&lt;p&gt;The organisation should ensure that its risk management process covers the entire period that the plant is under the organisation&amp;rsquo;s management or control, including the following activities:&lt;/p&gt;&lt;ul&gt;&lt;li&gt;purchase and hire&lt;/li&gt;&lt;li&gt;installation and commissioning&lt;/li&gt;&lt;li&gt;operation, alteration, maintenance, repair, cleaning and storage&lt;/li&gt;&lt;li&gt;decommissioning, dismantling&amp;nbsp;&amp;nbsp;or disposal&lt;/li&gt;&lt;/ul&gt;&lt;p&gt;Further guidance on the various stages of plant management is available in the Model code of practice &amp;ndash; Managing risks of plant in the workplace, September 2013 (Safe Work Australia) (Section 3).&lt;/p&gt;&lt;p&gt;The organisation should have a process for ensuring that it keeps the mandatory records for registered items of plant and plant that requires design registration. It is also good practice to keep records of other types of plant at the workplace to demonstrate compliance with work health and safety laws, and to inform subsequent risk assessments. The Model code of practice &amp;ndash; Managing risks of plant in the workplace, September 2013 (Safe Work Australia) (page 35) gives examples of the types of records that may be kept.&lt;/p&gt;&lt;p&gt;Specific requirements for managing risks associated with heritage plant are covered in the Guide for managing risks involving heritage plant, March 2013 (Safe Work Australia). See Tool &amp;ndash; Guide for managing risks involving heritage plant, March 2013 (Safe Work Australia).&lt;/p&gt;</x:v>
      </x:c>
      <x:c r="K78" s="6" t="n">
        <x:f>=HYPERLINK("#K78","Guidance Notes")</x:f>
      </x:c>
      <x:c r="L78" s="6" t="str">
        <x:v>&lt;p&gt;Put in place procedures to ensure that the organisation complies with its general duties to manage plant safety at the workplace.&lt;/p&gt;</x:v>
      </x:c>
      <x:c r="M78" s="6" t="n">
        <x:f>=HYPERLINK("#M78","Remediation")</x:f>
      </x:c>
      <x:c r="N78" s="6" t="str">
        <x:v>&lt;p&gt;Penalties apply if an organisation with management or control of plant at a workplace fails to do what is reasonable to:&lt;/p&gt;&lt;ul&gt;&lt;li&gt;control the risks arising from&amp;nbsp;&amp;nbsp;installing, commissioning, decommissioning or dismantling plant (reg 204)&lt;/li&gt;&lt;li&gt;prevent unauthorised&amp;nbsp;&amp;nbsp;alterations to or interference with plant (reg 205)&lt;/li&gt;&lt;li&gt;ensure the proper use of plant&amp;nbsp;&amp;nbsp;and associated risk control features (reg 206)&lt;/li&gt;&lt;li&gt;ensure that plant is safe&amp;nbsp;&amp;nbsp;while not in use (reg 207)&lt;/li&gt;&lt;li&gt;comply with obligations&amp;nbsp;&amp;nbsp;relating to guarding and insulation, operator controls, emergency stops and&amp;nbsp;&amp;nbsp;emergency warning devices (regs 208&amp;ndash;212).&lt;/li&gt;&lt;/ul&gt;&lt;p&gt;For all of the offences listed above, the maximum penalties are $30,000 for an organisation and $6,000 for an individual.&lt;/p&gt;&lt;p&gt;Penalties also apply for failing to ensure that the maintenance, inspection and, if necessary, testing of plant is carried out by a competent person. The maximum penalties are $18,000 for an organisation and $3600 for an individual (reg 213).&lt;/p&gt;</x:v>
      </x:c>
      <x:c r="O78" s="6" t="n">
        <x:f>=HYPERLINK("#O78","Consequence")</x:f>
      </x:c>
      <x:c r="P78" s="6" t="str">
        <x:v>&lt;p&gt;&lt;a href="https://www.legislation.gov.au/Details/C2011A00137" target="_blank" &gt;Work Health and Safety Act 2011 (Cth)&lt;/a&gt; s 21 (see also corresponding Acts in ACT, NSW, NT, QLD, SA and TAS)&lt;/p&gt;&lt;p&gt;&lt;a href="https://www.legislation.gov.au/Details/F2011L02664" target="_blank" &gt;Work Health and Safety Regulations 2011 (Cth)&lt;/a&gt; regs 39, 204&amp;ndash;226, 235&amp;ndash;242 (see also corresponding regulations in ACT, NSW, NT, QLD, SA and TAS)&lt;/p&gt;&lt;p&gt;Model Code of Practice &amp;ndash; Managing Risks of Plant in the Workplace, September 2013 (Safe Work Australia)&lt;/p&gt;</x:v>
      </x:c>
      <x:c r="Q78" s="6" t="n">
        <x:f>=HYPERLINK("#Q78","Source")</x:f>
      </x:c>
      <x:c r="R78"/>
      <x:c r="S78"/>
      <x:c r="T78"/>
    </x:row>
    <x:row r="79" spans="1:20" ht="15.75" x14ac:dyDescent="0.25">
      <x:c r="A79" t="n">
        <x:v>11362</x:v>
      </x:c>
      <x:c r="B79" t="str">
        <x:v>NSW,NT,QLD,SA,TAS,ACT,COMMONWEALTH</x:v>
      </x:c>
      <x:c r="C79" t="inlineStr">
        <x:is>
          <x:t xml:space="preserve">  Subobligation</x:t>
        </x:is>
      </x:c>
      <x:c r="D79" t="inlineStr">
        <x:is>
          <x:t xml:space="preserve">  Additional Control Measures for Certain Plant and Scaffolds</x:t>
        </x:is>
      </x:c>
      <x:c r="E79" s="31" t="n">
        <x:v>12.08</x:v>
      </x:c>
      <x:c r="F79" s="8" t="n">
        <x:f>=HYPERLINK("#Obligation()","Plant and Structures")</x:f>
      </x:c>
      <x:c r="G79" s="8" t="n">
        <x:f>=HYPERLINK("#SubObligation()","Additional Control Measures for Certain Plant and Scaffolds")</x:f>
      </x:c>
      <x:c r="H79" s="6" t="n">
        <x:f>=HYPERLINK("#H79","Tools")</x:f>
      </x:c>
      <x:c r="I79" s="27" t="str">
        <x:v>&lt;b&gt;&lt;p&gt;Additional Control Measures for Certain Plant and Scaffolds&lt;/p&gt;Does the organisation that manages or controls certain types of plant and scaffolds ensure the implementation of additional risk control measures as specified in the WHS Regulations?&lt;/b&gt;</x:v>
      </x:c>
      <x:c r="J79" s="6" t="str">
        <x:v>&lt;p&gt;The harmonised Work Health and Safety (WHS) Regulations place specific duties on organisations that manage or control certain types of plant and scaffolds. See Tools &amp;ndash; Model code of practice &amp;ndash; Managing risks of plant in the workplace, September 2013 (Safe Work Australia).&lt;/p&gt;&lt;p&gt;An organisation that manages or controls powered mobile plant must manage the health and safety risks associated with the plant, such as overturning and collisions. The organisation must ensure, so far as is reasonably practicable, that a suitable combination of operator protective devices for the plant is provided, maintained and used.&lt;/p&gt;&lt;p&gt;Other plant or structure-specific risk management requirements include:&lt;/p&gt;&lt;ul&gt;&lt;li&gt;appropriate roll-over protection on tractors&lt;/li&gt;&lt;li&gt;suitable operation of industrial lift trucks&lt;/li&gt;&lt;li&gt;safe use of plant that lifts or suspends loads, whether the loads are people or things&lt;/li&gt;&lt;li&gt;safe use of plant for tree&amp;nbsp;&amp;nbsp;lopping&lt;/li&gt;&lt;li&gt;controlling risks in the immediate vicinity of industrial robots or other remotely or automatically&amp;nbsp;&amp;nbsp;energised plant&lt;/li&gt;&lt;li&gt;proper design, construction, installation and use of laser equipment&lt;/li&gt;&lt;li&gt;regular inspection of pressure equipment and gas cylinders and safety provisions for gas cylinder filling&amp;nbsp;&amp;nbsp;stations&lt;/li&gt;&lt;li&gt;control measures for&amp;nbsp;&amp;nbsp;scaffolds, such as inspections by a competent person, repairs and preventing&amp;nbsp;&amp;nbsp;unauthorised access&lt;/li&gt;&lt;li&gt;record-keeping for plant with&amp;nbsp;&amp;nbsp;a presence-sensing safeguarding system, including records of safety integrity&amp;nbsp;&amp;nbsp;tests, inspections, decommissioning, dismantling and alterations of the plant.&lt;/li&gt;&lt;/ul&gt;&lt;p&gt;The organisation&amp;mdash;that is, the plant owner or operator or scaffolding contractor&amp;mdash;should put in place procedures to ensure that the additional risk control measures specified in the WHS Regulations are implemented. The organisation should make sure that it maintains and regularly reviews the control measures to ensure their ongoing effectiveness.&lt;/p&gt;&lt;p&gt;The organisation should consult workers to obtain feedback on the effectiveness of the control measures and any areas for improvement. The organisation should also ensure that workers receive all the necessary training, instruction, information and supervision to operate, maintain and store the plant safely, or erect, maintain, dismantle and store the scaffolding safely.&lt;/p&gt;&lt;p&gt;The organisation should have a process for consulting, cooperating and coordinating with any other duty holders who share responsibility for implementing and maintaining the specified control measures.&lt;/p&gt;&lt;p&gt;The organisation should have a procedure for ensuring that all tests and inspections are carried out by a competent person. Where necessary, the organisation should check the inspector&amp;rsquo;s qualifications and experience to ensure that he or she has the required knowledge and skills to undertake the inspection.&lt;/p&gt;&lt;p&gt;The organisation should ensure that it keeps a record of its process for implementing, maintaining and reviewing the control measures, including the mandatory records for presence-sensing safeguarding equipment where applicable. The Model code of practice &amp;ndash; Managing risks of plant in the workplace, September 2013 (Safe Work Australia) (page 35) gives examples of the types of records that may be kept. The records can demonstrate compliance with the WHS Regulations, and inform subsequent risk assessments.&lt;/p&gt;&lt;p&gt;The organisation should consult the Scaffolds and scaffolding work guidance material (Safe Work Australia, July 2014) and the types of plant that require additional control measures. See Tool &amp;ndash; Scaffolds and scaffolding work guidance material (Safe Work Australia, July 2014).&lt;/p&gt;</x:v>
      </x:c>
      <x:c r="K79" s="6" t="n">
        <x:f>=HYPERLINK("#K79","Guidance Notes")</x:f>
      </x:c>
      <x:c r="L79" s="6" t="str">
        <x:v>&lt;p&gt;Put in place procedures to ensure that the additional risk control measures for certain types of plant and scaffolds are implemented effectively.&lt;/p&gt;</x:v>
      </x:c>
      <x:c r="M79" s="6" t="n">
        <x:f>=HYPERLINK("#M79","Remediation")</x:f>
      </x:c>
      <x:c r="N79" s="6" t="str">
        <x:v>&lt;p&gt;Maximum penalties of $30,000 (for an organisation) and $6,000 (for an individual) apply for offences relating to additional control measures for powered mobile plant, tractors, industrial lift trucks, plant that lifts or suspends loads, tree-lopping plant, industrial robots, laser equipment and scaffolds (regs&amp;nbsp;215&amp;ndash;223, 225).&lt;/p&gt;&lt;p&gt;Penalties apply for failing to comply with the required control measures for pressure equipment and gas cylinders. The maximum penalties are $18,000 for an organisation and $3,600 for an individual (reg 224).&lt;/p&gt;&lt;p&gt;Penalties also apply if an organisation does not keep appropriate records on a presence-sensing safeguarding system for the required period, or does not make the records available as required. The maximum penalties are $6,000 for an organisation and $1,250 for an individual (reg 226).&lt;/p&gt;</x:v>
      </x:c>
      <x:c r="O79" s="6" t="n">
        <x:f>=HYPERLINK("#O79","Consequence")</x:f>
      </x:c>
      <x:c r="P79" s="6" t="str">
        <x:v>&lt;p&gt;&lt;a href="https://www.legislation.gov.au/Details/C2011A00137" target="_blank" &gt;Work Health and Safety Act 2011 (Cth)&lt;/a&gt; s 21 (see also corresponding Acts in ACT, NSW, NT, QLD, SA and TAS)&lt;/p&gt;&lt;p&gt;&lt;a href="https://www.legislation.gov.au/Details/F2011L02664" target="_blank" &gt;Work Health and Safety Regulations 2011 (Cth)&lt;/a&gt; regs 214&amp;ndash;226 (see also corresponding regulations in ACT, NSW, NT, QLD, SA and TAS)&lt;/p&gt;&lt;p&gt;Model Code of Practice &amp;ndash; Managing Risks of Plant in the Workplace, September 2013 (Safe Work Australia)&lt;/p&gt;&lt;p&gt;AS 2397:1993 Safe Use of Lasers in the Building and Construction Industry&lt;/p&gt;&lt;p&gt;AS/NZS 1200:2000 Pressure Equipment&lt;/p&gt;&lt;p&gt;AS/NZS 3788:2006 Pressure Equipment&amp;mdash;In-Service Inspection&lt;/p&gt;&lt;p&gt;AS 4343&amp;ndash;2005 Pressure Equipment&amp;mdash;Hazard Levels&lt;/p&gt;&lt;p&gt;AS 2030.1&amp;ndash;2009 Gas Cylinders&amp;mdash;General Requirements&lt;/p&gt;</x:v>
      </x:c>
      <x:c r="Q79" s="6" t="n">
        <x:f>=HYPERLINK("#Q79","Source")</x:f>
      </x:c>
      <x:c r="R79"/>
      <x:c r="S79"/>
      <x:c r="T79"/>
    </x:row>
    <x:row r="80" spans="1:20" ht="15.75" x14ac:dyDescent="0.25">
      <x:c r="A80" t="n">
        <x:v>11394</x:v>
      </x:c>
      <x:c r="B80" t="str">
        <x:v>NSW,NT,QLD,SA,TAS,ACT,COMMONWEALTH</x:v>
      </x:c>
      <x:c r="C80" t="inlineStr">
        <x:is>
          <x:t xml:space="preserve">  Subobligation</x:t>
        </x:is>
      </x:c>
      <x:c r="D80" t="inlineStr">
        <x:is>
          <x:t xml:space="preserve">  Control Measures for Registered Plant, Including Cranes and Lifts</x:t>
        </x:is>
      </x:c>
      <x:c r="E80" s="31" t="n">
        <x:v>12.09</x:v>
      </x:c>
      <x:c r="F80" s="8" t="n">
        <x:f>=HYPERLINK("#Obligation()","Plant and Structures")</x:f>
      </x:c>
      <x:c r="G80" s="8" t="n">
        <x:f>=HYPERLINK("#SubObligation()","Control Measures for Registered Plant, Including Cranes and Lifts")</x:f>
      </x:c>
      <x:c r="H80" s="6" t="n">
        <x:f>=HYPERLINK("#H80","Tools")</x:f>
      </x:c>
      <x:c r="I80" s="27" t="str">
        <x:v>&lt;b&gt;&lt;p&gt;Control Measures for Registered Plant, Including Cranes and Lifts&lt;/p&gt;Does the organisation that manages or controls registered plant ensure that it keeps appropriate records and implements the required control measures for cranes and lifts where applicable?&lt;/b&gt;</x:v>
      </x:c>
      <x:c r="J80" s="6" t="str">
        <x:v>&lt;p&gt;The harmonised Work Health and Safety (WHS) Regulations place specific duties on organisations that manage or control registered plant, including cranes and lifts. See Tool &amp;ndash; Model code of practice &amp;ndash; Managing risks of plant in the workplace, September 2013 (Safe Work Australia).&lt;/p&gt;&lt;p&gt;An organisation that manages or controls registered plant must keep a record of all tests, inspections, maintenance, commissioning, decommissioning, dismantling and alterations for the period that the plant is used or until the organisation relinquishes control of the plant. The record must be available for inspection under the relevant WHS Act, and must also be made available to any person to whom the organisation relinquishes control of the plant.&lt;/p&gt;&lt;p&gt;&lt;strong&gt;Cranes&lt;/strong&gt;&lt;/p&gt;&lt;p&gt;An organisation that manages or controls a registered mobile crane or tower crane at a workplace must ensure that a major inspection of the crane is carried out by, or under the supervision of, a competent person at the end of the design life recommended by the manufacturer, or if there are no manufacturer&amp;rsquo;s recommendations, in accordance with the recommendations of a competent person. If it is not reasonably practicable to comply with these requirements, the organisation must carry out the major inspection every 10 years from the date that the crane was first commissioned or first registered, whichever occurred first.&lt;/p&gt;&lt;p&gt;A registered crane does not need to undergo a major inspection if it has already undergone a major inspection under a corresponding WHS law with equivalent provisions.&lt;/p&gt;&lt;p&gt;&lt;strong&gt;Lifts&lt;/strong&gt;&lt;/p&gt;&lt;p&gt;If there is a risk that someone might fall down a lift well at a workplace, the organisation that manages or controls the lift must ensure that secure barriers are provided to prevent access to openings into the lift well by anyone other than a person performing work in the lift well.&lt;/p&gt;&lt;p&gt;The organisation must also ensure that secure working platforms or equivalent arrangements are provided to prevent a person working in the lift well from falling from a height. If there is a risk to a person working in a lift well from falling objects, the organisation must provide a secure barrier to manage the risk.&lt;/p&gt;&lt;p&gt;The organisation must ensure that there is a safe means of entry and exit at the base of the lift well, and that a sign is fixed in a prominent place indicating the lift&amp;rsquo;s safe working load.&lt;/p&gt;&lt;p&gt;If the organisation manages or controls registered items of plant, it should put in place a procedure to ensure that it keeps all mandatory records of tests, inspections, maintenance, commissioning, decommissioning, dismantling and alterations for the required period. It should ensure that it can quickly and easily retrieve the records if the regulator&amp;mdash;or an inspector appointed by the regulator&amp;mdash;wishes to inspect them.&lt;/p&gt;&lt;p&gt;When engaging someone to carry out a major inspection of a crane, the organisation should make sure that the inspector has the necessary knowledge, skills and qualifications to perform the task competently, and is registered as a professional engineer. The organisation should make sure that the inspector examines all critical components of the crane, if necessary by stripping down the crane and removing paint, grease and corrosion, and checks the effective and safe operation of the crane.&lt;/p&gt;&lt;p&gt;Further information about the safe management of cranes see Tool &amp;mdash; Cranes guidance material (Safe Work Australia, December 2015).&lt;/p&gt;&lt;p&gt;An organisation that manages or controls a lift at a workplace should put in place procedures to ensure that the risk control measures specified in the WHS Regulations are implemented effectively. The organisation should make sure that it maintains and regularly reviews the control measures to ensure their ongoing effectiveness. The organisation should seek feedback from workers on how well the control measures are performing, and consult, cooperate and coordinate with any other duty holders who share responsibility for the implementation of the control measures.&lt;/p&gt;</x:v>
      </x:c>
      <x:c r="K80" s="6" t="n">
        <x:f>=HYPERLINK("#K80","Guidance Notes")</x:f>
      </x:c>
      <x:c r="L80" s="6" t="str">
        <x:v>&lt;p&gt;Put in place procedures to ensure that the required records are kept about registered plant, and that the risk control measures for cranes and lifts are implemented effectively.&lt;/p&gt;</x:v>
      </x:c>
      <x:c r="M80" s="6" t="n">
        <x:f>=HYPERLINK("#M80","Remediation")</x:f>
      </x:c>
      <x:c r="N80" s="6" t="str">
        <x:v>&lt;p&gt;Penalties apply for not complying with the required control measures for cranes and lifts. The maximum penalties are $18,000 for an organisation and $3,600 for an individual (regs 235&amp;ndash;236).&lt;/p&gt;&lt;p&gt;Penalties also apply for failing to keep records of tests, inspections, maintenance, commissioning, decommissioning, dismantling and alterations of registered plant for the required period, or failing to make the records available to the required people. The maximum penalties are $6,000 for an organisation and $1,250 for an individual (reg 237).&lt;/p&gt;</x:v>
      </x:c>
      <x:c r="O80" s="6" t="n">
        <x:f>=HYPERLINK("#O80","Consequence")</x:f>
      </x:c>
      <x:c r="P80" s="6" t="str">
        <x:v>&lt;p&gt;&lt;a href="https://www.legislation.gov.au/Details/F2011L02664" target="_blank" &gt;Work Health and Safety Regulations 2011 (Cth)&lt;/a&gt; regs 235&amp;ndash;237 (see also corresponding regulations in ACT, NSW, NT, QLD, SA and TAS)&lt;/p&gt;&lt;p&gt;Model Code of Practice &amp;ndash; Managing Risks of Plant in the Workplace, September 2013 (Safe Work Australia)&lt;/p&gt;</x:v>
      </x:c>
      <x:c r="Q80" s="6" t="n">
        <x:f>=HYPERLINK("#Q80","Source")</x:f>
      </x:c>
      <x:c r="R80"/>
      <x:c r="S80"/>
      <x:c r="T80"/>
    </x:row>
    <x:row r="81" spans="1:20" ht="15.75" x14ac:dyDescent="0.25">
      <x:c r="A81" t="n">
        <x:v>11407</x:v>
      </x:c>
      <x:c r="B81" t="str">
        <x:v>NSW,NT,QLD,SA,TAS,ACT,COMMONWEALTH</x:v>
      </x:c>
      <x:c r="C81" t="inlineStr">
        <x:is>
          <x:t xml:space="preserve">  Subobligation</x:t>
        </x:is>
      </x:c>
      <x:c r="D81" t="inlineStr">
        <x:is>
          <x:t xml:space="preserve">  Control Measures for Amusement Devices and Passenger Ropeways</x:t>
        </x:is>
      </x:c>
      <x:c r="E81" s="31" t="n">
        <x:v>12.10</x:v>
      </x:c>
      <x:c r="F81" s="8" t="n">
        <x:f>=HYPERLINK("#Obligation()","Plant and Structures")</x:f>
      </x:c>
      <x:c r="G81" s="8" t="n">
        <x:f>=HYPERLINK("#SubObligation()","Control Measures for Amusement Devices and Passenger Ropeways")</x:f>
      </x:c>
      <x:c r="H81" s="6" t="n">
        <x:f>=HYPERLINK("#H81","Tools")</x:f>
      </x:c>
      <x:c r="I81" s="27" t="str">
        <x:v>&lt;b&gt;&lt;p&gt;Control Measures for Amusement Devices and Passenger Ropeways&lt;/p&gt;Does the organisation that manages or controls an amusement device or passenger ropeway implement the required risk control measures, including an annual detailed inspection, and keep appropriate records?&lt;/b&gt;</x:v>
      </x:c>
      <x:c r="J81" s="6" t="str">
        <x:v>&lt;p&gt;The harmonised Work Health and Safety (WHS) Regulations place specific duties on an organisation that manages or controls an amusement device or a passenger ropeway at a workplace. The Workplace amusement devices guidance material (Safe Work Australia, July and December 2014) defines the meaning of &amp;lsquo;amusement device&amp;rsquo; and &amp;lsquo;passenger ropeway&amp;rsquo; in the context of work health and safety. See Tool &amp;ndash; Workplace amusement devices guidance material (Safe Work Australia, July and December 2014).&lt;/p&gt;&lt;p&gt;The organisation must ensure that an amusement device or passenger ropeway is only operated by someone who has received the necessary instruction and training. On each day of operation, the amusement device or passenger ropeway must be checked before it is operated, and it must be operated first without passengers. The organisation must record the daily checks and operation without passengers in a log book for the device or ropeway.&lt;/p&gt;&lt;p&gt;The organisation must also ensure that the amusement device or passenger ropeway is stored in a way that does not give rise to health and safety risks. The person who stores the device or ropeway must be a competent person or under the supervision of a competent person.&lt;/p&gt;&lt;p&gt;The organisation must ensure that a competent person carries out the maintenance, inspection and, if necessary, testing of the amusement device or passenger ropeway, in accordance with the designer and/or manufacturer&amp;rsquo;s instructions, or in accordance with a competently prepared maintenance manual.&lt;/p&gt;&lt;p&gt;The organisation must ensure that a detailed inspection of the amusement device or passenger ropeway, including a specific inspection of critical components, is carried out at least once every 12&amp;nbsp;months by a competent person. The annual inspection must also include:&lt;/p&gt;&lt;ul&gt;&lt;li&gt;a check of information about&amp;nbsp;&amp;nbsp;the operational history since the last detailed inspection&lt;/li&gt;&lt;li&gt;a check of the log book&lt;/li&gt;&lt;li&gt;a check that maintenance and&amp;nbsp;&amp;nbsp;routine inspections have been undertaken&lt;/li&gt;&lt;li&gt;a check that required tests&amp;nbsp;&amp;nbsp;have been carried out, and test results have been recorded.&lt;/li&gt;&lt;/ul&gt;&lt;p&gt;If the device or ropeway includes an electrical installation, only someone who is qualified to inspect electrical installations (or who has assistance from a qualified person) can carry out a detailed inspection.&lt;/p&gt;&lt;p&gt;The regulator may extend the date for an annual inspection in certain circumstances. An annual inspection is not required if a detailed inspection has already been undertaken under a corresponding WHS law with equivalent provisions.&lt;/p&gt;&lt;p&gt;An organisation that manages an amusement device at a workplace must ensure that details of each erection or storage of the device are recorded in the log book. The organisation must also ensure that the log book and operating and maintenance manuals for the amusement device are kept with the device. The log book and manuals must be given to anyone involved in the commissioning, installation, use, storage, testing, decommissioning, dismantling or disposal of the device, and passed on to any person who acquires management or control of the device.&lt;/p&gt;&lt;p&gt;The organisation with management or control of an amusement device or passenger ropeway should put in place procedures to ensure that the risk control measures specified in the WHS Regulations are implemented effectively. The organisation should pay particular attention to the site conditions when implementing the controls. The organisation should make sure that it maintains and regularly reviews the control measures to ensure their ongoing effectiveness.&lt;/p&gt;&lt;p&gt;The organisation should consult workers when deciding how to implement the control measures. It should also provide workers with instruction, training and supervision to ensure the safe operation and storage of the amusement device or passenger ropeway.&lt;/p&gt;&lt;p&gt;The organisation should have a procedure for ensuring that the log book for the amusement device or passenger ropeway is kept up to date, and that all relevant details are recorded in the log book.&lt;/p&gt;&lt;p&gt;If an amusement device is leased, both the organisation hiring the device and the leasing organisation will share responsibility for the safety of the device. Both organisations should consult, cooperate and coordinate with each other to eliminate or minimise risks associated with the device, so far as is reasonably practicable. Similarly, amusement device owners or operators should consult, cooperate and coordinate with event organisers at festivals and agricultural shows. When engaging someone to undertake maintenance, inspections or testing of an amusement device or passenger ropeway, the organisation should make sure that the inspector has the necessary knowledge, skills and qualifications to perform the task competently, and is registered as a professional engineer. (The inspector does not need to be a registered engineer if the amusement device is a continuously blown inflatable device with a platform height of less than 9 metres.)&lt;/p&gt;&lt;p&gt;Under the WHS Regulations, certain amusement devices must be registered, and the design of certain types of amusement devices, and of passenger ropeways, must also be registered. The organisation should have a procedure for checking that the necessary registrations have been obtained.&lt;/p&gt;&lt;p&gt;Further information is available in Workplace amusement devices guidance material (Safe Work Australia, July and December 2014).&lt;/p&gt;</x:v>
      </x:c>
      <x:c r="K81" s="6" t="n">
        <x:f>=HYPERLINK("#K81","Guidance Notes")</x:f>
      </x:c>
      <x:c r="L81" s="6" t="str">
        <x:v>&lt;p&gt;Put in place procedures to ensure that the required risk control measures are implemented effectively, an annual inspection is undertaken by a competent person, and the required records are kept.&lt;/p&gt;</x:v>
      </x:c>
      <x:c r="M81" s="6" t="n">
        <x:f>=HYPERLINK("#M81","Remediation")</x:f>
      </x:c>
      <x:c r="N81" s="6" t="str">
        <x:v>&lt;p&gt;Penalties apply for failing to implement the required control measures for the operation of amusement devices and passenger ropeways, and failing to conduct the required maintenance, inspection and testing. The maximum penalties are $30,000 for an organisation and $6,000 for an individual (regs 238, 240&amp;ndash;241).&lt;/p&gt;&lt;p&gt;The maximum penalties for failing to safely store an amusement device or passenger ropeway are $18,000 for an organisation and $3,600 for an individual (reg 239).&lt;/p&gt;&lt;p&gt;The maximum penalties for failing to comply with record-keeping requirements for amusement devices are $6,000 for an organisation and $1,250 for an individual (reg&amp;nbsp;242).&lt;/p&gt;</x:v>
      </x:c>
      <x:c r="O81" s="6" t="n">
        <x:f>=HYPERLINK("#O81","Consequence")</x:f>
      </x:c>
      <x:c r="P81" s="6" t="str">
        <x:v>&lt;p&gt;&lt;a href="https://www.legislation.gov.au/Details/F2011L02664" target="_blank" &gt;Work Health and Safety Regulations 2011 (Cth)&lt;/a&gt; regs 238&amp;ndash;242 (see also corresponding regulations in ACT, NSW, NT, QLD, SA and TAS)&lt;/p&gt;&lt;p&gt;Model Code of Practice &amp;ndash; Managing Risks of Plant in the Workplace, September 2013 (Safe Work Australia)&lt;/p&gt;&lt;p&gt;AS 3533.1&amp;ndash;2009 Amusement Rides and Devices&amp;mdash;Design and Construction&lt;/p&gt;</x:v>
      </x:c>
      <x:c r="Q81" s="6" t="n">
        <x:f>=HYPERLINK("#Q81","Source")</x:f>
      </x:c>
      <x:c r="R81"/>
      <x:c r="S81"/>
      <x:c r="T81"/>
    </x:row>
    <x:row r="82" spans="1:20" ht="15.75" x14ac:dyDescent="0.25">
      <x:c r="A82" t="n">
        <x:v>11424</x:v>
      </x:c>
      <x:c r="B82" t="str">
        <x:v>NSW,NT,QLD,SA,TAS,ACT,COMMONWEALTH</x:v>
      </x:c>
      <x:c r="C82" t="inlineStr">
        <x:is>
          <x:t xml:space="preserve">  Subobligation</x:t>
        </x:is>
      </x:c>
      <x:c r="D82" t="inlineStr">
        <x:is>
          <x:t xml:space="preserve">  Registration of Plant Designs</x:t>
        </x:is>
      </x:c>
      <x:c r="E82" s="31" t="n">
        <x:v>12.11</x:v>
      </x:c>
      <x:c r="F82" s="8" t="n">
        <x:f>=HYPERLINK("#Obligation()","Plant and Structures")</x:f>
      </x:c>
      <x:c r="G82" s="8" t="n">
        <x:f>=HYPERLINK("#SubObligation()","Registration of Plant Designs")</x:f>
      </x:c>
      <x:c r="H82" s="6" t="n">
        <x:f>=HYPERLINK("#H82","Tools")</x:f>
      </x:c>
      <x:c r="I82" s="27" t="str">
        <x:v>&lt;b&gt;&lt;p&gt;Registration of Plant Designs&lt;/p&gt;Does the organisation ensure that the design of certain types of plant is registered before any plant manufactured to that design is used at the workplace?&lt;/b&gt;</x:v>
      </x:c>
      <x:c r="J82" s="6" t="str">
        <x:v>&lt;p&gt;The harmonised Work Health and Safety (WHS) Regulations require certain plant designs to be registered. Schedule 5 of the regulations lists the types of plant that require design registration. If a design is altered in a way that may affect health and safety, the altered plant design must be registered.&lt;/p&gt;&lt;p&gt;Either the organisation that designed the plant or the organisation that manages or controls the plant can apply to the regulator for registration of the plant design. The design does not need to be registered if it has already been registered by another regulator under a corresponding WHS law.&lt;/p&gt;&lt;p&gt;The application for plant design registration must be accompanied by a design verification statement signed by an eligible design verifier. The design verifier must be a competent person who can verify that the design has been produced in accordance with published technical standards or engineering principles.&lt;/p&gt;&lt;p&gt;If the application is successful, the regulator must issue a plant design registration number and a registration document to the applicant. The regulator may impose conditions on the registration of a plant design, such as conditions on the use and maintenance of plant manufactured to the design.&lt;/p&gt;&lt;p&gt;The organisation or individual to whom the regulator issues a plant design registration number must give the registration number to the manufacturer, importer or supplier of plant manufactured to that design. In turn, the manufacturer, importer or supplier must give that number to the organisation that manages or controls the plant.&lt;/p&gt;&lt;p&gt;The organisation that manages or controls the plant for which a plant design is registered must ensure that the design registration number is kept readily accessible in the vicinity of the plant at all times.&lt;/p&gt;&lt;p&gt;The organisation or individual to whom the regulator issues a design registration document must keep the registration document available for inspection under the relevant WHS Act, unless:&lt;/p&gt;&lt;ul&gt;&lt;li&gt;it has been returned to the regulator, or&lt;/li&gt;&lt;li&gt;the registration holder has applied for, but has not yet received, a replacement registration document.&lt;/li&gt;&lt;/ul&gt;&lt;p&gt;An organisation that holds a plant design registration must inform the regulator in writing of any changes to the registration holder&amp;rsquo;s name, or any of the details required by the regulator as part of the initial application for registration. This information must be provided within 14 days after the registration holder becomes aware of a change.&lt;/p&gt;&lt;p&gt;The regulator has the power to amend a plant design registration on its own initiative or on application by the registration holder. The regulator must issue an amended registration document within 14 days after making the decision to amend the registration. If the regulator makes a written request to a registration holder to return a plant design registration document for amendment, the registration holder must return the document within the time specified in the request.&lt;/p&gt;&lt;p&gt;If the registration document is lost, stolen or destroyed, a registration holder must give written notice to the regulator as soon as practicable. The registration holder may apply to the regulator for a replacement document, outlining the reasons for needing a replacement.&lt;/p&gt;&lt;p&gt;The regulator may cancel a plant design registration if satisfied that the registration holder gave information that was false or misleading, failed to give material information, or if the design is unsafe. A registration holder who receives a written cancellation notice from the regulator must return the registration document at the written request of the regulator within the time specified in the request.&lt;/p&gt;&lt;p&gt;Note: The requirement to register certain types of plant design also applies to registering the design of certain types of structures used at a workplace, such as prefabricated scaffolding.&lt;/p&gt;&lt;p&gt;The organisation should have a process for ensuring that the design for an item of plant is registered if required under the WHS Regulations. If the regulations require a design to be registered and it has not been registered, the organisation should have a process to ensure that the plant is not used. See Tools &amp;ndash; Comcare (Commonwealth regulator), &amp;lsquo;Plant item and design registration&amp;rsquo;, WorkCover NSW, &amp;lsquo;Plant design registration&amp;rsquo;, WorkCover Queensland, &amp;lsquo;Plant design registration&amp;rsquo;, SafeWork SA, &amp;lsquo;Plant design registration&amp;rsquo;, WorkSafe Tasmania, &amp;lsquo;Application for registration of plant design&amp;rsquo;, WorkSafe ACT, &amp;lsquo;Plant registration&amp;rsquo;, NT WorkSafe, &amp;lsquo;Registrations&amp;rsquo;.&lt;/p&gt;&lt;p&gt;The organisation should ensure that management and relevant staff (such as site supervisors and plant operators) are aware of the requirement to register the design of certain types of plant, and are also aware of the requirements surrounding design registration.&lt;/p&gt;&lt;p&gt;The organisation should ensure that it engages a competent person to verify the plant design. It should check that the person has educational or vocational qualifications in an engineering discipline relevant to the plant design, or knowledge of the technical standards relevant to the plant design.&lt;/p&gt;&lt;p&gt;The organisation should have a process for ensuring that the plant design registration number is kept readily accessible in the vicinity of the plant at all times. A reliable way to achieve this is to permanently mark the number on the plant. The organisation should also have a process for ensuring that all obligations relating to the design registration document are met within the required timeframes.&lt;/p&gt;&lt;p&gt;It is an offence to give false or misleading information in a registration application. The applicant should check carefully that all details in the application are correct before submitting it to the regulator.&lt;/p&gt;&lt;p&gt;The applicant can apply for a review of certain decisions by the regulator in relation to the registration of plant design. Reviewable decisions are listed in regulation 676.&lt;/p&gt;&lt;p&gt;The organisation should keep a record of its communications with the regulator and others in relation to plant design registration to demonstrate compliance with the WHS Regulations.&lt;/p&gt;&lt;p&gt;The Model code of practice &amp;ndash; Managing risks of plant in the workplace, September 2013 (Safe Work Australia) provides guidance on who is competent to verify plant design (page 33), while Appendix C of the code gives examples of published technical standards for plant design. See Tools &amp;ndash; Model code of practice &amp;ndash; Managing risks of plant in the workplace, September 2013 (Safe Work Australia).&lt;/p&gt;</x:v>
      </x:c>
      <x:c r="K82" s="6" t="n">
        <x:f>=HYPERLINK("#K82","Guidance Notes")</x:f>
      </x:c>
      <x:c r="L82" s="6" t="str">
        <x:v>&lt;p&gt;Put in place a procedure to ensure that the design of certain types of plant is registered before any plant manufactured to that design is used at the workplace.&lt;/p&gt;</x:v>
      </x:c>
      <x:c r="M82" s="6" t="n">
        <x:f>=HYPERLINK("#M82","Remediation")</x:f>
      </x:c>
      <x:c r="N82" s="6" t="str">
        <x:v>&lt;p&gt;Under the harmonised WHS Acts, it is an offence to use plant at a workplace, or direct or allow a worker to use the plant, if the plant design requires authorisation and the design has not been authorised in accordance with the WHS Regulations. The maximum penalties are $100,000 for an organisation and $20,000 for an individual (s 42). The same maximum penalties apply for failing to comply with any conditions attached to the authorisation under the regulations (s 45).&lt;/p&gt;&lt;p&gt;Penalties apply for failing to give a plant design registration number to the required person, failing to keep the number readily accessible in the vicinity of the plant at all times, and failing to keep a plant design registration document available for inspection under the relevant WHS Act (regs 260, 262). Penalties also apply if a registration holder fails to:&lt;/p&gt;&lt;ul&gt;&lt;li&gt;give the regulator written notice of changes to information relating to the registration (reg&amp;nbsp;282)&lt;/li&gt;&lt;li&gt;return a registration document to the regulator for amendment within the specified time (reg 287)&lt;/li&gt;&lt;li&gt;give the regulator written notice as soon as practicable if a registration document is lost, stolen or destroyed (reg 288)&lt;/li&gt;&lt;li&gt;return a cancelled registration document to the regulator within the specified time (reg&amp;nbsp;288D).&lt;/li&gt;&lt;/ul&gt;&lt;p&gt;For all of these offences, the maximum penalties are $6,000 for an organisation and $1,250 for an individual.&lt;/p&gt;&lt;p&gt;In all the harmonised jurisdictions, except the Commonwealth and the ACT, the maximum penalties for knowingly providing false or misleading information or documents are $50,000 for an organisation and $10,000 for an individual (s 268). Section 268 of the Commonwealth&amp;rsquo;s WHS Act refers to the Criminal Code Act 1995 (Cth), which imposes a maximum penalty of 12 months&amp;rsquo; imprisonment for knowingly providing a false or misleading statement or piece of information, and 6 months&amp;rsquo; imprisonment for recklessly providing a false or misleading statement or piece of information (Criminal Code, Pt 7.4). Section 268 of the ACT&amp;rsquo;s WHS Act refers to the Criminal Code 2002 (ACT), which imposes penalties of up to 100 penalty units and/or 1 year&amp;rsquo;s imprisonment for knowingly providing false or misleading information or documents (Criminal Code, ss 338&amp;ndash;339).&lt;/p&gt;</x:v>
      </x:c>
      <x:c r="O82" s="6" t="n">
        <x:f>=HYPERLINK("#O82","Consequence")</x:f>
      </x:c>
      <x:c r="P82" s="6" t="str">
        <x:v>&lt;p&gt;&lt;a href="https://www.legislation.gov.au/Details/C2011A00137" target="_blank" &gt;Work Health and Safety Act 2011 (Cth)&lt;/a&gt; ss 42, 45, 268 (see also corresponding Acts in ACT, NSW, NT, QLD, SA and TAS)&lt;/p&gt;&lt;p&gt;&lt;a href="https://www.legislation.gov.au/Details/F2011L02664" target="_blank" &gt;Work Health and Safety Regulations 2011 (Cth)&lt;/a&gt; regs 243&amp;ndash;245, 248&amp;ndash;263, 281&amp;ndash;288D, 676 (see also corresponding regulations in ACT, NSW, NT, QLD, SA and TAS)&lt;/p&gt;&lt;p&gt;&lt;a href="https://www.legislation.gov.au/Details/C2015C00254" target="_blank" &gt;Criminal Code Act 1995 (Cth)&lt;/a&gt; Pt 7.4&lt;/p&gt;&lt;p&gt;&lt;a href="http://www.legislation.act.gov.au/a/2002-51" target="_blank" &gt;Criminal Code 2002 (ACT)&lt;/a&gt; ss&amp;nbsp;338&amp;ndash;339&lt;/p&gt;&lt;p&gt;Model Code of Practice &amp;ndash; Managing Risks of Plant in the Workplace, September 2013 (Safe Work Australia)&lt;/p&gt;</x:v>
      </x:c>
      <x:c r="Q82" s="6" t="n">
        <x:f>=HYPERLINK("#Q82","Source")</x:f>
      </x:c>
      <x:c r="R82"/>
      <x:c r="S82"/>
      <x:c r="T82"/>
    </x:row>
    <x:row r="83" spans="1:20" ht="15.75" x14ac:dyDescent="0.25">
      <x:c r="A83" t="n">
        <x:v>11448</x:v>
      </x:c>
      <x:c r="B83" t="str">
        <x:v>NSW,NT,QLD,SA,TAS,ACT,COMMONWEALTH</x:v>
      </x:c>
      <x:c r="C83" t="inlineStr">
        <x:is>
          <x:t xml:space="preserve">  Subobligation</x:t>
        </x:is>
      </x:c>
      <x:c r="D83" t="inlineStr">
        <x:is>
          <x:t xml:space="preserve">  Registration of Items of Plant</x:t>
        </x:is>
      </x:c>
      <x:c r="E83" s="31" t="n">
        <x:v>12.12</x:v>
      </x:c>
      <x:c r="F83" s="8" t="n">
        <x:f>=HYPERLINK("#Obligation()","Plant and Structures")</x:f>
      </x:c>
      <x:c r="G83" s="8" t="n">
        <x:f>=HYPERLINK("#SubObligation()","Registration of Items of Plant")</x:f>
      </x:c>
      <x:c r="H83" s="6" t="n">
        <x:f>=HYPERLINK("#H83","Tools")</x:f>
      </x:c>
      <x:c r="I83" s="27" t="str">
        <x:v>&lt;b&gt;&lt;p&gt;Registration of Items of Plant&lt;/p&gt;Does the organisation ensure that certain items of plant are registered before they are used at the workplace?&lt;/b&gt;</x:v>
      </x:c>
      <x:c r="J83" s="6" t="str">
        <x:v>&lt;p&gt;The harmonised Work Health and Safety (WHS) Regulations require certain items of plant to be registered. Schedule 5 of the regulations lists the items of plant that need to be registered.&lt;/p&gt;&lt;p&gt;An item of plant does not need to be registered if it has already been registered by another regulator under a corresponding WHS law.&lt;/p&gt;&lt;p&gt;The organisation that manages or controls an item of plant can apply to the regulator for registration of the plant. The application must contain a statement that a competent person has inspected the item of plant and assessed it to be safe to operate. If the design of the plant was also required to be registered, the application must include the design registration number.&lt;/p&gt;&lt;p&gt;If the application is successful, the regulator must issue a plant registration number and a registration document to the applicant. The regulator may impose conditions on the registration, such as conditions on the use and maintenance of the item of plant.&lt;/p&gt;&lt;p&gt;The registration holder must give the plant registration number to the organisation that manages or controls the plant at a workplace as soon as practicable. The organisation must ensure that the plant registration number is marked on the item of plant.&lt;/p&gt;&lt;p&gt;The registration holder must keep the registration document available for inspection under the relevant WHS Act, unless:&lt;/p&gt;&lt;ul&gt;&lt;li&gt;it has been returned to the regulator, or&lt;/li&gt;&lt;li&gt;the registration holder has applied for, but not yet received, a replacement registration document.&lt;/li&gt;&lt;/ul&gt;&lt;p&gt;A plant registration is valid for 5&amp;nbsp;years. The organisation that manages or controls the plant may apply to the regulator for renewal of the registration, but must do so before the registration expires. The renewal application must include a declaration that the item of plant has been maintained, inspected and tested by competent people and in accordance with the manufacturer&amp;rsquo;s recommendations (where applicable).&lt;/p&gt;&lt;p&gt;An organisation that holds a plant registration must inform the regulator in writing of any changes to the registration holder&amp;rsquo;s name, or any of the details required by the regulator as part of the initial application for registration. This information must be provided within 14 days after the registration holder becomes aware of a change.&lt;/p&gt;&lt;p&gt;A registration holder for an item of plant must also give written notice to the regulator if:&lt;/p&gt;&lt;ul&gt;&lt;li&gt;the item of plant is altered to the extent that it requires new risk control measures&lt;/li&gt;&lt;li&gt;the item of plant is usually fixed but has been moved&lt;/li&gt;&lt;li&gt;the registration holder no longer has management or control of the item of plant.&lt;/li&gt;&lt;/ul&gt;&lt;p&gt;The regulator has the power to amend a plant registration on its own initiative or on application by the registration holder. The regulator must issue an amended registration document within 14 days after making the decision to amend the registration. If the regulator makes a written request to a registration holder to return a plant registration document for amendment, the registration holder must return the document within the time specified in the request.&lt;/p&gt;&lt;p&gt;If the registration document is lost, stolen or destroyed, a registration holder must give written notice to the regulator as soon as practicable. The registration holder may apply to the regulator for a replacement document, outlining the reasons for needing a replacement.&lt;/p&gt;&lt;p&gt;The regulator may cancel a plant registration if satisfied that the registration holder gave information that was false or misleading, failed to give material information, or if the item of plant is unsafe. A registration holder who receives a written cancellation notice from the regulator must return the registration document at the written request of the regulator within the time specified in the request.&lt;/p&gt;&lt;p&gt;The organisation should have a process for ensuring that an item of plant is registered if required under the WHS Regulations. If the regulations require the plant to be registered and it has not been registered, the organisation should have a process for ensuring that the plant is not used. See Tools &amp;ndash; Model code of practice &amp;ndash; Managing risks of plant in the workplace, September 2013 (Safe Work Australia).&lt;/p&gt;&lt;p&gt;The organisation should ensure that management and relevant staff (such as site supervisors and plant operators) are aware of the requirement to register certain items of plant, and are also aware of the requirements surrounding plant registration. See Tools &amp;ndash; Comcare (Commonwealth regulator), &amp;lsquo;Plant item and design registration&amp;rsquo;, WorkCover NSW, &amp;lsquo;Plant item registration&amp;rsquo;&lt;/p&gt;&lt;p&gt;WorkCover Queensland, &amp;lsquo;Plant registration&amp;rsquo;, SafeWork SA, &amp;lsquo;Plant registration&amp;rsquo;, WorkSafe Tasmania, &amp;lsquo;Plant registration&amp;rsquo;, WorkSafe ACT, &amp;lsquo;Plant registration&amp;rsquo;, NT WorkSafe, &amp;lsquo;Registrations&amp;rsquo;.&lt;/p&gt;&lt;p&gt;The organisation should ensure that it engages a competent person to inspect the item of plant as part of the registration application. It should check that the person has educational or vocational qualifications in an engineering discipline relevant to the plant, or knowledge of the technical standards relevant to the plant.&lt;/p&gt;&lt;p&gt;The organisation should ensure that it marks the plant registration number in a readily accessible location on the plant by etching the number in place or fixing the number in place on a plate in a position where it will not be damaged or fall off over time. If the item comprises many parts that are assembled in various configurations to suit a particular site (e.g. a tower crane), the number should be marked on those components that are readily accessible when the item of plant is fully assembled.&lt;/p&gt;&lt;p&gt;The organisation should have a process for ensuring that all obligations relating to the plant registration document are met within the required timeframes.&lt;/p&gt;&lt;p&gt;It is an offence to give false or misleading information in a registration application. The applicant should check carefully that all details in the application are correct before submitting it to the regulator.&lt;/p&gt;&lt;p&gt;The applicant can apply for a review of certain decisions by the regulator in relation to plant registration. Reviewable decisions are listed in regulation 676.&lt;/p&gt;&lt;p&gt;The organisation should keep a record of its communications with the regulator and others in relation to plant registration to demonstrate compliance with the WHS Regulations.&lt;/p&gt;</x:v>
      </x:c>
      <x:c r="K83" s="6" t="n">
        <x:f>=HYPERLINK("#K83","Guidance Notes")</x:f>
      </x:c>
      <x:c r="L83" s="6" t="str">
        <x:v>&lt;p&gt;Put in place a procedure to ensure that certain items of plant are registered before they are used at the workplace.&lt;/p&gt;</x:v>
      </x:c>
      <x:c r="M83" s="6" t="n">
        <x:f>=HYPERLINK("#M83","Remediation")</x:f>
      </x:c>
      <x:c r="N83" s="6" t="str">
        <x:v>&lt;p&gt;Under the harmonised WHS Acts, it is an offence to use an item of plant at a workplace, or direct or allow a worker to use the plant, if the plant requires authorisation and it has not been authorised in accordance with the WHS Regulations. The maximum penalties are $100,000 for an organisation and $20,000 for an individual (s 42). The same maximum penalties apply for failing to comply with any conditions attached to the authorisation under the regulations (s 45).&lt;/p&gt;&lt;p&gt;Penalties apply if a registration holder fails to give the plant registration number to the organisation that manages or controls the item of plant as soon as practicable, or if the organisation fails to ensure that the number is marked on the plant (reg 273). Penalties also apply if a registration holder fails to:&lt;/p&gt;&lt;ul&gt;&lt;li&gt;ensure that the registration document is kept available for inspection under the relevant WHS Act (reg 275)&lt;/li&gt;&lt;li&gt;give the regulator written notice of changes to information relating to the registration (reg&amp;nbsp;282)&lt;/li&gt;&lt;li&gt;return a registration document to the regulator for amendment within the specified time (reg 287)&lt;/li&gt;&lt;li&gt;give the regulator written notice as soon as practicable if a registration document is lost, stolen or destroyed (reg 288)&lt;/li&gt;&lt;li&gt;return a cancelled registration document to the regulator within the specified time (reg&amp;nbsp;288D).&lt;/li&gt;&lt;/ul&gt;&lt;p&gt;For all of these offences, the maximum penalties are $6,000 for an organisation and $1,250 for an individual.&lt;/p&gt;&lt;p&gt;In all the harmonised jurisdictions, except the Commonwealth and the ACT, the maximum penalties for knowingly providing false or misleading information or documents are $50,000 for an organisation and $10,000 for an individual (s 268). Section 268 of the Commonwealth&amp;rsquo;s WHS Act refers to the Criminal Code Act 1995 (Cth), which imposes a maximum penalty of 12 months&amp;rsquo; imprisonment for knowingly providing a false or misleading statement or piece of information, and 6 months&amp;rsquo; imprisonment for recklessly providing a false or misleading statement or piece of information (Criminal Code, Pt 7.4). Section 268 of the ACT&amp;rsquo;s WHS Act refers to the Criminal Code 2002 (ACT), which imposes penalties of up to 100 penalty units and/or 1 year&amp;rsquo;s imprisonment for knowingly providing false or misleading information or documents (Criminal Code, ss 338&amp;ndash;339).&lt;/p&gt;</x:v>
      </x:c>
      <x:c r="O83" s="6" t="n">
        <x:f>=HYPERLINK("#O83","Consequence")</x:f>
      </x:c>
      <x:c r="P83" s="6" t="str">
        <x:v>&lt;p&gt;&lt;a href="https://www.legislation.gov.au/Details/C2011A00137" target="_blank" &gt;Work Health and Safety Act 2011 (Cth)&lt;/a&gt; ss 42, 45, 268 (see also corresponding Acts in ACT, NSW, NT, QLD, SA and TAS)&lt;/p&gt;&lt;p&gt;&lt;a href="https://www.legislation.gov.au/Details/F2011L02664" target="_blank" &gt;Work Health and Safety Regulations 2011 (Cth)&lt;/a&gt; regs 246&amp;ndash;247, 264&amp;ndash;288D, 676 (see also corresponding regulations in ACT, NSW, NT, QLD, SA and TAS)&lt;/p&gt;&lt;p&gt;&lt;a href="https://www.legislation.gov.au/Details/C2015C00254" target="_blank" &gt;Criminal Code Act 1995 (Cth)&lt;/a&gt; Pt 7.4&lt;/p&gt;&lt;p&gt;&lt;a href="http://www.legislation.act.gov.au/a/2002-51" target="_blank" &gt;Criminal Code 2002 (ACT)&lt;/a&gt; ss&amp;nbsp;338&amp;ndash;339&lt;/p&gt;&lt;p&gt;Model Code of Practice &amp;ndash; Managing Risks of Plant in the Workplace, September 2013 (Safe Work Australia)&lt;/p&gt;</x:v>
      </x:c>
      <x:c r="Q83" s="6" t="n">
        <x:f>=HYPERLINK("#Q83","Source")</x:f>
      </x:c>
      <x:c r="R83"/>
      <x:c r="S83"/>
      <x:c r="T83"/>
    </x:row>
    <x:row r="84" spans="1:20" ht="15.75" x14ac:dyDescent="0.25">
      <x:c r="A84" t="n">
        <x:v>11291</x:v>
      </x:c>
      <x:c r="B84" t="str">
        <x:v>NSW,NT,QLD,SA,TAS,ACT,COMMONWEALTH</x:v>
      </x:c>
      <x:c r="C84" t="str">
        <x:v>Obligation</x:v>
      </x:c>
      <x:c r="D84" t="str">
        <x:v>Workplace Management—Hazardous Work</x:v>
      </x:c>
      <x:c r="E84" s="31" t="n">
        <x:v>13.00</x:v>
      </x:c>
      <x:c r="F84" s="8" t="n">
        <x:f>=HYPERLINK("#Obligation()","Workplace Management—Hazardous Work")</x:f>
      </x:c>
      <x:c r="G84" s="8"/>
      <x:c r="H84" s="6" t="n">
        <x:f>=HYPERLINK("#H84","Tools")</x:f>
      </x:c>
      <x:c r="I84" s="27" t="str">
        <x:v>&lt;b&gt;&lt;p&gt;Workplace Management—Hazardous Work&lt;/p&gt;Does the organisation have a structured, documented and effective process for managing the risks of hazardous work, and complying with any authorisation requirements for high-risk work activities?&lt;/b&gt;</x:v>
      </x:c>
      <x:c r="J84" s="6" t="str">
        <x:v>&lt;p&gt;The harmonised Work Health and Safety (WHS) Regulations set out specific risk control measures for certain types of work that are particularly hazardous. Types of hazardous work that are addressed in the regulations include:&lt;/p&gt;&lt;ul&gt;&lt;li&gt;electrical work (omitted from Queensland&amp;rsquo;s WHS Regulation and separately regulated by the electrical safety legislation in that state)&lt;/li&gt;&lt;li&gt;demolition and construction work&lt;/li&gt;&lt;li&gt;work that involves exposure to hazardous chemicals and other substances, such as asbestos (hazardous chemicals are omitted from the ACT&amp;rsquo;s WHS Regulation and are separately addressed in the territory&amp;rsquo;s dangerous substances legislation)&lt;/li&gt;&lt;li&gt;work in confined spaces&lt;/li&gt;&lt;li&gt;work that involves a risk of falling from one level to another&lt;/li&gt;&lt;li&gt;manual tasks that carry the risk of musculoskeletal disorders&lt;/li&gt;&lt;li&gt;work that carries the risk of hearing loss from noise exposure&lt;/li&gt;&lt;li&gt;high-risk work that involves the operation of certain types of plant&lt;/li&gt;&lt;li&gt;scaffolding work&lt;/li&gt;&lt;li&gt;diving work.&lt;/li&gt;&lt;/ul&gt;&lt;p&gt;An organisation must eliminate the risks associated with hazardous work, so far as is reasonably practicable. If it is not reasonably practicable to eliminate the risks, the organisation must do what is reasonably practicable to minimise the risks. Risk minimisation may include the requirement to provide personal protective equipment to workers if other control measures do not provide adequate protection.&lt;/p&gt;&lt;p&gt;The harmonised WHS Acts and Regulations establish the requirement to obtain special authorisation for particularly high-risk work activities or workplaces and the use of certain hazardous plant or substances. For example:&lt;/p&gt;&lt;ul&gt;&lt;li&gt;a worker must have a high-risk work licence to erect scaffolding or operate certain types of plant (e.g. cranes and forklifts)&lt;/li&gt;&lt;li&gt;a worker must have the prescribed qualifications and experience to carry out diving work&lt;/li&gt;&lt;li&gt;the operator of a major hazard facility must apply for a licence&lt;/li&gt;&lt;li&gt;certain types of plant and plant design must be registered.&lt;/li&gt;&lt;/ul&gt;&lt;p&gt;Note: Plant and structures, electrical work, construction work, hazardous chemicals, asbestos and major hazard facilities are covered in separate sections of this module.&lt;/p&gt;&lt;p&gt;The same five-step process used for managing general risks and hazards in the workplace should also be applied to hazardous work:&lt;/p&gt;&lt;ol&gt;&lt;li&gt;hazard identification&lt;/li&gt;&lt;li&gt;risk assessment&lt;/li&gt;&lt;li&gt;risk control implementation&lt;/li&gt;&lt;li&gt;risk control maintenance&lt;/li&gt;&lt;li&gt;risk control review.&lt;/li&gt;&lt;/ol&gt;&lt;p&gt;The organisation should ensure that it complies with any requirement to implement specific control measures for particular kinds of hazardous work, as set out in the WHS Regulations. These regulations are voluminous, so careful attention is required to the specifics if the applicable chapter of the regulations is relevant to the work performed.&lt;/p&gt;&lt;p&gt;The organisation should ensure that it:&lt;/p&gt;&lt;ul&gt;&lt;li&gt;provides all the necessary information, training, instruction and supervision to enable hazardous work to be carried out as safely as possible&lt;/li&gt;&lt;li&gt;consults with workers throughout the risk management process&lt;/li&gt;&lt;li&gt;consults, cooperates and coordinates with other duty holders who share responsibility for managing the risks of hazardous work.&lt;/li&gt;&lt;/ul&gt;&lt;p&gt;The organisation should document its risk management processes as evidence of compliance with work health and safety laws and to demonstrate that officers have taken reasonable steps to:&lt;/p&gt;&lt;ul&gt;&lt;li&gt;understand the work hazards and risks&lt;/li&gt;&lt;li&gt;ensure that appropriate resources and processes are in place to manage the risks (including personal protective equipment, if required).&lt;/li&gt;&lt;/ul&gt;&lt;p&gt;Further information on managing health and safety risks is available in the&lt;/p&gt;&lt;p&gt;Model code of practice &amp;ndash; How to manage work health and safety risks, December 2011 (Safe Work Australia) . Safe Work Australia has also published guidance material on managing risks associated with particular types of hazardous work, including foundry work, forestry operations, cash-in-transit operations, high-pressure water jetting, and interaction with horses.&lt;/p&gt;</x:v>
      </x:c>
      <x:c r="K84" s="6" t="n">
        <x:f>=HYPERLINK("#K84","Guidance Notes")</x:f>
      </x:c>
      <x:c r="L84" s="6" t="str">
        <x:v>&lt;p&gt;Put in place a documented and effective process for managing the risks of hazardous work and ensuring compliance with authorisation requirements.&lt;/p&gt;</x:v>
      </x:c>
      <x:c r="M84" s="6" t="n">
        <x:f>=HYPERLINK("#M84","Remediation")</x:f>
      </x:c>
      <x:c r="N84" s="6" t="str">
        <x:v>&lt;p&gt;Under the harmonised WHS Acts, failure to have the required authorisations can attract penalties of up to $250,000 for an organisation and $50,000 for an individual (ss 41&amp;ndash;45).&lt;/p&gt;&lt;p&gt;The WHS Regulations impose a range of penalties for offences related to hazardous work, such as failing to manage the risks associated with noise exposure, hazardous manual work, work in confined spaces, falls, demolition work and diving work. The maximum penalties can be up to $30,000 for an organisation and $6,000 for an individual (Chapter 4).&lt;/p&gt;&lt;p&gt;Failure to comply with the duty to provide suitable personal protective equipment, or to provide training in how to use the equipment, can attract penalties of up to $30,000 for an organisation and $6,000 for an individual (regs 44&amp;ndash;45).&lt;/p&gt;&lt;p&gt;Lastly, a failure to comply with specific requirements in relation to hazardous work might also constitute a breach of the general duties in the WHS Acts, attracting penalties of up to $3 million for an organisation and $600,000 and/or a 5-year jail term for an individual (ss 31&amp;ndash;33).&lt;/p&gt;</x:v>
      </x:c>
      <x:c r="O84" s="6" t="n">
        <x:f>=HYPERLINK("#O84","Consequence")</x:f>
      </x:c>
      <x:c r="P84" s="6" t="str">
        <x:v>&lt;p&gt;&lt;a href="https://www.legislation.gov.au/Details/C2011A00137" target="_blank" &gt;Work Health and Safety Act 2011 (Cth)&lt;/a&gt; ss 19, 40&amp;ndash;45 (see also corresponding Acts in ACT, NSW, NT, QLD, SA and TAS)&lt;/p&gt;&lt;p&gt;&lt;a href="https://www.legislation.gov.au/Details/F2011L02664" target="_blank" &gt;Work Health and Safety Regulations 2011 (Cth)&lt;/a&gt; regs 32&amp;ndash;38, 44&amp;ndash;47, Chapter&amp;nbsp;4 (see also corresponding regulations in ACT, NSW, NT, QLD, SA and TAS)&lt;/p&gt;&lt;p&gt;How to Manage Work Health and Safety Risks Code of Practice&amp;mdash;December 2011&lt;/p&gt;&lt;p&gt;Managing the Risk of Falls at Workplaces Code of Practice&amp;mdash;March 2015&lt;/p&gt;&lt;p&gt;Hazardous Manual Tasks Code of Practice&amp;mdash;December 2011&lt;/p&gt;&lt;p&gt;Abrasive Blasting Code of Practice&amp;mdash;October 2012&lt;/p&gt;&lt;p&gt;Welding Processes Code of Practice&amp;mdash;February 2016&lt;/p&gt;&lt;p&gt;Spray Painting and Powder Coating Code of Practice&amp;mdash;March 2015&lt;/p&gt;&lt;p&gt;Managing Noise and Preventing Hearing Loss at Work Code of Practice&amp;mdash;September 2015&lt;/p&gt;&lt;p&gt;Demolition Work Code of Practice&amp;mdash;March 2015&lt;/p&gt;&lt;p&gt;Confined Spaces Code of Practice&amp;mdash;February 2014&lt;/p&gt;</x:v>
      </x:c>
      <x:c r="Q84" s="6" t="n">
        <x:f>=HYPERLINK("#Q84","Source")</x:f>
      </x:c>
      <x:c r="R84"/>
      <x:c r="S84"/>
      <x:c r="T84"/>
    </x:row>
    <x:row r="85" spans="1:20" ht="15.75" x14ac:dyDescent="0.25">
      <x:c r="A85" t="n">
        <x:v>11355</x:v>
      </x:c>
      <x:c r="B85" t="str">
        <x:v>NSW,NT,QLD,SA,TAS,ACT,COMMONWEALTH</x:v>
      </x:c>
      <x:c r="C85" t="inlineStr">
        <x:is>
          <x:t xml:space="preserve">  Subobligation</x:t>
        </x:is>
      </x:c>
      <x:c r="D85" t="inlineStr">
        <x:is>
          <x:t xml:space="preserve">  Falls Prevention</x:t>
        </x:is>
      </x:c>
      <x:c r="E85" s="31" t="n">
        <x:v>13.01</x:v>
      </x:c>
      <x:c r="F85" s="8" t="n">
        <x:f>=HYPERLINK("#Obligation()","Workplace Management—Hazardous Work")</x:f>
      </x:c>
      <x:c r="G85" s="8" t="n">
        <x:f>=HYPERLINK("#SubObligation()","Falls Prevention")</x:f>
      </x:c>
      <x:c r="H85" s="6" t="n">
        <x:f>=HYPERLINK("#H85","Tools")</x:f>
      </x:c>
      <x:c r="I85" s="27" t="str">
        <x:v>&lt;b&gt;&lt;p&gt;Falls Prevention&lt;/p&gt;Does the organisation have a structured, documented and effective process for managing the risk of falls at work?&lt;/b&gt;</x:v>
      </x:c>
      <x:c r="J85" s="6" t="str">
        <x:v>&lt;p&gt;Falls are a major cause of death and injury in Australian workplaces. An organisation must manage the risk of a person falling from one level to another at the workplace. This includes the risk of a person falling from an elevated workplace, through an opening, over an edge or through a surface.&lt;/p&gt;&lt;p&gt;If it is not reasonably practicable to eliminate the risk of falls by carrying out work on the ground or on a solid construction, the organisation must do what is reasonably practicable to minimise the risk of falls by providing and maintaining a safe system of work.&lt;/p&gt;&lt;p&gt;In minimising risk, the organisation must provide a fall prevention device (e.g. a secure fence, edge protection, working platforms or covers) if it is reasonably practicable to do so.&lt;/p&gt;&lt;p&gt;If it is not reasonably practicable to provide a fall prevention device, the organisation must provide a work positioning system that enables a worker to be positioned and safely supported while working&amp;mdash;again, if it is reasonably practicable to provide such a system.&lt;/p&gt;&lt;p&gt;If neither a fall prevention device nor a work positioning system is reasonably practicable in the circumstances, the organisation must provide a fall arrest system (e.g. an industrial safety net, a catch platform or a safety harness system), so far as is reasonably practicable.&lt;/p&gt;&lt;p&gt;The organisation may use a combination of controls to minimise risks if a single control is not sufficient to provide adequate protection.&lt;/p&gt;&lt;p&gt;If the organisation implements a fall arrest system as a control measure, it must establish emergency procedures, including rescue procedures, for that system. The organisation must test the procedures to ensure that they are effective, and provide relevant workers with suitable and adequate information, training and instruction on the emergency procedures.&lt;/p&gt;&lt;p&gt;The provisions to manage the risk of falls do not apply to stunt work, acrobatics, a theatrical performance, sporting and athletic activities, and horse riding. For these activities, an organisation must still give consideration to controlling risks through the hierarchy of controls (see below).&lt;/p&gt;&lt;p&gt;The harmonised Work Health and Safety (WHS) Regulations require an organisation to manage the risk of falls in accordance with the risk management process outlined in Part 3.1 of the regulations, including the hierarchy of controls. The organisation must first seek to eliminate the risk so far as is reasonably practicable. If it is not reasonably practicable to eliminate the risk, the organisation must do what is reasonably practicable to minimise it.&lt;/p&gt;&lt;p&gt;The organisation should undertake the following steps:&lt;/p&gt;&lt;ol&gt;&lt;li&gt;identify fall hazards&lt;/li&gt;&lt;li&gt;assess the risk of falls&lt;/li&gt;&lt;li&gt;implement control measures to eliminate or minimise the risks&lt;/li&gt;&lt;li&gt;maintain the control measures to ensure their ongoing effectiveness&lt;/li&gt;&lt;li&gt;regularly review the control measures.&lt;/li&gt;&lt;/ol&gt;&lt;p&gt;The organisation should consult workers throughout the risk management process, and draw on their knowledge, skills and experience when deciding how to eliminate or minimise the risk of falls. The organisation should also ensure that workers receive the necessary training, instruction, information and supervision to carry out work safely.&lt;/p&gt;&lt;p&gt;If necessary, the organisation should consult, cooperate and coordinate with other duty holders who share responsibility for managing the risk of falls at the workplace (e.g. the owner of a commercial building should consult with a contractor cleaning the building&amp;rsquo;s windows).&lt;/p&gt;&lt;p&gt;The organisation should inspect the workplace to identify all locations and tasks that could cause injury due to a fall. It should also review internal records and external information from regulators or industry bodies.&lt;/p&gt;&lt;p&gt;Any risk assessment should be done by a competent person and will help determine the extent of the risk of falls, whether existing control measures are effective, what action needs to be taken to control a risk of falls, and how urgently the action needs to be taken.&lt;/p&gt;&lt;p&gt;When identifying hazards and assessing risk, the organisation should check the safety and solidity of any structure on which work is to be carried out (see Tool &amp;ndash; Safe work on roofs (Safe Work Australia information sheet, January 2016)). For a structure to be safe and solid, it should have:&lt;/p&gt;&lt;ul&gt;&lt;li&gt;a surface that is structurally capable of supporting all people or things that may be located or placed on it&lt;/li&gt;&lt;li&gt;barriers around its perimeter and any openings to prevent a fall&lt;/li&gt;&lt;li&gt;an even and readily negotiable surface and gradient&lt;/li&gt;&lt;li&gt;a safe means of entry and exit.&lt;/li&gt;&lt;/ul&gt;&lt;p&gt;The organisation should have a process for ensuring that it implements the risk control measures and tested emergency procedures stipulated in the WHS Regulations. The organisation should also implement administrative controls (e.g. &amp;lsquo;no go&amp;rsquo; areas, a permit system for work in a hazardous area, safe work procedures) and provide personal protective equipment to workers, as required.&lt;/p&gt;&lt;p&gt;Once the control measures have been implemented, the organisation should ensure that their effectiveness is maintained. The process should include:&lt;/p&gt;&lt;ul&gt;&lt;li&gt;accountability to ensure procedures are followed and maintained&lt;/li&gt;&lt;li&gt;regular inspection, testing and maintenance of structures, plant and equipment to identify and rectify safety issues in a timely manner&lt;/li&gt;&lt;li&gt;refresher training.&lt;/li&gt;&lt;/ul&gt;&lt;p&gt;The organisation should regularly review the control measures to make sure they remain up to date and effective.&lt;/p&gt;&lt;p&gt;The organisation should keep a written record of its processes for managing the risk of falls to demonstrate compliance with work health and safety laws and inform subsequent risk assessments.&lt;/p&gt;&lt;p&gt;Further guidance, see Tools &amp;ndash; Model code of practice &amp;ndash; Managing the risk of falls at workplaces, March 2015 (Safe Work Australia) and Model code of practice &amp;ndash; Preventing falls in housing construction, July 2012 (Safe Work Australia).&lt;/p&gt;</x:v>
      </x:c>
      <x:c r="K85" s="6" t="n">
        <x:f>=HYPERLINK("#K85","Guidance Notes")</x:f>
      </x:c>
      <x:c r="L85" s="6" t="str">
        <x:v>&lt;p&gt;Put in place a process for managing the risk of falls at the workplace.&lt;/p&gt;</x:v>
      </x:c>
      <x:c r="M85" s="6" t="n">
        <x:f>=HYPERLINK("#M85","Remediation")</x:f>
      </x:c>
      <x:c r="N85" s="6" t="str">
        <x:v>&lt;p&gt;The WHS Regulations impose specific penalties on organisations that fail to do what is reasonably practicable to manage the risks of falls. In addition, an organisation&amp;rsquo;s primary duty of care applies to managing falls. The harmonised WHS Acts set out the penalties for breaching the primary duty of care (ss 31&amp;ndash;33).&lt;/p&gt;&lt;p&gt;The maximum penalties specifically for failing to manage the risk of falls, provide adequate protection against falls, put in place emergency procedures, test the emergency procedures and train relevant workers in the procedures amount to $30,000 for an organisation and $6,000 for an individual (regs 78&amp;ndash;80).&lt;/p&gt;</x:v>
      </x:c>
      <x:c r="O85" s="6" t="n">
        <x:f>=HYPERLINK("#O85","Consequence")</x:f>
      </x:c>
      <x:c r="P85" s="6" t="str">
        <x:v>&lt;p&gt;&lt;a href="https://www.legislation.gov.au/Details/F2011L02664" target="_blank" &gt;Work Health and Safety Regulations 2011 (Cth)&lt;/a&gt; Pt 4.4) (see also corresponding regulations in ACT, NSW, NT, QLD, SA and TAS)&lt;/p&gt;&lt;p&gt;Model Code of Practice &amp;ndash; Managing the Risk of Falls at Workplaces, March 2015 (Safe Work Australia)&lt;/p&gt;&lt;p&gt;Model Code of Practice &amp;ndash; Preventing Falls in Housing Construction, July 2012 (Safe Work Australia)&lt;/p&gt;&lt;p&gt;AS 1657&amp;ndash;2013 Fixed Platforms, Walkways, Stairways and Ladders&amp;mdash;Design, Construction and Installation&lt;/p&gt;&lt;p&gt;AS/NZS 1891 Industrial Fall-Arrest Systems and Devices (Series)&lt;/p&gt;&lt;p&gt;AS/NZS 1892 Portable Ladders (Series)&lt;/p&gt;&lt;p&gt;AS 4142.3&amp;ndash;1993 Fibre Ropes&amp;mdash;Man-Made Fibre Rope For Static Life Rescue Lines&lt;/p&gt;&lt;p&gt;AS/NZS 4488 Industrial Rope Access Systems (Series)&lt;/p&gt;&lt;p&gt;AS/NZS 1576 Scaffolding (Series)&lt;/p&gt;&lt;p&gt;AS/NZS 4576:1995 Guidelines For Scaffolding&lt;/p&gt;&lt;p&gt;AS 2550 Cranes, Hoists and Winches (Series)&lt;/p&gt;&lt;p&gt;AS 1418 Cranes (Including Hoists and (Winches) (Series)&lt;/p&gt;&lt;p&gt;AS 2359 Powered Industrial Trucks (Series)&lt;/p&gt;&lt;p&gt;AS/NZS 4994&amp;mdash;Temporary Edge Protection (Series)&lt;/p&gt;&lt;p&gt;AS/NZS 4389:1996 Safety Mesh&lt;/p&gt;</x:v>
      </x:c>
      <x:c r="Q85" s="6" t="n">
        <x:f>=HYPERLINK("#Q85","Source")</x:f>
      </x:c>
      <x:c r="R85"/>
      <x:c r="S85"/>
      <x:c r="T85"/>
    </x:row>
    <x:row r="86" spans="1:20" ht="15.75" x14ac:dyDescent="0.25">
      <x:c r="A86" t="n">
        <x:v>11383</x:v>
      </x:c>
      <x:c r="B86" t="str">
        <x:v>NSW,NT,QLD,SA,TAS,ACT,COMMONWEALTH</x:v>
      </x:c>
      <x:c r="C86" t="inlineStr">
        <x:is>
          <x:t xml:space="preserve">  Subobligation</x:t>
        </x:is>
      </x:c>
      <x:c r="D86" t="inlineStr">
        <x:is>
          <x:t xml:space="preserve">  Risks of Musculoskeletal Disorders from Hazardous Manual Tasks</x:t>
        </x:is>
      </x:c>
      <x:c r="E86" s="31" t="n">
        <x:v>13.02</x:v>
      </x:c>
      <x:c r="F86" s="8" t="n">
        <x:f>=HYPERLINK("#Obligation()","Workplace Management—Hazardous Work")</x:f>
      </x:c>
      <x:c r="G86" s="8" t="n">
        <x:f>=HYPERLINK("#SubObligation()","Risks of Musculoskeletal Disorders from Hazardous Manual Tasks")</x:f>
      </x:c>
      <x:c r="H86" s="6" t="n">
        <x:f>=HYPERLINK("#H86","Tools")</x:f>
      </x:c>
      <x:c r="I86" s="27" t="str">
        <x:v>&lt;b&gt;&lt;p&gt;Risks of Musculoskeletal Disorders from Hazardous Manual Tasks&lt;/p&gt;Does the organisation have a structured, documented and effective process for managing risks of musculoskeletal disorders associated with hazardous manual tasks?&lt;/b&gt;</x:v>
      </x:c>
      <x:c r="J86" s="6" t="str">
        <x:v>&lt;p&gt;Workers undertake a wide variety of manual tasks, from stacking shelves to computer data entry. Manual tasks may become hazardous if they involve repetitive or sustained forces, a high or sudden force, repetitive movement, sustained or awkward posture, or exposure to vibration. Hazardous manual tasks may cause musculoskeletal disorders through gradual wear and tear or sudden damage to the body. Musculoskeletal disorders are the most common workplace injuries across Australia, and include:&lt;/p&gt;&lt;ul&gt;&lt;li&gt;sprains and strains of muscles, ligaments and tendons&lt;/li&gt;&lt;li&gt;back injuries, including damage to the muscles, tendons, ligaments, spinal discs, nerves, joints and bones&lt;/li&gt;&lt;li&gt;joint and bone injuries or degeneration, including injuries to the shoulder, elbow, wrist, hip, knee, ankle, hands and feet&lt;/li&gt;&lt;li&gt;nerve injuries or compression (e.g. carpal tunnel syndrome)&lt;/li&gt;&lt;li&gt;muscular and vascular disorders as a result of hand&amp;ndash;arm vibration&lt;/li&gt;&lt;li&gt;soft tissue hernias&lt;/li&gt;&lt;li&gt;chronic pain.&lt;/li&gt;&lt;/ul&gt;&lt;p&gt;The harmonised Work Health and Safety (WHS) Regulations require organisations to manage risks of musculoskeletal disorders associated with hazardous manual tasks. When deciding on control measures to manage these risks, an organisation must take into account all relevant factors, including:&lt;/p&gt;&lt;ul&gt;&lt;li&gt;postures, movements, forces and vibration&lt;/li&gt;&lt;li&gt;the duration and frequency of the hazardous manual task&lt;/li&gt;&lt;li&gt;workplace environmental conditions that may affect the task or the worker performing it&lt;/li&gt;&lt;li&gt;the design of the work area&lt;/li&gt;&lt;li&gt;the layout of the workplace&lt;/li&gt;&lt;li&gt;the systems of work used&lt;/li&gt;&lt;li&gt;the nature, size, weight or number of persons, animals or things (e.g. tools) involved in carrying out the hazardous manual task.&lt;/li&gt;&lt;/ul&gt;&lt;p&gt;The WHS Regulations also impose the following duties on designers, manufacturers, importers and suppliers of plant and structures:&lt;/p&gt;&lt;ul&gt;&lt;li&gt;A designer must ensure that the plant or structure is designed so as to eliminate or minimise the need for any related hazardous task to be carried out, so far as is reasonably practicable, and must give people such as manufacturers adequate information about the features designed to eliminate or minimise the need for hazardous manual tasks.&lt;/li&gt;&lt;li&gt;A manufacturer must ensure that the plant or structure is manufactured so as to eliminate or minimise the need for any related hazardous task to be carried out, so far as is reasonably practicable, and must give people who acquire the plant or structure adequate information about the features that eliminate or minimise the need for hazardous manual tasks.&lt;/li&gt;&lt;li&gt;An importer or supplier of plant or structures must take all reasonable steps to obtain information about the features of the plant or structure that eliminate or minimise the need for hazardous manual tasks, and must give that information to anyone to whom they supply the plant or structure.&lt;/li&gt;&lt;/ul&gt;&lt;p&gt;The WHS Regulations require an organisation to manage the risks of musculoskeletal disorders associated with hazardous manual tasks in accordance with the risk management process outlined in Part 3.1 of the regulations, including the hierarchy of controls (see Tool &amp;ndash; Workplace vibration guidance material (Safe Work Australia, October 2015)). The organisation must first seek to eliminate the risk so far as is reasonably practicable. If it is not reasonably practicable to eliminate the risk, the organisation must do what is reasonably practicable to minimise it.&lt;/p&gt;&lt;p&gt;The organisation should undertake the following steps:&lt;/p&gt;&lt;ol&gt;&lt;li&gt;identify hazards associated with manual tasks&lt;/li&gt;&lt;li&gt;assess the risks associated with the tasks&lt;/li&gt;&lt;li&gt;implement control measures to eliminate or minimise the risks&lt;/li&gt;&lt;li&gt;maintain the control measures to ensure their ongoing effectiveness&lt;/li&gt;&lt;li&gt;regularly review the control measures.&lt;/li&gt;&lt;/ol&gt;&lt;p&gt;The organisation should consult workers throughout the risk management process, as they will often have a good understanding of what manual tasks are likely to contribute to musculoskeletal disorders, and may have ideas on how to eliminate or minimise the risks. The organisation should also ensure that workers receive the necessary training, instruction, information and supervision to perform manual tasks safely.&lt;/p&gt;&lt;p&gt;If necessary, the organisation should consult, cooperate and coordinate with other duty holders who share responsibility for managing risks of musculoskeletal disorders at the workplace. For example, the organisation should consult with a supplier who delivers heavy or bulky goods on how the goods will be handled at the workplace.&lt;/p&gt;&lt;p&gt;The organisation should inspect the workplace to identify any difficult, tiring, repetitive, awkward or dangerous manual tasks that could cause musculoskeletal disorders. The organisation should also review internal records and external information from regulators or industry bodies.&lt;/p&gt;&lt;p&gt;If necessary, the organisation should ensure that a competent person conducts a risk assessment to help determine:&lt;/p&gt;&lt;ul&gt;&lt;li&gt;the extent of the risk of musculoskeletal disorders&lt;/li&gt;&lt;li&gt;the source of risk (e.g. work area design and layout, work environment, system of work)&lt;/li&gt;&lt;li&gt;whether existing control measures are effective&lt;/li&gt;&lt;li&gt;what action needs to be taken to control a risk of musculoskeletal disorders&lt;/li&gt;&lt;li&gt;how urgently the action needs to be taken.&lt;/li&gt;&lt;/ul&gt;&lt;p&gt;The organisation should ensure that it takes into account the factors in regulation 60 (listed above) when implementing risk control measures. If it is not reasonably practicable to eliminate the risk of musculoskeletal disorders by removing a manual task, the organisation should minimise the risk by:&lt;/p&gt;&lt;ul&gt;&lt;li&gt;substituting tasks with other tasks that involve less risk (e.g. replace hand tools with power tools)&lt;/li&gt;&lt;li&gt;isolating workers from the hazard (e.g. isolating vibrating machinery from the user)&lt;/li&gt;&lt;li&gt;modifying the task through engineering controls (such as use of mechanical aids).&lt;/li&gt;&lt;/ul&gt;&lt;p&gt;If the risk remains, the organisation should implement administrative controls (e.g. rotating workers between manual tasks) and provide workers with personal protective equipment (e.g. heat-resistant gloves or shock-absorbent shoes).&lt;/p&gt;&lt;p&gt;The process for maintaining the effectiveness of risk control measures should include:&lt;/p&gt;&lt;ul&gt;&lt;li&gt;accountability to ensure procedures are followed and maintained&lt;/li&gt;&lt;li&gt;regular inspection, testing and maintenance of plant to identify and rectify hazards in a timely manner&lt;/li&gt;&lt;li&gt;ongoing training and supervision&lt;/li&gt;&lt;li&gt;up-to-date hazard information&amp;mdash;check availability of new plant or processes to reduce risk of musculoskeletal disorders&lt;/li&gt;&lt;li&gt;regular review and consultation (such as staff surveys to measure task discomfort levels).&lt;/li&gt;&lt;/ul&gt;&lt;p&gt;The organisation should keep a written record of its processes for managing the risk of musculoskeletal disorders associated with hazardous manual tasks to demonstrate compliance with work health and safety laws and inform subsequent risk assessments.&lt;/p&gt;&lt;p&gt;Further guidance, see Tools &amp;mdash; Model code of practice &amp;mdash; Hazardous manual tasks, December 2011 (Safe Work Australia). The code&amp;rsquo;s appendixes contain a number of useful tools for managing risks associated with manual tasks.&lt;/p&gt;</x:v>
      </x:c>
      <x:c r="K86" s="6" t="n">
        <x:f>=HYPERLINK("#K86","Guidance Notes")</x:f>
      </x:c>
      <x:c r="L86" s="6" t="str">
        <x:v>&lt;p&gt;Put in place a documented and effective process for managing risks of musculoskeletal disorders associated with hazardous manual tasks.&lt;/p&gt;</x:v>
      </x:c>
      <x:c r="M86" s="6" t="n">
        <x:f>=HYPERLINK("#M86","Remediation")</x:f>
      </x:c>
      <x:c r="N86" s="6" t="str">
        <x:v>&lt;p&gt;The WHS Regulations do not impose any specific penalties on organisations that fail to do what is reasonably practicable to manage the risks of musculoskeletal disorders associated with hazardous manual tasks; however, an organisation&amp;rsquo;s primary duty of care applies to hazardous manual tasks. The harmonised WHS Acts set out the penalties for breaching the primary duty of care (ss 31&amp;ndash;33).&lt;/p&gt;&lt;p&gt;Penalties apply if designers, manufacturers, importers or suppliers of plant or structures do not meet their duties relating to hazardous manual tasks (reg 61). The maximum penalties are $30,000 for an organisation and $6,000 for an individual.&lt;/p&gt;</x:v>
      </x:c>
      <x:c r="O86" s="6" t="n">
        <x:f>=HYPERLINK("#O86","Consequence")</x:f>
      </x:c>
      <x:c r="P86" s="6" t="str">
        <x:v>&lt;p&gt;&lt;a href="https://www.legislation.gov.au/Details/F2011L02664" target="_blank" &gt;Work Health and Safety Regulations 2011 (Cth)&lt;/a&gt; Pt 4.2 (see also corresponding regulations in ACT, NSW, NT, QLD, SA and TAS)&lt;/p&gt;&lt;p&gt;Model Code of Practice &amp;mdash; Hazardous Manual Tasks, December 2011 (Safe Work Australia)&lt;/p&gt;</x:v>
      </x:c>
      <x:c r="Q86" s="6" t="n">
        <x:f>=HYPERLINK("#Q86","Source")</x:f>
      </x:c>
      <x:c r="R86"/>
      <x:c r="S86"/>
      <x:c r="T86"/>
    </x:row>
    <x:row r="87" spans="1:20" ht="15.75" x14ac:dyDescent="0.25">
      <x:c r="A87" t="n">
        <x:v>11388</x:v>
      </x:c>
      <x:c r="B87" t="str">
        <x:v>NSW,NT,QLD,SA,TAS,ACT,COMMONWEALTH</x:v>
      </x:c>
      <x:c r="C87" t="inlineStr">
        <x:is>
          <x:t xml:space="preserve">  Subobligation</x:t>
        </x:is>
      </x:c>
      <x:c r="D87" t="inlineStr">
        <x:is>
          <x:t xml:space="preserve">  Noise Management</x:t>
        </x:is>
      </x:c>
      <x:c r="E87" s="31" t="n">
        <x:v>13.03</x:v>
      </x:c>
      <x:c r="F87" s="8" t="n">
        <x:f>=HYPERLINK("#Obligation()","Workplace Management—Hazardous Work")</x:f>
      </x:c>
      <x:c r="G87" s="8" t="n">
        <x:f>=HYPERLINK("#SubObligation()","Noise Management")</x:f>
      </x:c>
      <x:c r="H87" s="6" t="n">
        <x:f>=HYPERLINK("#H87","Tools")</x:f>
      </x:c>
      <x:c r="I87" s="27" t="str">
        <x:v>&lt;b&gt;&lt;p&gt;Noise Management&lt;/p&gt;Does the organisation manage the risk of hearing loss associated with noise at the workplace, and provide audiometric testing for workers where required?&lt;/b&gt;</x:v>
      </x:c>
      <x:c r="J87" s="6" t="str">
        <x:v>&lt;p&gt;Exposure to noise at work can lead to gradual or immediate hearing loss if the risks are not properly managed. The harmonised Work Health and Safety (WHS) Regulations require an organisation to manage risks to health and safety relating to hearing loss associated with noise.&lt;/p&gt;&lt;p&gt;The organisation must ensure that the noise a worker is exposed to at work does not exceed the exposure standard for noise. The WHS Regulations define the exposure standard for noise as:&lt;/p&gt;&lt;ul&gt;&lt;li&gt;an eight-hour equivalent continuous A-weighted sound pressure level of 85 decibels&amp;mdash;applies to gradual hearing loss over a period of time&lt;/li&gt;&lt;li&gt;a C-weighted peak sound pressure level of 140 decibels&amp;mdash;applies to noises so loud that they cause immediate hearing damage.&lt;/li&gt;&lt;/ul&gt;&lt;p&gt;In all of the harmonised jurisdictions, except Queensland, an organisation must provide audiometric testing for a worker if the worker is frequently required to use personal protective equipment for protection against hearing loss associated with noise that exceeds the exposure standard for noise. The audiometric testing must be provided within 3 months of the worker starting the work and at least every 2 years.&lt;/p&gt;&lt;p&gt;The WHS Regulations also impose the following noise-related duties on designers, manufacturers, importers and suppliers of plant:&lt;/p&gt;&lt;ul&gt;&lt;li&gt;A designer must ensure that the plant is designed so that its noise emission is as low as is reasonably practicable, and must give people such as manufacturers adequate information about the plant&amp;rsquo;s noise emission.&lt;/li&gt;&lt;li&gt;A manufacturer must ensure that the plant is manufactured so that its noise emission is as low as is reasonably practicable, and must give customers adequate information about the plant&amp;rsquo;s noise emission.&lt;/li&gt;&lt;/ul&gt;&lt;p&gt;An importer or supplier of plant must take all reasonable steps to obtain information about the plant&amp;rsquo;s noise emission, and give that information to anyone who acquires the plant.&lt;/p&gt;&lt;p&gt;The WHS Regulations require an organisation to manage the risk of hearing loss in accordance with the risk management process outlined in Part 3.1 of the regulations, including the hierarchy of controls. The organisation must first seek to eliminate the risk of hearing loss associated with noise, so far as is reasonably practicable. If it is not reasonably practicable to eliminate the risk, the organisation must do what is reasonably practicable to minimise it.&lt;/p&gt;&lt;p&gt;The organisation should undertake the following steps:&lt;/p&gt;&lt;ol&gt;&lt;li&gt;identify hazards&amp;mdash;that is, sources of noise that may result in hearing loss&lt;/li&gt;&lt;li&gt;assess the risks associated with the noise&lt;/li&gt;&lt;li&gt;implement control measures to eliminate or minimise the risks&lt;/li&gt;&lt;li&gt;maintain the control measures to ensure their ongoing effectiveness&lt;/li&gt;&lt;li&gt;regularly review the control measures.&lt;/li&gt;&lt;/ol&gt;&lt;p&gt;The organisation should consult workers throughout the risk management process, as they will usually have a good understanding of what plant or work processes generate high levels of noise, and may have ideas on how to eliminate or minimise the risk of hearing loss at work.&lt;/p&gt;&lt;p&gt;If necessary, the organisation should also consult, cooperate and coordinate with other duty holders who share responsibility for managing noise-related risk at the workplace. For example, a labour-hire business should consult with the host business about noise levels at the workplace and cooperate and coordinate to ensure that appropriate risk control measures are in place to protect workers against hearing loss.&lt;/p&gt;&lt;p&gt;When identifying hazards, the organisation should inspect the workplace to identify noise-producing plant and processes, review the manufacturer&amp;rsquo;s information on noise emissions from plant at the workplace, and review internal records.&lt;/p&gt;&lt;p&gt;The organisation should carry out a noise assessment at the workplace, if required. A noise assessment report should be prepared by a competent person and will help to:&lt;/p&gt;&lt;ul&gt;&lt;li&gt;identify which workers are at risk of hearing loss&lt;/li&gt;&lt;li&gt;determine what noise sources and work processes are causing that risk&lt;/li&gt;&lt;li&gt;identify what kind of noise control measures could be implemented&lt;/li&gt;&lt;li&gt;check the effectiveness of existing control measures.&lt;/li&gt;&lt;/ul&gt;&lt;p&gt;If it is not practicable for the organisation to eliminate a noise source, it should implement control measures to keep the noise level to a minimum by:&lt;/p&gt;&lt;ul&gt;&lt;li&gt;replacing noisy plant or work processes with quieter options&lt;/li&gt;&lt;li&gt;using engineering controls to modify plant in a way that does not create new hazards&lt;/li&gt;&lt;li&gt;isolating the noise source from people by using distance, barriers, enclosures and sound-absorbing surfaces.&lt;/li&gt;&lt;/ul&gt;&lt;p&gt;If further controls are needed, the organisation should implement administrative controls that reduce the time workers are exposed to noise, and ensure that workers use personal protective equipment such as earmuffs or earplugs. The organisation should have in place a procedure to ensure that workers are provided with audiometric testing within 3 months of starting work, and that tests are repeated at least every 2 years (or as considered appropriate in Queensland).&lt;/p&gt;&lt;p&gt;The process for maintaining the effectiveness of risk control measures should include:&lt;/p&gt;&lt;ul&gt;&lt;li&gt;accountability to ensure procedures are followed and maintained&lt;/li&gt;&lt;li&gt;regular inspection, testing and maintenance of plant to identify and rectify sources of noise in a timely manner&lt;/li&gt;&lt;li&gt;ongoing training and supervision&lt;/li&gt;&lt;li&gt;up-to-date hazard information&amp;mdash;check availability of new plant or processes to reduce noise&lt;/li&gt;&lt;li&gt;regular review and consultation.&lt;/li&gt;&lt;/ul&gt;&lt;p&gt;The organisation should ensure that workers and other people are able to hear warning signals, such as reversing alarms on mobile plant, above the ambient noise at the workplace.&lt;/p&gt;&lt;p&gt;The organisation should keep a written record of its processes for managing the risk of hearing loss from noise to demonstrate compliance with work health and safety laws and inform subsequent risk assessments.&lt;/p&gt;&lt;p&gt;Further guidance, see Tool &amp;mdash; Model code of practice &amp;mdash; Managing noise and preventing hearing loss at work, September 2015 (Safe Work Australia).&lt;/p&gt;</x:v>
      </x:c>
      <x:c r="K87" s="6" t="n">
        <x:f>=HYPERLINK("#K87","Guidance Notes")</x:f>
      </x:c>
      <x:c r="L87" s="6" t="str">
        <x:v>&lt;p&gt;Put in place a process for managing the risk of hearing loss from workers&amp;rsquo; exposure to noise, and for providing audiometric testing for workers where required.&lt;/p&gt;</x:v>
      </x:c>
      <x:c r="M87" s="6" t="n">
        <x:f>=HYPERLINK("#M87","Remediation")</x:f>
      </x:c>
      <x:c r="N87" s="6" t="str">
        <x:v>&lt;p&gt;Penalties apply for not managing the risk of hearing loss from noise (reg 57) and not providing audiometric testing where required (reg 58). Penalties also apply if designers, manufacturers, importers or suppliers of plant do not meet their duties relating to noise emissions (reg 59). For all of these offences, the maximum penalties are $30,000 for an organisation and $6,000 for an individual.&lt;/p&gt;</x:v>
      </x:c>
      <x:c r="O87" s="6" t="n">
        <x:f>=HYPERLINK("#O87","Consequence")</x:f>
      </x:c>
      <x:c r="P87" s="6" t="str">
        <x:v>&lt;p&gt;&lt;a href="https://www.legislation.gov.au/Details/F2011L02664" target="_blank" &gt;Work Health and Safety Regulations 2011 (Cth)&lt;/a&gt; (Part 4.1) (see also corresponding regulations in ACT, NSW, NT, QLD, SA and TAS)&lt;/p&gt;&lt;p&gt;&lt;a href="http://www.safeworkaustralia.gov.au/sites/swa/about/publications/pages/managing-noise-preventing-hearing-loss-cop" target="_blank" &gt;Model Code of Practice &amp;mdash; Managing Noise and Preventing Hearing Loss at Work, September 2015 (Safe Work Australia)&lt;/a&gt;&lt;/p&gt;&lt;p&gt;AS/NZS 1269.1:2005 Occupational Noise Management&amp;mdash;Measurement and Assessment of Noise Emission and Exposure&lt;/p&gt;&lt;p&gt;AS/NZS 1269.3:2005 Occupational Noise Management&amp;mdash;Hearing Protector Program&lt;/p&gt;&lt;p&gt;AS/NZS 1269.4:2005 Occupational Noise Management&amp;mdash;Auditory Assessment&lt;/p&gt;&lt;p&gt;AS/NZS 1270:2002 Acoustics&amp;mdash;Hearing Protectors (Standard Reconfirmed in 2014)&lt;/p&gt;&lt;p&gt;ISO 7731:2003 Ergonomics&amp;mdash;Danger Signals For Public and Work Areas&amp;mdash;Auditory Danger Signals&lt;/p&gt;&lt;p&gt;ISO 9533:2010 Earth-Moving Machinery&amp;mdash;Machine-Mounted Audible Travel Alarms and Forward Horns&amp;mdash;Test Methods And Performance Criteria&lt;/p&gt;</x:v>
      </x:c>
      <x:c r="Q87" s="6" t="n">
        <x:f>=HYPERLINK("#Q87","Source")</x:f>
      </x:c>
      <x:c r="R87"/>
      <x:c r="S87"/>
      <x:c r="T87"/>
    </x:row>
    <x:row r="88" spans="1:20" ht="15.75" x14ac:dyDescent="0.25">
      <x:c r="A88" t="n">
        <x:v>11404</x:v>
      </x:c>
      <x:c r="B88" t="str">
        <x:v>NSW,NT,QLD,SA,TAS,ACT,COMMONWEALTH</x:v>
      </x:c>
      <x:c r="C88" t="inlineStr">
        <x:is>
          <x:t xml:space="preserve">  Subobligation</x:t>
        </x:is>
      </x:c>
      <x:c r="D88" t="inlineStr">
        <x:is>
          <x:t xml:space="preserve">  Confined Spaces</x:t>
        </x:is>
      </x:c>
      <x:c r="E88" s="31" t="n">
        <x:v>13.04</x:v>
      </x:c>
      <x:c r="F88" s="8" t="n">
        <x:f>=HYPERLINK("#Obligation()","Workplace Management—Hazardous Work")</x:f>
      </x:c>
      <x:c r="G88" s="8" t="n">
        <x:f>=HYPERLINK("#SubObligation()","Confined Spaces")</x:f>
      </x:c>
      <x:c r="H88" s="6" t="n">
        <x:f>=HYPERLINK("#H88","Tools")</x:f>
      </x:c>
      <x:c r="I88" s="27" t="str">
        <x:v>&lt;b&gt;&lt;p&gt;Confined Spaces&lt;/p&gt;Does the organisation have a structured, documented and effective process for managing the risks of working in confined spaces?&lt;/b&gt;</x:v>
      </x:c>
      <x:c r="J88" s="6" t="str">
        <x:v>&lt;p&gt;A confined space means an enclosed or partially enclosed space that is not designed or intended primarily to be occupied by a person and is likely to be a risk to health and safety from:&lt;/p&gt;&lt;ul&gt;&lt;li&gt;an atmosphere that does not have a safe oxygen level&lt;/li&gt;&lt;li&gt;contaminants, including airborne gases, vapours and dusts, that may cause injury from fire or explosion&lt;/li&gt;&lt;li&gt;harmful concentrations of any airborne contaminants&lt;/li&gt;&lt;li&gt;engulfment (being swallowed up in or immersed by material, which may result in asphyxiation).&lt;/li&gt;&lt;li&gt;The confined space provisions in the harmonised Work Health and Safety (WHS) Regulations apply to confined spaces that might be accessed deliberately or unintentionally. They do not apply to mine shafts or the workings of a mine. Appendix A of the Model code of practice &amp;ndash; Confined Spaces, February 2014 (Safe Work Australia) provides examples to illustrate how a confined space is determined. See Tool &amp;ndash; Model code of practice &amp;ndash; Confined Spaces, February 2014 (Safe Work Australia).&lt;/li&gt;&lt;/ul&gt;&lt;p&gt;The risks of working in confined spaces include:&lt;/p&gt;&lt;ul&gt;&lt;li&gt;loss of consciousness, impairment, injury or death due to the immediate effects of airborne contaminants&lt;/li&gt;&lt;li&gt;fire or explosion from the ignition of flammable contaminants&lt;/li&gt;&lt;li&gt;difficulty rescuing and treating an injured or unconscious person&lt;/li&gt;&lt;li&gt;asphyxiation resulting from oxygen deficiency or immersion in a free-flowing material, such as liquids, grain, sand or fertiliser.&lt;/li&gt;&lt;/ul&gt;&lt;p&gt;&lt;strong&gt;Risk management&lt;/strong&gt;&lt;/p&gt;&lt;p&gt;An organisation must ensure that no worker enters a confined space before the organisation has complied with all its work health and safety duties in relation to the space. The organisation has an overarching duty to manage the health and safety risks associated with a confined space, including risks associated with entering the space either intentionally or inadvertently, and working in, on or in the vicinity of the space. A competent person must:&lt;/p&gt;&lt;ul&gt;&lt;li&gt;conduct a risk assessment and record the assessment in writing&amp;mdash;and later review and, as necessary, revise the risk assessment to reflect any review and revision of control measures for the confined space&lt;/li&gt;&lt;li&gt;issue a written confined space entry permit with the required content before an organisation can direct a worker to enter a confined space (a sample permit is provided in Appendix B of the Model code of practice &amp;ndash; Confined Spaces, February 2014 (Safe Work Australia)). See Tool &amp;ndash; Model code of practice &amp;ndash; Confined Spaces, February 2014 (Safe Work Australia).&lt;/li&gt;&lt;/ul&gt;&lt;p&gt;Once the work specified on a confined space entry permit has been completed, the organisation must ensure that all workers leave the confined space. A competent person must acknowledge the completion of the work and the workers&amp;rsquo; exit from the space on the entry permit.&lt;/p&gt;&lt;p&gt;In addition, an organisation must ensure that:&lt;/p&gt;&lt;ul&gt;&lt;li&gt;the required signage is erected immediately before work in a confined space begins, and while the work is being carried out and completed (barriers should also be used to prevent unauthorised or inadvertent entry)&lt;/li&gt;&lt;li&gt;continuous outside communication is maintained with a worker inside the confined space, and a standby person in the vicinity monitors the conditions in the space and, if practicable, observes the work.&lt;/li&gt;&lt;/ul&gt;&lt;p&gt;The WHS Regulations require an organisation to implement the following specific control measures for work in confined spaces:&lt;/p&gt;&lt;ul&gt;&lt;li&gt;eliminate or minimise, so far as is reasonably practicable, risks associated with plant or services connected to the confined space (specifically, the risks of the plant or services introducing a substance or condition into the space, or becoming activated or energised)&lt;/li&gt;&lt;li&gt;purge or ventilate any contaminant in the atmosphere of the confined space, so far as is reasonably practicable (restrictions apply to use of pure oxygen and gas mixtures with oxygen for purging or ventilating)&lt;/li&gt;&lt;li&gt;provide a respirator to a worker if not reasonably practicable to ensure that the confined space has a safe oxygen level&lt;/li&gt;&lt;li&gt;ensure, so far as is reasonably practicable, that the concentration of any flammable gas, vapour or mist in the confined space is less than 5% of its lower explosive limit (restrictions apply if the level is equal to or greater than 5%)&lt;/li&gt;&lt;li&gt;ensure that an ignition source is not introduced into a confined space if there is a possibility of the ignition source causing a fire or explosion.&lt;/li&gt;&lt;/ul&gt;&lt;p&gt;&lt;strong&gt;First aid and emergencies&lt;/strong&gt;&lt;/p&gt;&lt;p&gt;An organisation must establish first aid and rescue procedures for an emergency in a confined space, and practise the procedures to ensure that they are efficient and effective. The procedures must be initiated as soon as practicable in an emergency (see Tool &amp;ndash; Emergency Plans fact sheet, February 2012 (Safe Work Australia)). The organisation must ensure that:&lt;/p&gt;&lt;ul&gt;&lt;li&gt;the entry and exit openings of the confined space are large enough to allow emergency access, and are not obstructed&lt;/li&gt;&lt;li&gt;plant and equipment provided for first aid or emergency rescue are maintained in good working order&lt;/li&gt;&lt;li&gt;a respirator is provided to a first aider or rescuer in an emergency if the confined space does not have a safe oxygen level or has a harmful concentration of an airborne contaminant&lt;/li&gt;&lt;li&gt;suitable personal protective equipment is available for a worker to use in an emergency where an engulfment has occurred in the confined space, or there is a serious risk of engulfment occurring.&lt;/li&gt;&lt;/ul&gt;&lt;p&gt;&lt;strong&gt;Training&lt;/strong&gt;&lt;/p&gt;&lt;p&gt;The organisation must provide suitable and adequate information, training and instruction to relevant workers (including supervisors) about:&lt;/p&gt;&lt;ul&gt;&lt;li&gt;the nature of the hazards relating to a confined space&lt;/li&gt;&lt;li&gt;risk control measures for those hazards&lt;/li&gt;&lt;li&gt;the selection, fit, use, wearing, testing, storage and maintenance of any personal protective equipment&lt;/li&gt;&lt;li&gt;the contents of any confined space entry permit&lt;/li&gt;&lt;li&gt;emergency procedures.&lt;/li&gt;&lt;/ul&gt;&lt;p&gt;&lt;strong&gt;Other duties&lt;/strong&gt;&lt;/p&gt;&lt;p&gt;If an organisation designs, manufactures, imports, supplies, installs or constructs plant or a structure that includes a confined space, it must eliminate or minimise the need to enter the space or the risk of a person inadvertently entering the space, so far as is reasonably practicable. The space must be designed with a safe means of entry and exit, and the health and safety risks to anyone who enters the space must be eliminated or minimised, so far as is reasonably practicable.&lt;/p&gt;&lt;p&gt;The WHS Regulations require an organisation to manage the risks of working in a confined space in accordance with the risk management process outlined in Part 3.1 of the regulations, including the hierarchy of controls. The organisation must first seek to eliminate the risk, so far as is reasonably practicable (for example, by using a remote camera instead of entering a confined space). If it is not reasonably practicable to eliminate the risk, the organisation must do what is reasonably practicable to minimise it.&lt;/p&gt;&lt;p&gt;The organisation should undertake the following steps:&lt;/p&gt;&lt;ol&gt;&lt;li&gt;identify hazards associated with work in the confined space&lt;/li&gt;&lt;li&gt;prepare a written risk assessment&lt;/li&gt;&lt;li&gt;implement control measures to eliminate or minimise the risks&lt;/li&gt;&lt;li&gt;maintain the control measures to ensure their ongoing effectiveness&lt;/li&gt;&lt;li&gt;regularly review the control measures.&lt;/li&gt;&lt;/ol&gt;&lt;p&gt;The organisation should have a process for ensuring that its risk management process complies with all legal requirements relating to work in confined spaces, and that individuals in the organisation are accountable for making sure that all safety procedures are followed and maintained.&lt;/p&gt;&lt;p&gt;The organisation should consult workers throughout the risk management process, and ensure that they have an opportunity to contribute ideas and feedback before decisions are taken. If necessary, the organisation should also consult, cooperate and coordinate with other duty holders who share responsibility for managing risks associated with work in the confined space (for example, the owner of a structure with a confined space should consult with a contractor carrying out work in the space).&lt;/p&gt;&lt;p&gt;When identifying hazards, the organisation should inspect the confined space and the surrounding area and consult workers and stakeholders (for example, about substances stored in a confined space). The organisation should also review internal records and external information from regulators or industry bodies.&lt;/p&gt;&lt;p&gt;When conducting the mandatory risk assessment, the organisation must take into account all relevant matters, including:&lt;/p&gt;&lt;ul&gt;&lt;li&gt;whether the work can be carried out without the need to enter the confined space&lt;/li&gt;&lt;li&gt;the nature of the confined space (e.g. entry and exit, atmosphere, integrity, temperature, lighting)&lt;/li&gt;&lt;li&gt;any change in the concentration of oxygen or airborne contaminants in the confined space&lt;/li&gt;&lt;li&gt;the work to be carried out in the confined space, the range of work methods that are available, and the proposed work method&lt;/li&gt;&lt;li&gt;the required emergency procedures.&lt;/li&gt;&lt;/ul&gt;&lt;p&gt;The risk assessment should determine whether existing control measures are effective, what action needs to be taken to control risks, and how urgently the action needs to be taken.&lt;/p&gt;&lt;p&gt;The organisation should ensure that it has a process for maintaining the effectiveness of the control measures, including regular inspection, testing and maintenance and refresher training. It should regularly review the control measures to make sure they remain up to date and effective.&lt;/p&gt;&lt;p&gt;The organisation should ensure that it documents its risk management process for work in a confined space to demonstrate compliance with work health and safety laws and inform subsequent risk assessments. The organisation should have a procedure for ensuring that the following records are kept for the mandatory period:&lt;/p&gt;&lt;ul&gt;&lt;li&gt;confined space training records for 2 years&lt;/li&gt;&lt;li&gt;copy of a confined space risk assessment for at least 28 days after the work is completed, or for 2 years if a notifiable incident occurs in the confined space (the copy must be available to any relevant worker, or for inspection under the relevant WHS Act)&lt;/li&gt;&lt;li&gt;copy of a confined space entry permit until the work is completed, or for 2 years if a notifiable incident occurs in the confined space (the copy must be available to any relevant worker, or for inspection under the relevant WHS Act).&lt;/li&gt;&lt;/ul&gt;&lt;p&gt;Further guidance, see Tool &amp;ndash; Model code of practice &amp;ndash; Confined Spaces, February 2014 (Safe Work Australia).&lt;/p&gt;</x:v>
      </x:c>
      <x:c r="K88" s="6" t="n">
        <x:f>=HYPERLINK("#K88","Guidance Notes")</x:f>
      </x:c>
      <x:c r="L88" s="6" t="str">
        <x:v>&lt;p&gt;Put in place a documented and effective process for managing risks of working in confined spaces.&lt;/p&gt;</x:v>
      </x:c>
      <x:c r="M88" s="6" t="n">
        <x:f>=HYPERLINK("#M88","Remediation")</x:f>
      </x:c>
      <x:c r="N88" s="6" t="str">
        <x:v>&lt;p&gt;An organisation is subject to a range of penalties if it does not meet its specific health and safety duties relating to confined spaces. The maximum penalties range from $6,000 to $30,000 for an organisation and $1,250 to $6,000 for an individual (regs 65&amp;ndash;77).&lt;/p&gt;&lt;p&gt;Penalties also apply if designers, manufacturers, importers or suppliers of plant or structures do not meet their duties relating to confined spaces (reg 64). The maximum penalties are $30,000 for an organisation and $6,000 for an individual.&lt;/p&gt;</x:v>
      </x:c>
      <x:c r="O88" s="6" t="n">
        <x:f>=HYPERLINK("#O88","Consequence")</x:f>
      </x:c>
      <x:c r="P88" s="6" t="str">
        <x:v>&lt;p&gt;&lt;a href="https://www.legislation.gov.au/Details/F2011L02664" target="_blank" &gt;Work Health and Safety Regulations 2011 (Cth)&lt;/a&gt; (Part 4.3) (see also corresponding regulations in ACT, NSW, NT, QLD, SA and TAS)&lt;/p&gt;&lt;p&gt;&lt;a href="http://www.safeworkaustralia.gov.au/sites/swa/about/publications/pages/confined-spaces-cop" target="_blank" &gt;Model Code of Practice &amp;ndash; Confined Spaces, February 2014 (Safe Work Australia)&lt;/a&gt;&lt;/p&gt;</x:v>
      </x:c>
      <x:c r="Q88" s="6" t="n">
        <x:f>=HYPERLINK("#Q88","Source")</x:f>
      </x:c>
      <x:c r="R88"/>
      <x:c r="S88"/>
      <x:c r="T88"/>
    </x:row>
    <x:row r="89" spans="1:20" ht="15.75" x14ac:dyDescent="0.25">
      <x:c r="A89" t="n">
        <x:v>11417</x:v>
      </x:c>
      <x:c r="B89" t="str">
        <x:v>NSW,NT,QLD,SA,TAS,ACT,COMMONWEALTH</x:v>
      </x:c>
      <x:c r="C89" t="inlineStr">
        <x:is>
          <x:t xml:space="preserve">  Subobligation</x:t>
        </x:is>
      </x:c>
      <x:c r="D89" t="inlineStr">
        <x:is>
          <x:t xml:space="preserve">  Personal Protective Equipment</x:t>
        </x:is>
      </x:c>
      <x:c r="E89" s="31" t="n">
        <x:v>13.05</x:v>
      </x:c>
      <x:c r="F89" s="8" t="n">
        <x:f>=HYPERLINK("#Obligation()","Workplace Management—Hazardous Work")</x:f>
      </x:c>
      <x:c r="G89" s="8" t="n">
        <x:f>=HYPERLINK("#SubObligation()","Personal Protective Equipment")</x:f>
      </x:c>
      <x:c r="H89" s="6" t="n">
        <x:f>=HYPERLINK("#H89","Tools")</x:f>
      </x:c>
      <x:c r="I89" s="27" t="str">
        <x:v>&lt;b&gt;&lt;p&gt;Personal Protective Equipment&lt;/p&gt;Does the organisation provide, where necessary, suitable personal protective equipment to workers and others at the workplace, and ensure that the equipment is properly stored and maintained?&lt;/b&gt;</x:v>
      </x:c>
      <x:c r="J89" s="6" t="str">
        <x:v>&lt;p&gt;Personal protective equipment is anything used or worn by a person to minimise a risk to health or safety. It includes items such as boots, hard hats, goggles, earplugs, respirators, face masks, gloves, high-visibility clothing and safety harnesses.&lt;/p&gt;&lt;p&gt;The harmonised Work Health and Safety (WHS) Regulations require an organisation to ensure that workers and other people receive and use personal protective equipment to minimise risk if it is not reasonably practicable to eliminate the risk, and if sufficient protection cannot be reasonably achieved through other control measures (i.e. substituting a hazard with something less risky, isolating the hazard from people, and implementing engineering and administrative controls). The organisation may combine the use of personal protective equipment with other control measures to minimise risks, so far as is reasonably practicable.&lt;/p&gt;&lt;p&gt;Where personal protective equipment is to be used or worn as a control measure, an organisation must provide the equipment to workers at the workplace, unless another organisation has already provided the equipment to the workers (e.g. equipment provided by a labour-hire company).&lt;/p&gt;&lt;p&gt;An organisation must ensure that the personal protective equipment is:&lt;/p&gt;&lt;ul&gt;&lt;li&gt;suited to the nature of the work and any hazard associated with the work&lt;/li&gt;&lt;li&gt;a suitable size and fit and reasonably comfortable for the worker who uses or wears it&lt;/li&gt;&lt;li&gt;maintained, repaired or replaced so that it is clean and hygienic, in good working order, and remains effective in minimising risk&lt;/li&gt;&lt;li&gt;used or worn by the worker, so far is reasonably practicable.&lt;/li&gt;&lt;/ul&gt;&lt;p&gt;An organisation that directs the work must provide information, training and instruction to workers about the proper use, storage and maintenance of the personal protective equipment. An organisation must not charge or impose a levy on a worker for the provision of personal protective equipment.&lt;/p&gt;&lt;p&gt;An organisation must also ensure, so far as is reasonably practicable, that other people at the workplace (such as customers or visitors) use or wear appropriate personal protective equipment while at the workplace.&lt;/p&gt;&lt;p&gt;Both workers and other people at the workplace are responsible for ensuring that they use personal protective equipment in line with the information, training or instruction that they have received. A worker must not intentionally misuse or damage the equipment. If a worker becomes aware of any damage or defects, or any need to clean or decontaminate the equipment, he or she must inform the organisation.&lt;/p&gt;&lt;p&gt;The WHS Regulations include specific provisions for the use of personal protective equipment in a confined space, electrical work, and lead- and asbestos-related work.&lt;/p&gt;&lt;p&gt;The organisation should conduct a systematic risk management process to determine what, if any, personal protective equipment should be provided to workers and others at the workplace. The organisation&amp;rsquo;s risk management process should be in accordance with Part 3.1 of the WHS Regulations (including the hierarchy of control measures) and the Model code of practice &amp;ndash; How to manage work health and safety risks, December 2011 (Safe Work Australia).&lt;/p&gt;&lt;p&gt;Before making any decisions on personal protective equipment, the organisation should consult with workers about the hazards associated with the work, options for eliminating risk, the type of equipment that would best minimise risk, and possible combinations of control measures to minimise risk. The organisation should maintain ongoing consultation with workers about their use of the equipment and its effectiveness in minimising risk.&lt;/p&gt;&lt;p&gt;The organisation should ensure that workers understand their duties in relation to personal protective equipment, and should provide readily understandable information, training and instruction to workers about how to use or wear the equipment, and how to maintain and store it. The organisation should nominate a contact person (e.g. a supervisor) to whom workers can report damage, defects or other relevant information about the equipment. The organisation should undertake routine inspections of the workplace to ensure that workers and others are using or wearing personal protective equipment as instructed.&lt;/p&gt;&lt;p&gt;The organisation should have a maintenance program to ensure that all personal protective equipment is in good working order, including a procedure for quickly replacing or repairing damaged or defective equipment.&lt;/p&gt;&lt;p&gt;Where necessary, the organisation should consult, cooperate and coordinate with other duty holders to ensure that personal protective equipment is provided to workers, and is used, maintained and stored properly.&lt;/p&gt;&lt;p&gt;The organisation should ensure that any people at the workplace who are not workers (e.g. visitors or customers) are provided with personal protective equipment where necessary, and that the equipment is used or worn as required. The organisation should also ensure that it provides information, training or instruction to people other than workers about wearing personal protective equipment while at the workplace.&lt;/p&gt;&lt;p&gt;Where practicable, the organisation should keep an inventory of its personal protective equipment, and a record of what equipment is provided to particular individuals. The organisation may also keep a record of the condition of particular items of equipment. This documentation will help demonstrate compliance with work health and safety laws and inform subsequent risk assessments.&lt;/p&gt;</x:v>
      </x:c>
      <x:c r="K89" s="6" t="n">
        <x:f>=HYPERLINK("#K89","Guidance Notes")</x:f>
      </x:c>
      <x:c r="L89" s="6" t="str">
        <x:v>&lt;p&gt;Put in place procedures to ensure that suitable personal protective equipment is provided and used where required, and that the equipment is properly maintained and stored.&lt;/p&gt;</x:v>
      </x:c>
      <x:c r="M89" s="6" t="n">
        <x:f>=HYPERLINK("#M89","Remediation")</x:f>
      </x:c>
      <x:c r="N89" s="6" t="str">
        <x:v>&lt;p&gt;Penalties apply for not providing personal protective equipment to workers and others at the workplace, and for not ensuring the suitability, maintenance and use of the equipment (regs 44&amp;ndash;45). Penalties also apply for not providing adequate information, training and instruction to workers about the use, storage and maintenance of personal protective equipment (reg 44). The maximum penalties are $30,000 for an organisation and $6,000 for an individual.&lt;/p&gt;&lt;p&gt;A worker or a person other than a worker may also be liable for penalties if he or she does not use or wear personal protective equipment as instructed. Workers also face possible penalties for intentionally damaging or misusing personal protective equipment, or not reporting the poor condition of equipment (regs 46&amp;ndash;47).&lt;/p&gt;</x:v>
      </x:c>
      <x:c r="O89" s="6" t="n">
        <x:f>=HYPERLINK("#O89","Consequence")</x:f>
      </x:c>
      <x:c r="P89" s="6" t="str">
        <x:v>&lt;p&gt;&lt;a href="https://www.legislation.gov.au/Details/F2011L02664" target="_blank" &gt;Work Health and Safety Regulations 2011 (Cth)&lt;/a&gt; regs 36, 44&amp;ndash;47, 71, 74&amp;ndash;76, 161, 400, 402, 464, 472, 484 (see also corresponding regulations in ACT, NSW, NT, QLD, SA and TAS)&lt;/p&gt;&lt;p&gt;Model Code of Practice &amp;ndash; How to Manage Work Health and Safety Risks, December 2011 (Safe Work Australia)&lt;/p&gt;</x:v>
      </x:c>
      <x:c r="Q89" s="6" t="n">
        <x:f>=HYPERLINK("#Q89","Source")</x:f>
      </x:c>
      <x:c r="R89"/>
      <x:c r="S89"/>
      <x:c r="T89"/>
    </x:row>
    <x:row r="90" spans="1:20" ht="15.75" x14ac:dyDescent="0.25">
      <x:c r="A90" t="n">
        <x:v>11431</x:v>
      </x:c>
      <x:c r="B90" t="str">
        <x:v>NSW,NT,QLD,SA,TAS,ACT,COMMONWEALTH</x:v>
      </x:c>
      <x:c r="C90" t="inlineStr">
        <x:is>
          <x:t xml:space="preserve">  Subobligation</x:t>
        </x:is>
      </x:c>
      <x:c r="D90" t="inlineStr">
        <x:is>
          <x:t xml:space="preserve">  Authorisation of High-Risk Work Activities and Workplaces</x:t>
        </x:is>
      </x:c>
      <x:c r="E90" s="31" t="n">
        <x:v>13.06</x:v>
      </x:c>
      <x:c r="F90" s="8" t="n">
        <x:f>=HYPERLINK("#Obligation()","Workplace Management—Hazardous Work")</x:f>
      </x:c>
      <x:c r="G90" s="8" t="n">
        <x:f>=HYPERLINK("#SubObligation()","Authorisation of High-Risk Work Activities and Workplaces")</x:f>
      </x:c>
      <x:c r="H90" s="6" t="n">
        <x:f>=HYPERLINK("#H90","Tools")</x:f>
      </x:c>
      <x:c r="I90" s="27" t="str">
        <x:v>&lt;b&gt;&lt;p&gt;Authorisation of High-Risk Work Activities and Workplaces&lt;/p&gt;Does the organisation ensure that it complies with the requirements for authorisation of certain types of high-risk work, workplaces, plant and substances?&lt;/b&gt;</x:v>
      </x:c>
      <x:c r="J90" s="6" t="str">
        <x:v>&lt;p&gt;The harmonised Work Health and Safety (WHS) Acts and Regulations require special authorisation for:&lt;/p&gt;&lt;ul&gt;&lt;li&gt;certain types of workplaces (such as a major hazard facility)&lt;/li&gt;&lt;li&gt;the use of certain plant or substances (such as cranes or certain carcinogens)&lt;/li&gt;&lt;li&gt;certain classes of high-risk work (such as scaffolding and the operation of certain plant).&lt;/li&gt;&lt;/ul&gt;&lt;p&gt;The WHS Acts and Regulations also require a person to have certain qualifications or experience before they can carry out or supervise certain types of high-risk work.&lt;/p&gt;&lt;p&gt;An organisation must not conduct a business or undertaking at a workplace, or direct or allow a worker to carry out work at a workplace, if the workplace requires authorisation but has not been authorised in accordance with the WHS Regulations.&lt;/p&gt;&lt;p&gt;An organisation must not use an item of plant or a substance, or direct or allow a worker to use the plant or substance, if the plant or substance (or its design) requires authorisation but has not been authorised in accordance with the WHS Regulations.&lt;/p&gt;&lt;p&gt;An organisation must not direct or allow a person to carry out high-risk work if the person:&lt;/p&gt;&lt;ul&gt;&lt;li&gt;does not have authorisation in accordance with the WHS Regulations to carry out the particular class of high-risk work&lt;/li&gt;&lt;li&gt;does not have the prescribed qualifications or experience to carry out the particular class of high-risk work, or is not supervised by someone with the prescribed qualifications and experience.&lt;/li&gt;&lt;/ul&gt;&lt;p&gt;An organisation or individual must comply with any conditions attached to an authorisation.&lt;/p&gt;&lt;ul&gt;&lt;li&gt;A person is prohibited from carrying out high-risk work unless the person holds a high-risk work licence for the relevant class of high-risk work. An exception applies for work carried out in the course of training towards a high-risk work licence if the person is supervised by someone who has a licence to carry out the high-risk work.&lt;/li&gt;&lt;/ul&gt;&lt;p&gt;The organisation should put in place systems to identify work, workplaces, plant or substances that require authorisation, and to identify work that requires the person carrying out or supervising the work to have prescribed qualifications or experience. The organisation should monitor its compliance with these authorisation requirements and take prompt corrective action if necessary. See Tool &amp;ndash; Guide to the model Work Health and Safety Act, October 2012 (Safe Work Australia).&lt;/p&gt;&lt;p&gt;Management and supervisors should be aware that the organisation may still be in breach of the authorisation provisions even if it does not expressly direct or ask a worker to carry out an unauthorised work activity, but nevertheless allows the activity to take place. The organisation should be proactive in taking steps to prevent what it knows to be unauthorised work activities, such as a worker&amp;rsquo;s unauthorised use of an item of plant or a substance that has not been registered in accordance with the WHS Regulations.&lt;/p&gt;&lt;p&gt;The organisation should check whether the regulator has attached any conditions to a particular authorisation, and ensure that it has a procedure for complying with the conditions.&lt;/p&gt;&lt;p&gt;If the organisation is uncertain whether a particular work activity or workplace requires authorisation, it should seek advice from the regulator.&lt;/p&gt;</x:v>
      </x:c>
      <x:c r="K90" s="6" t="n">
        <x:f>=HYPERLINK("#K90","Guidance Notes")</x:f>
      </x:c>
      <x:c r="L90" s="6" t="str">
        <x:v>&lt;p&gt;Put in place systems to ensure that the organisation complies with the requirements regarding authorisation of certain types of high-risk work, workplaces, plant or substances.&lt;/p&gt;</x:v>
      </x:c>
      <x:c r="M90" s="6" t="n">
        <x:f>=HYPERLINK("#M90","Remediation")</x:f>
      </x:c>
      <x:c r="N90" s="6" t="str">
        <x:v>&lt;p&gt;The maximum penalties for conducting a business or undertaking at an unauthorised workplace, or directing or allowing a worker to carry out work at the unauthorised workplace, are $250,000 for an organisation and $50,000 for an individual (s 41).&lt;/p&gt;&lt;p&gt;Penalties also apply for:&lt;/p&gt;&lt;ul&gt;&lt;li&gt;directing or allowing a worker to make unauthorised use of an item of plant or substance at the workplace (s 42)&lt;/li&gt;&lt;li&gt;directing or allowing a worker to carry out work without the required authorisation or prescribed qualifications or experience, or without the required supervision (ss 43&amp;ndash;44)&lt;/li&gt;&lt;li&gt;failing to comply with the conditions attached to an authorisation (s 45).&lt;/li&gt;&lt;/ul&gt;&lt;p&gt;The maximum penalties for these offences are $100,000 for an organisation and $20,000 for an individual.&lt;/p&gt;</x:v>
      </x:c>
      <x:c r="O90" s="6" t="n">
        <x:f>=HYPERLINK("#O90","Consequence")</x:f>
      </x:c>
      <x:c r="P90" s="6" t="str">
        <x:v>&lt;p&gt;&lt;a href="https://www.legislation.gov.au/Details/C2011A00137" target="_blank" &gt;Work Health and Safety Act 2011 (Cth)&lt;/a&gt; ss 40&amp;ndash;45 (see also corresponding Acts in ACT, NSW, NT, QLD, SA and TAS)&lt;/p&gt;</x:v>
      </x:c>
      <x:c r="Q90" s="6" t="n">
        <x:f>=HYPERLINK("#Q90","Source")</x:f>
      </x:c>
      <x:c r="R90"/>
      <x:c r="S90"/>
      <x:c r="T90"/>
    </x:row>
    <x:row r="91" spans="1:20" ht="15.75" x14ac:dyDescent="0.25">
      <x:c r="A91" t="n">
        <x:v>11489</x:v>
      </x:c>
      <x:c r="B91" t="str">
        <x:v>NSW,NT,QLD,SA,TAS,ACT,COMMONWEALTH</x:v>
      </x:c>
      <x:c r="C91" t="inlineStr">
        <x:is>
          <x:t xml:space="preserve">  Subobligation</x:t>
        </x:is>
      </x:c>
      <x:c r="D91" t="inlineStr">
        <x:is>
          <x:t xml:space="preserve">  High-Risk Work Licences</x:t>
        </x:is>
      </x:c>
      <x:c r="E91" s="31" t="n">
        <x:v>13.07</x:v>
      </x:c>
      <x:c r="F91" s="8" t="n">
        <x:f>=HYPERLINK("#Obligation()","Workplace Management—Hazardous Work")</x:f>
      </x:c>
      <x:c r="G91" s="8" t="n">
        <x:f>=HYPERLINK("#SubObligation()","High-Risk Work Licences")</x:f>
      </x:c>
      <x:c r="H91" s="6" t="n">
        <x:f>=HYPERLINK("#H91","Tools")</x:f>
      </x:c>
      <x:c r="I91" s="27" t="str">
        <x:v>&lt;b&gt;&lt;p&gt;High-Risk Work Licences&lt;/p&gt;Does the organisation ensure that certain classes of high-risk work are only carried out by licensed workers?&lt;/b&gt;</x:v>
      </x:c>
      <x:c r="J91" s="6" t="str">
        <x:v>&lt;p&gt;A worker must have a current licence to carry out the following classes of high-risk work:&lt;/p&gt;&lt;ul&gt;&lt;li&gt;scaffolding&lt;/li&gt;&lt;li&gt;dogging and rigging work&lt;/li&gt;&lt;li&gt;crane and hoist operation&lt;/li&gt;&lt;li&gt;reach stacker operation&lt;/li&gt;&lt;li&gt;forklift operation&lt;/li&gt;&lt;li&gt;pressure equipment operation (includes boilers and turbines).&lt;/li&gt;&lt;/ul&gt;&lt;p&gt;See Tools &amp;ndash; High-risk work licensing for dogging (Safe Work Australia information sheet, December 2015), High-risk work licensing for bridge and gantry cranes (Safe Work Australia information sheet, December 2015), High-risk work licensing for vehicle loading cranes (Safe Work Australia information sheet, December 2015), Industrial lift trucks guidance material (Safe Work Australia, July 2014) and&lt;/p&gt;&lt;p&gt;Scaffolds and scaffolding work guidance material (Safe Work Australia, July 2014).&lt;/p&gt;&lt;p&gt;Schedule 3 of the harmonised Work Health and Safety (WHS) Regulations describes in further detail the classes of high-risk work that require a licence, and Schedule 4 sets out the vocational education and training (VET) qualification required to obtain a licence. There is an exception to the requirement to be licensed if a person is undergoing training. Furthermore, a person has 60 days after receiving a VET certification to apply for a high-risk work licence, and can carry out the relevant high-risk work in the meantime.&lt;/p&gt;&lt;p&gt;A high-risk work licence is valid for 5 years, unless suspended or cancelled by the regulator. The regulator can place conditions on a high-risk work licence (which must be complied with), and the licence holder must keep the licence document available for inspection under the relevant WHS Act. Equivalent high-risk work licences are recognised across jurisdictions.&lt;/p&gt;&lt;p&gt;An organisation must not direct or allow a person to carry out work that requires a high-risk work licence if the person does not hold a current licence. The organisation must sight written evidence that a worker holds a current licence before directing the worker to undertake the relevant high-risk work. If the worker is certified but not yet licensed, the organisation must sight written evidence of the certification and the licence application.&lt;/p&gt;&lt;p&gt;An organisation must ensure that direct supervision is provided to a person who is carrying out high-risk work in the course of training towards a certification for a high-risk work licence, unless direct supervision is impracticable or unnecessary and a reduced level of supervision does not pose a health and safety risk. The organisation must sight written evidence that the person is undertaking the course of training before directing the person to carry out the high-risk work, and must also sight written evidence that the supervisor has the relevant high-risk work licence.&lt;/p&gt;&lt;p&gt;An organisation must keep a record of the written evidence described above for 1 year after the high-risk work or supervision work is carried out.&lt;/p&gt;&lt;p&gt;The organisation should provide training and instruction to ensure that all relevant staff, including supervisors, clearly understand what classes of work require a worker to hold a current high-risk work licence, and what exceptions apply. See Tools &amp;ndash; Comcare (Commonwealth regulator), &amp;lsquo;High risk work&amp;rsquo;, WorkCover NSW, &amp;lsquo;High risk work licences&amp;rsquo;, WorkCover Queensland, &amp;lsquo;Apply for a high risk work licence&amp;rsquo;, SafeWork SA, &amp;lsquo;High risk work&amp;rsquo;, WorkSafe Tasmania, &amp;lsquo;High risk work&amp;rsquo;, WorkSafe ACT, &amp;lsquo;High risk work&amp;rsquo; and NT WorkSafe, &amp;lsquo;High risk&amp;rsquo;.&lt;/p&gt;&lt;p&gt;The organisation should have a process for recording that a staff member has sighted written evidence of a high-risk licence, certification, licence application or training course enrolment (as applicable) before high-risk work is carried out. The organisation should also have a process for copying the written evidence and ensuring that the copy is kept for the required period.&lt;/p&gt;&lt;p&gt;The organisation should ensure that anyone who provides direct supervision of a person carrying out high-risk work:&lt;/p&gt;&lt;ul&gt;&lt;li&gt;holds a current high-risk work licence and has appropriate experience&lt;/li&gt;&lt;li&gt;appropriately directs, demonstrates, monitors and checks the person&amp;rsquo;s work&lt;/li&gt;&lt;li&gt;has the capacity to respond in an emergency.&lt;/li&gt;&lt;/ul&gt;&lt;p&gt;The organisation should ensure that its emergency procedures relating to the high-risk work are up to date, tested and effective.&lt;/p&gt;</x:v>
      </x:c>
      <x:c r="K91" s="6" t="n">
        <x:f>=HYPERLINK("#K91","Guidance Notes")</x:f>
      </x:c>
      <x:c r="L91" s="6" t="str">
        <x:v>&lt;p&gt;Put in place a system to manage high-risk work that requires a worker to be licensed.&lt;/p&gt;</x:v>
      </x:c>
      <x:c r="M91" s="6" t="n">
        <x:f>=HYPERLINK("#M91","Remediation")</x:f>
      </x:c>
      <x:c r="N91" s="6" t="str">
        <x:v>&lt;p&gt;Under the harmonised WHS Acts, it is an offence to direct or allow a worker to carry out work at a workplace if the person:&lt;/p&gt;&lt;ul&gt;&lt;li&gt;is not authorised in accordance with the WHS Regulations, or&lt;/li&gt;&lt;li&gt;does not have the prescribed qualifications or experience, or&lt;/li&gt;&lt;li&gt;is not supervised by someone with the prescribed qualifications or experience, where supervision is required by the regulations.&lt;/li&gt;&lt;/ul&gt;&lt;p&gt;The maximum penalties are $100,000 for an organisation and $20,000 for an individual (ss 43&amp;ndash;44).&lt;/p&gt;&lt;p&gt;Under the harmonised WHS Regulations, penalties apply for failing to provide direct supervision of a worker carrying out high-risk work when such supervision is required. The maximum penalties are $30,000 for an organisation and $6,000 for an individual (reg 84).&lt;/p&gt;&lt;p&gt;Failure to sight written evidence of a licence, course enrolment, certification, or licence application (as applicable) before directing a person to carry out relevant high-risk work (or supervision of such work) attracts maximum penalties of $18,000 for an organisation and $3,600 for an individual (reg&amp;nbsp;85). Failure to keep a copy of the written evidence for the required period attracts maximum penalties of $6,000 for an organisation and $1,250 for an individual (reg 85).&lt;/p&gt;</x:v>
      </x:c>
      <x:c r="O91" s="6" t="n">
        <x:f>=HYPERLINK("#O91","Consequence")</x:f>
      </x:c>
      <x:c r="P91" s="6" t="str">
        <x:v>&lt;p&gt;&lt;a href="https://www.legislation.gov.au/Details/C2011A00137" target="_blank" &gt;Work Health and Safety Act 2011 (Cth)&lt;/a&gt; ss 43&amp;ndash;45 (see also corresponding Acts in ACT, NSW, NT, QLD, SA and TAS)&lt;/p&gt;&lt;p&gt;&lt;a href="https://www.legislation.gov.au/Details/F2011L02664" target="_blank" &gt;Work Health and Safety Regulations 2011 (Cth)&lt;/a&gt; Pt 4.5, Sch, Sch 4) (see also corresponding regulations in ACT, NSW, NT, QLD, SA and TAS)&lt;/p&gt;</x:v>
      </x:c>
      <x:c r="Q91" s="6" t="n">
        <x:f>=HYPERLINK("#Q91","Source")</x:f>
      </x:c>
      <x:c r="R91"/>
      <x:c r="S91"/>
      <x:c r="T91"/>
    </x:row>
    <x:row r="92" spans="1:20" ht="15.75" x14ac:dyDescent="0.25">
      <x:c r="A92" t="n">
        <x:v>11508</x:v>
      </x:c>
      <x:c r="B92" t="str">
        <x:v>NSW,NT,QLD,SA,TAS,ACT,COMMONWEALTH</x:v>
      </x:c>
      <x:c r="C92" t="inlineStr">
        <x:is>
          <x:t xml:space="preserve">  Subobligation</x:t>
        </x:is>
      </x:c>
      <x:c r="D92" t="inlineStr">
        <x:is>
          <x:t xml:space="preserve">  Demolition Work</x:t>
        </x:is>
      </x:c>
      <x:c r="E92" s="31" t="n">
        <x:v>13.08</x:v>
      </x:c>
      <x:c r="F92" s="8" t="n">
        <x:f>=HYPERLINK("#Obligation()","Workplace Management—Hazardous Work")</x:f>
      </x:c>
      <x:c r="G92" s="8" t="n">
        <x:f>=HYPERLINK("#SubObligation()","Demolition Work")</x:f>
      </x:c>
      <x:c r="H92" s="6" t="n">
        <x:f>=HYPERLINK("#H92","Tools")</x:f>
      </x:c>
      <x:c r="I92" s="27" t="str">
        <x:v>&lt;b&gt;&lt;p&gt;Demolition Work&lt;/p&gt;Does the organisation have a structured, documented and effective process for managing the risks of demolition work?&lt;/b&gt;</x:v>
      </x:c>
      <x:c r="J92" s="6" t="str">
        <x:v>&lt;p&gt;Carrying out demolitions is high-risk, hazardous work. The harmonised Work Health and Safety (WHS) Regulations set out some specific notification requirements for this kind of work.&lt;/p&gt;&lt;p&gt;An organisation must give the regulator prior notice of demolition work if it involves:&lt;/p&gt;&lt;ul&gt;&lt;li&gt;demolishing a structure, or part of a structure that is loadbearing or otherwise related to the physical integrity of the structure, that is at least 6 metres in height&lt;/li&gt;&lt;li&gt;using load-shifting machinery on a suspended floor&lt;/li&gt;&lt;li&gt;using explosives.&lt;/li&gt;&lt;/ul&gt;&lt;p&gt;Under the WHS Regulations, demolition work does not include the dismantling of formwork, falsework or other structures designed or used to provide support, access or containment during construction work, or the removal of power, light or telecommunication poles.&lt;/p&gt;&lt;p&gt;An organisation must notify the regulator of any demolition work specified in the regulations at least 5 days before the work commences.&lt;/p&gt;&lt;p&gt;If the demolition is being carried out by an emergency services organisation in response to an emergency, the emergency services organisation must give the regulator notice as soon as practicable (whether before or after the work is carried out).&lt;/p&gt;&lt;p&gt;A demolition licence and safe work method statement may be required for high-risk demolition work before the work commences. Licences for asbestos removal work, use of explosives and high-risk work may also be required.&lt;/p&gt;&lt;p&gt;Organisations should also be aware that:&lt;/p&gt;&lt;ul&gt;&lt;li&gt;the definition of construction work in the WHS Regulations includes demolition and the duties that apply to construction work apply when demolition work is performed&lt;/li&gt;&lt;li&gt;specific provisions apply to the demolition of a structure constructed before 31 December 2003 in respect of managing asbestos.&lt;/li&gt;&lt;/ul&gt;&lt;p&gt;Obligations relating to construction work and asbestos are covered separately in this module.&lt;/p&gt;&lt;ul&gt;&lt;li&gt;Organisations that design, manufacture, import, supply, install, construct of commission structures have a duty to ensure, so far as is reasonably practicable, that a structure is without health and safety risks to anyone who carries out demolition work on the structure.&lt;/li&gt;&lt;/ul&gt;&lt;p&gt;The organisation should put in place a procedure for notifying the regulator 5 days before demolition work commences. See Tools &amp;ndash; Comcare (Commonwealth regulator), &amp;lsquo;Notification of demolition work&amp;rsquo;, WorkCover NSW, &amp;lsquo;Demolition&amp;rsquo;, WorkCover Queensland, &amp;lsquo;Asbestos and demolition notifications&amp;rsquo;, SafeWork SA, &amp;lsquo;Notification of demolition work&amp;rsquo;, WorkSafe ACT, &amp;lsquo;Demolition&amp;rsquo; and NT WorkSafe, &amp;lsquo;Forms and resources&amp;rsquo;.&lt;/p&gt;&lt;p&gt;The organisation should manage the risks associated with demolition work in accordance with the risk management process outlined in Part 3.1 of the WHS Regulations, including the hierarchy of controls, and the Model code of practice &amp;ndash; Demolition work, March 2015 (Safe Work Australia). The organisation must first seek to eliminate the risks so far as is reasonably practicable. If it is not reasonably practicable to eliminate the risks, the organisation must do what is reasonably practicable to minimise them.&lt;/p&gt;&lt;p&gt;The organisation should undertake the following steps:&lt;/p&gt;&lt;ol&gt;&lt;li&gt;identify hazards associated with the demolition work&lt;/li&gt;&lt;li&gt;assess the risks&lt;/li&gt;&lt;li&gt;implement control measures to eliminate or minimise the risks&lt;/li&gt;&lt;li&gt;maintain the control measures to ensure their ongoing effectiveness&lt;/li&gt;&lt;li&gt;regularly review the control measures.&lt;/li&gt;&lt;/ol&gt;&lt;p&gt;The organisation should consult workers on risk management once the workers are engaged on the demolition project, and draw on their knowledge, skills and experience when deciding how to eliminate or minimise the risks associated with the demolition work. The organisation should also ensure that workers have received the necessary training, instruction and information to carry out the demolition work safely, and are supervised appropriately (including when operating machinery). The organisation should sight written evidence that a worker has the required licence if carrying out certain high-risk work (e.g. rigging work that involves demolition).&lt;/p&gt;&lt;p&gt;If necessary, the organisation should consult, cooperate and coordinate with other duty holders who share responsibility for managing health and safety risks at the demolition site. For example, a principal contractor, structural engineers, mobile plant operators and asbestos removalists may have overlapping health and safety duties at the site, and should exchange information in a cooperative and coordinated way.&lt;/p&gt;&lt;p&gt;As part of its hazard identification process, the organisation should:&lt;/p&gt;&lt;ul&gt;&lt;li&gt;inspect the demolition site for risks of collapse, falls, falling objects, damage to essential services or nearby structures, hazardous noise, electrocution, fire, and exposure to chemicals, lead or asbestos&lt;/li&gt;&lt;li&gt;inspect plant to be used at the demolition site&lt;/li&gt;&lt;li&gt;review available information, including internal records and external information from regulators or industry bodies&lt;/li&gt;&lt;li&gt;consult stakeholders about risks and demolition methods.&lt;/li&gt;&lt;/ul&gt;&lt;p&gt;If there are electrical installations at the demolition site, the organisation should ensure that it complies with the Australian/New Zealand Standard (AS/NZS) 3012:2010 Electrical installations&amp;mdash;Construction and demolition sites.&lt;/p&gt;&lt;p&gt;A risk assessment, which is mandatory for demolitions that involve asbestos or explosives, should be done by a competent person. The assessment will help determine the severity of the risks, whether existing control measures are effective, what action is needed to control the risks, and how urgently the action needs to be taken.&lt;/p&gt;&lt;p&gt;If it is not reasonably practicable to eliminate a risk associated with demolition work, the organisation should seek to minimise the risk through:&lt;/p&gt;&lt;ul&gt;&lt;li&gt;substitution (e.g. replacing manual demolition with mechanical demolition if safer)&lt;/li&gt;&lt;li&gt;engineering controls (e.g. preventing the risk of falling objects by fitting protection on an open-cab excavator)&lt;/li&gt;&lt;li&gt;isolating the hazard site from people (e.g. concrete barriers).&lt;/li&gt;&lt;/ul&gt;&lt;p&gt;If these controls do not provide adequate protection, the organisation should implement administrative controls (such as signage and exclusion zones) and personal protective equipment (such as hard hats). A combination of controls is often necessary. The organisation should also ensure that it implements a safe system of work for removing debris from the demolition site.&lt;/p&gt;&lt;p&gt;Once the control measures have been implemented, the organisation should ensure that their effectiveness is maintained for the duration of the demolition work. The process should include:&lt;/p&gt;&lt;ul&gt;&lt;li&gt;accountability to ensure procedures are followed and maintained&lt;/li&gt;&lt;li&gt;regular inspection and testing of the structure, and any plant used in the demolition, to identify and rectify safety issues in a timely manner&lt;/li&gt;&lt;li&gt;refresher training and ongoing supervision.&lt;/li&gt;&lt;/ul&gt;&lt;p&gt;The organisation should regularly review its control measures for demolition work to make sure they remain up to date and effective, and always ensure that the controls are adapted as necessary to the specific conditions at a particular demolition site.&lt;/p&gt;&lt;p&gt;The organisation should keep a written record of its processes for managing the risks associated with demolition work to demonstrate compliance with work health and safety laws and inform subsequent risk assessments.&lt;/p&gt;&lt;p&gt;Further guidance, see Tools &amp;ndash; Model Code of Practice &amp;ndash; Demolition Work, March 2015 (Safe Work Australia) and Model Code of Practice &amp;ndash; Construction Work, November 2013 (Safe Work Australia).&lt;/p&gt;</x:v>
      </x:c>
      <x:c r="K92" s="6" t="n">
        <x:f>=HYPERLINK("#K92","Guidance Notes")</x:f>
      </x:c>
      <x:c r="L92" s="6" t="str">
        <x:v>&lt;p&gt;Put in place a documented and effective process for managing the risks of demolition work and notifying the regulator at least 5 days before the work commences.&lt;/p&gt;</x:v>
      </x:c>
      <x:c r="M92" s="6" t="n">
        <x:f>=HYPERLINK("#M92","Remediation")</x:f>
      </x:c>
      <x:c r="N92" s="6" t="str">
        <x:v>&lt;p&gt;The maximum penalties for failing to notify the regulator about certain kinds of demolition work at least 5 days before work commences are $6,000 for an organisation and $1,250 for an individual (reg&amp;nbsp;142).&lt;/p&gt;</x:v>
      </x:c>
      <x:c r="O92" s="6" t="n">
        <x:f>=HYPERLINK("#O92","Consequence")</x:f>
      </x:c>
      <x:c r="P92" s="6" t="str">
        <x:v>&lt;p&gt;&lt;a href="https://www.legislation.gov.au/Details/C2011A00137" target="_blank" &gt;Work Health and Safety Act 2011 (Cth)&lt;/a&gt; ss 22&amp;ndash;26 (see also corresponding Acts in ACT, NSW, NT, QLD, SA and TAS)&lt;/p&gt;&lt;p&gt;&lt;a href="https://www.legislation.gov.au/Details/F2011L02664" target="_blank" &gt;Work Health and Safety Regulations 2011 (Cth)&lt;/a&gt; regs 142, 163, 289, 291, 419, 447&amp;ndash;455 (see also corresponding regulations in ACT, NSW, NT, QLD, SA and TAS)&lt;/p&gt;&lt;p&gt;Model Code of Practice Demolition Work, March 2015 (Safe Work Australia)&lt;/p&gt;&lt;p&gt;Model Code of Practice Construction Work, November 2013 (Safe Work Australia)&lt;/p&gt;&lt;p&gt;Model Code of Practice Safe Design of Structures, July 2012 (Safe Work Australia)&lt;/p&gt;&lt;p&gt;AS 2601&amp;ndash;2001 The Demolition of Structures&lt;/p&gt;&lt;p&gt;AS 2187.2&amp;ndash;2006 Explosives&amp;mdash;Storage and Use&lt;/p&gt;&lt;p&gt;AS/NZS 3012:2010 Electrical Installations&amp;mdash;Construction and Demolition Sites&lt;/p&gt;</x:v>
      </x:c>
      <x:c r="Q92" s="6" t="n">
        <x:f>=HYPERLINK("#Q92","Source")</x:f>
      </x:c>
      <x:c r="R92"/>
      <x:c r="S92"/>
      <x:c r="T92"/>
    </x:row>
    <x:row r="93" spans="1:20" ht="15.75" x14ac:dyDescent="0.25">
      <x:c r="A93" t="n">
        <x:v>11520</x:v>
      </x:c>
      <x:c r="B93" t="str">
        <x:v>NSW,NT,QLD,SA,TAS,ACT,COMMONWEALTH</x:v>
      </x:c>
      <x:c r="C93" t="inlineStr">
        <x:is>
          <x:t xml:space="preserve">  Subobligation</x:t>
        </x:is>
      </x:c>
      <x:c r="D93" t="inlineStr">
        <x:is>
          <x:t xml:space="preserve">  Diving Work</x:t>
        </x:is>
      </x:c>
      <x:c r="E93" s="31" t="n">
        <x:v>13.09</x:v>
      </x:c>
      <x:c r="F93" s="8" t="n">
        <x:f>=HYPERLINK("#Obligation()","Workplace Management—Hazardous Work")</x:f>
      </x:c>
      <x:c r="G93" s="8" t="n">
        <x:f>=HYPERLINK("#SubObligation()","Diving Work")</x:f>
      </x:c>
      <x:c r="H93" s="6" t="n">
        <x:f>=HYPERLINK("#H93","Tools")</x:f>
      </x:c>
      <x:c r="I93" s="27" t="str">
        <x:v>&lt;b&gt;&lt;p&gt;Diving Work&lt;/p&gt;Does the organisation ensure that it complies with the regulations for general and high-risk diving work?&lt;/b&gt;</x:v>
      </x:c>
      <x:c r="J93" s="6" t="str">
        <x:v>&lt;p&gt;The harmonised Work Health and Safety (WHS) Regulations impose duties on organisations that require workers to carry out diving work.&lt;/p&gt;&lt;p&gt;An organisation must not direct or allow a worker to carry out general diving work or undergo training for general diving work unless the worker holds a current certificate of medical fitness. The work or training must comply with any conditions on the medical certificate, and the organisation must keep the certificate for 1 year after the general diving work is carried out.&lt;/p&gt;&lt;p&gt;The worker must hold a relevant diving certificate and have acquired sound knowledge and skills for occupational diving. A person who supervises general diving work must also have a relevant diving certificate and experience in the type of diving work to be supervised. Special provisions apply to incidental diving work and limited scientific diving work.&lt;/p&gt;&lt;p&gt;An organisation must not direct or allow a worker to carry out general diving work unless the organisation sees written evidence (provided by the worker) that the worker has the relevant competence required under the WHS Regulations. The organisation must also see written evidence of a diving supervisor&amp;rsquo;s competence. The organisation must keep a copy of the written evidence for 1 year after the diving work or diving supervision work has been completed.&lt;/p&gt;&lt;p&gt;As part of an organisation&amp;rsquo;s duty to manage the health and safety risks associated with general diving work, the organisation must:&lt;/p&gt;&lt;ul&gt;&lt;li&gt;ensure that a competent person conducts a risk assessment of the diving work, and that the risk assessment is recorded in writing&lt;/li&gt;&lt;li&gt;appoint one or more competent people to supervise the work&lt;/li&gt;&lt;li&gt;ensure that a dive plan is in place before directing or allowing a worker to carry out a dive&lt;/li&gt;&lt;li&gt;ensure, so far as is reasonably practicable, that the work is carried out in accordance with the dive plan, and that the appointed supervisor gives workers instruction in the dive plan before the dive takes place&lt;/li&gt;&lt;li&gt;keep a dive safety log about each dive, containing the information set out in regulation 180 of the WHS Regulations&lt;/li&gt;&lt;li&gt;ensure that the return of each diver is verified by both the diver and the supervisor in the dive safety log after each dive, and as soon as practicable after each diver&amp;rsquo;s return&lt;/li&gt;&lt;li&gt;ensure, if the workers are carrying out general diving work from a vessel, that the appointed supervisor verifies entries in the dive safety log about the number of divers and other people on board the vessel before the diving work commences and before the vessel leaves the location after the diving work is completed.&lt;/li&gt;&lt;/ul&gt;&lt;p&gt;An organisation must ensure that:&lt;/p&gt;&lt;ul&gt;&lt;li&gt;the dive safety log is kept for at least 1 year after the last entry is made&lt;/li&gt;&lt;li&gt;a copy of the risk assessment is kept for at least 28 days after the diving work is completed&lt;/li&gt;&lt;li&gt;a copy of the dive plan is kept until the diving work is completed.&lt;/li&gt;&lt;/ul&gt;&lt;p&gt;A copy of the risk assessment and dive plan must be kept for at least 2 years if a notifiable incident occurs in connection with the diving work. During these various periods, the risk assessment and dive plan must be readily accessible to any relevant worker and must be available for inspection under the relevant WHS Act.&lt;/p&gt;&lt;p&gt;The WHS Regulations contain special provisions for high-risk diving work&amp;mdash;that is, diving work that involves construction work, minor testing, maintenance or repair work carried out in connection with a structure, or the recovery or salvage of a large structure or item of plant for commercial purposes. Minor work to clean, inspect, maintain or search for a vessel or mooring in the sea, a bay, an inlet or a marina is not classified as high-risk diving work.&lt;/p&gt;&lt;p&gt;An organisation that directs workers to carry out high-risk diving work must ensure that the fitness and competence of the divers, and the way the work is carried out, comply with Australian/New Zealand Standard (AS/NZS) 2299.1:2007 Occupational diving operations&amp;mdash;Standard operational practice. A person carrying out the high-risk diving work must have the qualifications, knowledge, skills and experience required by the standard for the kind of work to be carried out.&lt;/p&gt;&lt;p&gt;The WHS Regulations require an organisation to manage the risks associated with general diving work in accordance with the risk management process outlined in Part 3.1 of the regulations, including the hierarchy of controls. The organisation must first seek to eliminate the risk, so far as is reasonably practicable (for example, by using a remote camera instead of divers). If it is not reasonably practicable to eliminate the risk, the organisation must do what is reasonably practicable to minimise it.&lt;/p&gt;&lt;p&gt;The organisation should undertake the following steps:&lt;/p&gt;&lt;ol&gt;&lt;li&gt;identify hazards associated with the diving work&lt;/li&gt;&lt;li&gt;prepare a written risk assessment&lt;/li&gt;&lt;li&gt;implement control measures to eliminate or minimise the risks&lt;/li&gt;&lt;li&gt;maintain the control measures to ensure their ongoing effectiveness&lt;/li&gt;&lt;li&gt;regularly review the control measures.&lt;/li&gt;&lt;/ol&gt;&lt;p&gt;The organisation should have a process for ensuring that its risk management process complies with all legal requirements relating to diving work, and that individuals in the organisation are accountable for making sure that all safety procedures are followed and maintained. For high-risk diving work, the organisation should ensure that it implements the provisions of AS/NZS 2299.1:2007.&lt;/p&gt;&lt;p&gt;The organisation should consult workers throughout the risk management process, and ensure that they have an opportunity to contribute ideas and feedback before decisions are taken. If necessary, the organisation should also consult, cooperate and coordinate with other duty holders who share responsibility for managing risks associated with diving work.&lt;/p&gt;&lt;p&gt;When assessing a worker&amp;rsquo;s competence to carry out general diving work, the organisation should ensure that the worker has sound knowledge and skills in relation to:&lt;/p&gt;&lt;ul&gt;&lt;li&gt;the application of diving physics&lt;/li&gt;&lt;li&gt;the use, inspection and maintenance of diving equipment and air supply&lt;/li&gt;&lt;li&gt;the use of decompression tables or dive computers&lt;/li&gt;&lt;li&gt;dive planning&lt;/li&gt;&lt;li&gt;ways of communicating with another diver and with people at the surface during a dive&lt;/li&gt;&lt;li&gt;safety procedures for the type of diving work to be carried out&lt;/li&gt;&lt;li&gt;diving physiology, emergency procedures and first aid.&lt;/li&gt;&lt;/ul&gt;&lt;p&gt;The organisation should ensure that a competent person prepares the dive plan for diving work. The dive plan must include:&lt;/p&gt;&lt;ul&gt;&lt;li&gt;a work method for the dive&lt;/li&gt;&lt;li&gt;the tasks and duties of each person involved in the dive&lt;/li&gt;&lt;li&gt;the diving equipment, breathing gases and procedures to be used&lt;/li&gt;&lt;li&gt;dive times, bottom times and decompression profiles (as applicable)&lt;/li&gt;&lt;li&gt;hazards relating to the dive and measures to be implemented to control the risks associated with those hazards&lt;/li&gt;&lt;li&gt;emergency procedures.&lt;/li&gt;&lt;/ul&gt;&lt;p&gt;The organisation should ensure that it has appropriate first aid available for diving work, and that effective emergency procedures are in place.&lt;/p&gt;&lt;p&gt;The organisation should ensure that it documents its risk management process for diving work to demonstrate compliance with work health and safety laws and inform subsequent risk assessments. The organisation should have a procedure for ensuring that dive safety logs are used for every dive and that all necessary records are kept for the mandatory periods.&lt;/p&gt;</x:v>
      </x:c>
      <x:c r="K93" s="6" t="n">
        <x:f>=HYPERLINK("#K93","Guidance Notes")</x:f>
      </x:c>
      <x:c r="L93" s="6" t="str">
        <x:v>&lt;p&gt;Put in place a system to manage the risks associated with diving work.&lt;/p&gt;</x:v>
      </x:c>
      <x:c r="M93" s="6" t="n">
        <x:f>=HYPERLINK("#M93","Remediation")</x:f>
      </x:c>
      <x:c r="N93" s="6" t="str">
        <x:v>&lt;p&gt;Under the harmonised WHS Acts, it is an offence to direct or allow a person to carry out work at a workplace if the person does not have the prescribed qualifications or experience. The maximum penalties are $100,000 for an organisation and $20,000 for an individual (s 44).&lt;/p&gt;&lt;p&gt;Under the harmonised WHS Regulations, penalties of up to $30,000 (for an organisation) and $6,000 (for an individual) apply for failing to manage the risks associated with general diving work and high-risk diving work in accordance with the regulations (regs 168, 176&amp;ndash;179, 183).&lt;/p&gt;&lt;p&gt;Penalties apply for failing to keep records of a certificate of medical fitness, a diving certificate, a written risk assessment or a dive plan, or to keep and use a dive safety log, in accordance with the WHS Regulations, or failing to sight the required written evidence before directing or allowing a person to carry out (or supervise) general diving work. The maximum penalties are $6,000 for an organisation and $1,250 for an individual (regs 170, 175&amp;ndash;176, 180&amp;ndash;182). Failure to give a relevant worker ready access to a copy of a risk assessment or dive plan attracts maximum penalties of $18,000 for an organisation and $3,600 for an individual (reg 182).&lt;/p&gt;</x:v>
      </x:c>
      <x:c r="O93" s="6" t="n">
        <x:f>=HYPERLINK("#O93","Consequence")</x:f>
      </x:c>
      <x:c r="P93" s="6" t="str">
        <x:v>&lt;p&gt;&lt;a href="https://www.legislation.gov.au/Details/C2011A00137" target="_blank" &gt;Work Health and Safety Act 2011 (Cth)&lt;/a&gt; s 44 (see also corresponding Acts in ACT, NSW, NT, QLD, SA and TAS)&lt;/p&gt;&lt;p&gt;&lt;a href="https://www.legislation.gov.au/Details/F2011L02664" target="_blank" &gt;Work Health and Safety Regulations 2011 (Cth)&lt;/a&gt; Pt 4.8 (see also corresponding regulations in ACT, NSW, NT, QLD, SA and TAS)&lt;/p&gt;&lt;p&gt;AS/NZS 4005.2:2000 Training and Certification of Recreational Divers&lt;/p&gt;&lt;p&gt;AS/NZS 2815 Training and Certification of Occupational Divers (Series)&lt;/p&gt;&lt;p&gt;AS/NZS 2299.1:2007 Occupational Diving Operations&amp;mdash;Standard Operational Practice&lt;/p&gt;</x:v>
      </x:c>
      <x:c r="Q93" s="6" t="n">
        <x:f>=HYPERLINK("#Q93","Source")</x:f>
      </x:c>
      <x:c r="R93"/>
      <x:c r="S93"/>
      <x:c r="T93"/>
    </x:row>
    <x:row r="94" spans="1:20" ht="15.75" x14ac:dyDescent="0.25">
      <x:c r="A94" t="n">
        <x:v>11523</x:v>
      </x:c>
      <x:c r="B94" t="str">
        <x:v>NSW,NT,QLD,SA,TAS,ACT,COMMONWEALTH</x:v>
      </x:c>
      <x:c r="C94" t="str">
        <x:v>Obligation</x:v>
      </x:c>
      <x:c r="D94" t="str">
        <x:v>Workplace Management—Electrical Risks</x:v>
      </x:c>
      <x:c r="E94" s="31" t="n">
        <x:v>14.00</x:v>
      </x:c>
      <x:c r="F94" s="8" t="n">
        <x:f>=HYPERLINK("#Obligation()","Workplace Management—Electrical Risks")</x:f>
      </x:c>
      <x:c r="G94" s="8"/>
      <x:c r="H94" s="6" t="n">
        <x:f>=HYPERLINK("#H94","Tools")</x:f>
      </x:c>
      <x:c r="I94" s="27" t="str">
        <x:v>&lt;b&gt;&lt;p&gt;Workplace Management—Electrical Risks&lt;/p&gt;Does the organisation should have a structured, documented and effective process for managing electrical risks at the workplace?&lt;/b&gt;</x:v>
      </x:c>
      <x:c r="J94" s="6" t="str">
        <x:v>&lt;p&gt;There are a number of hazards associated with electrical work. Electrical risks may include a risk of death, electric shock or other injury caused by electricity. Arcing, explosions and electrical fires can cause burns, and burning and arcing associated with electrical equipment can also release toxic gases. Workers who work on electrical equipment may not be the only ones at risk&amp;mdash;other workers can be at risk of death and injury resulting from fires caused by faulty electrical equipment and poor electrical installations.&lt;/p&gt;&lt;p&gt;The harmonised Work Health and Safety (WHS) Regulations (except in Queensland, where electrical safety is regulated by the Electrical Safety Act and Regulations) require an organisation to manage risks to health and safety associated with electrical risks at the workplace. The WHS Regulations cite electrical risks associated with design, construction, installation, protection, maintenance and testing of electrical equipment and installations at a workplace as examples of risks that must be managed.&lt;/p&gt;&lt;p&gt;In addition to the general obligation to manage electrical risks at the workplace, an organisation must comply with several specific obligations relating to electrical equipment, electrical installations and electrical work.&lt;/p&gt;&lt;p&gt;An organisation must ensure that unsafe electrical equipment is disconnected and not used, and that equipment in certain higher-risk work environments is regularly inspected and tested.&lt;/p&gt;&lt;p&gt;Electrical work on energised electrical equipment is prohibited except under specified conditions. An organisation must implement prescribed risk control measures (such as conducting a risk assessment and preparing a safe work method statement) if it carries out permitted live electrical work.&lt;/p&gt;&lt;p&gt;An organisation must ensure, so far as is reasonably practicable, that electrical risks associated with electrical equipment used in a hostile operating environment are minimised by the use of an appropriate residual current device (safety switch).&lt;/p&gt;&lt;p&gt;Special requirements apply when carrying out work in the vicinity of overhead power lines and underground electrical cables.&lt;/p&gt;&lt;p&gt;Special requirements also apply to managing electrical risks at construction and demolition sites. These requirements are covered in the Construction Work section of this module.&lt;/p&gt;&lt;p&gt;Queensland has omitted the provisions on electrical safety and electrical work from its WHS Regulation 2011, instead making provisions under its &lt;em&gt;Electrical Safety Act 2002&lt;/em&gt; and Electrical Safety Regulation 2013. Nevertheless, the broader duties in Queensland&amp;rsquo;s work health and safety legislation, such as an organisation&amp;rsquo;s primary duty of care or an officer&amp;rsquo;s duty to exercise due diligence, remain applicable to general electrical safety in workplaces and electrical work because the duties are repeated (in a slightly amended form) in the electrical safety legislation.&lt;/p&gt;&lt;p&gt;Under the harmonised WHS Acts, designers, manufacturers, importers, suppliers and installers of plant or structures that could be used for work (including electrical equipment or installations) must ensure, so far as is reasonably practicable, that the plant or structures are without risks to health and safety.&lt;/p&gt;&lt;p&gt;The organisation must manage health and safety risks associated with electrical risks in accordance with Part 3.1 of the harmonised WHS Regulations. This means that the organisation must identify reasonably foreseeable electrical hazards and, after assessing the risks, do what is reasonably practicable to eliminate the risks that arise from those hazards. If it is not reasonably practicable to eliminate the risks, the organisation must minimise them, so far as is reasonably practicable.&lt;/p&gt;&lt;p&gt;When identifying electrical hazards at the workplace, the organisation should check:&lt;/p&gt;&lt;ul&gt;&lt;li&gt;the design, construction, installation, maintenance and testing of electrical equipment or installations&lt;/li&gt;&lt;li&gt;whether electrical protection is adequate and active&lt;/li&gt;&lt;li&gt;where and how electrical equipment is used (for example, a greater risk is likely to arise in wet conditions or confined spaces)&lt;/li&gt;&lt;li&gt;use of electrical leads&lt;/li&gt;&lt;li&gt;the age of electrical equipment and installations&lt;/li&gt;&lt;li&gt;whether the work will be carried out near electrical equipment or installations, including overhead electric lines or underground electricity services&lt;/li&gt;&lt;li&gt;the competence of each worker doing electrical work, including inspection and testing.&lt;/li&gt;&lt;/ul&gt;&lt;p&gt;When conducting a risk assessment, the organisation should ensure that a competent person determines:&lt;/p&gt;&lt;ul&gt;&lt;li&gt;the severity of an electrical risk&lt;/li&gt;&lt;li&gt;the likelihood that harm will occur&lt;/li&gt;&lt;li&gt;whether existing control measures are effective&lt;/li&gt;&lt;li&gt;what action needs to be taken to control an electrical risk&lt;/li&gt;&lt;li&gt;how urgently the action needs to be taken.&lt;/li&gt;&lt;/ul&gt;&lt;p&gt;When minimising risks, the organisation should apply the hierarchy of risk controls by first doing one or more of the following:&lt;/p&gt;&lt;ul&gt;&lt;li&gt;substituting the hazard for something safer (e.g. replacing a plugged-in tool with a battery-operated one)&lt;/li&gt;&lt;li&gt;isolating the hazard from people (e.g. disconnecting unsafe electrical equipment from the electricity supply and ensuring that the equipment is repaired, tested or replaced)&lt;/li&gt;&lt;li&gt;implementing engineering controls (e.g. installing residual current devices to reduce the risk of electric shock).&lt;/li&gt;&lt;/ul&gt;&lt;p&gt;If the risk still remains, the organisation should implement administrative controls (such as exclusion zones, permits and warning signs) and provide suitable personal protective equipment (e.g. protective eyewear, insulated gloves) to workers and other people at the workplace. A combination of control measures can be used if a single control does not provide adequate protection.&lt;/p&gt;&lt;p&gt;After implementing risk control measures, the organisation should maintain the controls (for example, by inspecting and testing electrical equipment) to ensure that they remain effective for the duration of the work. The organisation should also regularly review control measures (for example, by checking that training and competency are up to date) to ensure their ongoing effectiveness as the nature of work and the work environment change and potential new hazards emerge.&lt;/p&gt;&lt;p&gt;The organisation should consult with workers at every stage of the risk management process, and give workers a reasonable opportunity to express their views. The organisation should take those views into account before making decisions on electrical safety. The organisation should also ensure that workers have the required qualifications and experience, and receive the necessary training, instruction and supervision, to carry out electrical work safely.&lt;/p&gt;&lt;p&gt;An organisation will sometimes share responsibility for a work health and safety matter with other duty holders who are involved in the same work activities or share the same workplace&amp;mdash;for example, when an organisation engages an electrical contractor to carry out work at the workplace. The organisation should consult, cooperate and coordinate with other duty holders to eliminate or minimise risks, so far as is reasonably practicable.&lt;/p&gt;&lt;p&gt;The organisation should ensure that it is familiar with its obligations under related legislation (such as electrical safety and building laws) and consult with the relevant regulator and/or the local electricity supply authority where necessary.&lt;/p&gt;&lt;p&gt;Further information is available in the Model Code of Practice &amp;ndash; Managing electrical risks in the workplace, March 2015 (Safe Work Australia).&lt;/p&gt;</x:v>
      </x:c>
      <x:c r="K94" s="6" t="n">
        <x:f>=HYPERLINK("#K94","Guidance Notes")</x:f>
      </x:c>
      <x:c r="L94" s="6" t="str">
        <x:v>&lt;p&gt;Put in place a risk management process for electrical risks at the workplace.&lt;/p&gt;</x:v>
      </x:c>
      <x:c r="M94" s="6" t="n">
        <x:f>=HYPERLINK("#M94","Remediation")</x:f>
      </x:c>
      <x:c r="N94" s="6" t="str">
        <x:v>&lt;p&gt;The harmonised WHS Regulations impose a range of penalties for offences relating to electrical work. The maximum penalties for offences relating to electrical work on energised electrical equipment or near overhead and underground electric lines, or the use of residual current devices, amount to $30,000 for an organisation and $6,000 for an individual (Part 4.7).&lt;/p&gt;&lt;p&gt;More generally, more severe penalties under the harmonised WHS Acts may apply in relation to electrical safety and electrical work if an organisation breaches its primary duty of care or if an officer fails to exercise due diligence to ensure that the organisation complies with its health and safety duties.&lt;/p&gt;</x:v>
      </x:c>
      <x:c r="O94" s="6" t="n">
        <x:f>=HYPERLINK("#O94","Consequence")</x:f>
      </x:c>
      <x:c r="P94" s="6" t="str">
        <x:v>&lt;p&gt;&lt;a href="https://www.legislation.gov.au/Details/C2011A00137" target="_blank" &gt;Work Health and Safety Act 2011 (Cth)&lt;/a&gt; ss 22&amp;ndash;26 (see also corresponding Acts in ACT, NSW, NT, QLD, SA and TAS)&lt;/p&gt;&lt;p&gt;&lt;a href="https://www.legislation.gov.au/Details/F2011L02664" target="_blank" &gt;Work Health and Safety Regulations 2011 (Cth)&lt;/a&gt; Pt 4.7 (see also corresponding regulations in ACT, NSW, NT, SA and TAS)&lt;/p&gt;&lt;p&gt;Managing Electrical Risks in the Workplace Code of Practice&amp;mdash;March 2015&lt;/p&gt;&lt;p&gt;AS/NZS 3000:2007 Electrical Installations&lt;/p&gt;&lt;p&gt;AS/NZS 3760:2010 In-service Safety Inspection and Testing of Electrical Equipment&lt;/p&gt;&lt;p&gt;AS/NZS 3012:2010 Electrical Installations&amp;mdash;Construction and Demolition Sites&lt;/p&gt;</x:v>
      </x:c>
      <x:c r="Q94" s="6" t="n">
        <x:f>=HYPERLINK("#Q94","Source")</x:f>
      </x:c>
      <x:c r="R94"/>
      <x:c r="S94"/>
      <x:c r="T94"/>
    </x:row>
    <x:row r="95" spans="1:20" ht="15.75" x14ac:dyDescent="0.25">
      <x:c r="A95" t="n">
        <x:v>11881</x:v>
      </x:c>
      <x:c r="B95" t="str">
        <x:v>NSW,NT,QLD,SA,TAS,ACT,COMMONWEALTH</x:v>
      </x:c>
      <x:c r="C95" t="inlineStr">
        <x:is>
          <x:t xml:space="preserve">  Subobligation</x:t>
        </x:is>
      </x:c>
      <x:c r="D95" t="inlineStr">
        <x:is>
          <x:t xml:space="preserve">  Unsafe Electrical Equipment</x:t>
        </x:is>
      </x:c>
      <x:c r="E95" s="31" t="n">
        <x:v>14.01</x:v>
      </x:c>
      <x:c r="F95" s="8" t="n">
        <x:f>=HYPERLINK("#Obligation()","Workplace Management—Electrical Risks")</x:f>
      </x:c>
      <x:c r="G95" s="8" t="n">
        <x:f>=HYPERLINK("#SubObligation()","Unsafe Electrical Equipment")</x:f>
      </x:c>
      <x:c r="H95" s="6" t="n">
        <x:f>=HYPERLINK("#H95","Tools")</x:f>
      </x:c>
      <x:c r="I95" s="27" t="str">
        <x:v>&lt;b&gt;&lt;p&gt;Unsafe Electrical Equipment&lt;/p&gt;Does the organisation have a documented and effective process for managing the risks of unsafe electrical equipment at the workplace?&lt;/b&gt;</x:v>
      </x:c>
      <x:c r="J95" s="6" t="str">
        <x:v>&lt;p&gt;An organisation must ensure that any unsafe electrical equipment at the workplace is disconnected (or isolated) from its electricity supply. Once the equipment is disconnected or isolated, it must not be reconnected until it is repaired or tested and found to be safe. Alternatively, the equipment must be replaced or permanently removed from use.&lt;/p&gt;&lt;p&gt;Under the harmonised Work Health and Safety Regulations, electrical equipment is deemed to be unsafe if there are reasonable grounds for believing it to be unsafe.&lt;/p&gt;&lt;p&gt;Procedures for managing the risks of unsafe electrical equipment and installations should include:&lt;/p&gt;&lt;ul&gt;&lt;li&gt;disconnecting or isolating unsafe equipment from its electricity supply&lt;/li&gt;&lt;li&gt;labelling unsafe equipment or installations to prevent inadvertent use&lt;/li&gt;&lt;li&gt;not reconnecting unsafe equipment until it has been tested safe, repaired or replaced&lt;/li&gt;&lt;li&gt;permanently removing equipment that cannot be made safe through repairs&lt;/li&gt;&lt;li&gt;checking the physical condition of the electrical equipment, leads and plug connections prior to use&lt;/li&gt;&lt;li&gt;making the assumption that equipment of questionable safety is unsafe and treating it as such&lt;/li&gt;&lt;li&gt;avoiding the use of equipment of questionable safety at any time.&lt;/li&gt;&lt;/ul&gt;&lt;p&gt;The organisation should put in place a process for reporting unsafe equipment to supervisors or managers. See Tools &amp;ndash; Model code of practice &amp;ndash; Managing electrical risks in the workplace, March 2015 (Safe Work Australia) and Electrical risks at the workplace (Safe Work Australia fact sheet, August 2012).&lt;/p&gt;&lt;p&gt;Procedures for inspection and testing of unsafe electrical equipment and installations should include:&lt;/p&gt;&lt;ul&gt;&lt;li&gt;regular visual inspection to identify obvious damage&lt;/li&gt;&lt;li&gt;regular testing to identify electrical faults and deterioration not detectable by visual inspection.&lt;/li&gt;&lt;/ul&gt;&lt;p&gt;The frequency of testing should be in accordance with the manufacturer&amp;rsquo;s instructions, where applicable. The organisation should keep a record of tests on electrical equipment to demonstrate compliance with work health and safety legislation and inform subsequent risk assessments.&lt;/p&gt;</x:v>
      </x:c>
      <x:c r="K95" s="6" t="n">
        <x:f>=HYPERLINK("#K95","Guidance Notes")</x:f>
      </x:c>
      <x:c r="L95" s="6" t="str">
        <x:v>&lt;p&gt;Put in place a documented and effective process for managing the risks of unsafe electrical equipment in the workplace.&lt;/p&gt;</x:v>
      </x:c>
      <x:c r="M95" s="6" t="n">
        <x:f>=HYPERLINK("#M95","Remediation")</x:f>
      </x:c>
      <x:c r="N95" s="6" t="str">
        <x:v>&lt;p&gt;The maximum penalties for failing to follow the requirements relating to unsafe electrical equipment are $18,000 for an organisation and $3,600 for an individual (reg 149).&lt;/p&gt;</x:v>
      </x:c>
      <x:c r="O95" s="6" t="n">
        <x:f>=HYPERLINK("#O95","Consequence")</x:f>
      </x:c>
      <x:c r="P95" s="6" t="str">
        <x:v>&lt;p&gt;&lt;a href="https://www.legislation.gov.au/Details/F2011L02664" target="_blank" &gt;Work Health and Safety Regulations 2011 (Cth)&lt;/a&gt; reg 149 (see also corresponding regulations in ACT, NSW, NT, SA and TAS)&lt;/p&gt;&lt;p&gt;Model Code Of Practice &amp;ndash; Managing Electrical Risks in the Workplace, March 2015 (Safe Work Australia)&lt;/p&gt;&lt;p&gt;AS/NZS 3100:2009 Approval and Test Specification&amp;mdash;General Requirements For Electrical Equipment&lt;/p&gt;&lt;p&gt;AS/NZS 3760:2010 In-Service Safety Inspection and Testing of Electrical Equipment&lt;/p&gt;&lt;p&gt;AS/NZS 3012:2010 Electrical Installations&amp;mdash;Construction and Demolition Sites&lt;/p&gt;&lt;p&gt;AS/NZS 3551:2004 Technical Management Programs For Medical Devices&lt;/p&gt;&lt;p&gt;AS/NZS 3003:2011 Electrical Installations&amp;mdash;Patient Areas&lt;/p&gt;</x:v>
      </x:c>
      <x:c r="Q95" s="6" t="n">
        <x:f>=HYPERLINK("#Q95","Source")</x:f>
      </x:c>
      <x:c r="R95"/>
      <x:c r="S95"/>
      <x:c r="T95"/>
    </x:row>
    <x:row r="96" spans="1:20" ht="15.75" x14ac:dyDescent="0.25">
      <x:c r="A96" t="n">
        <x:v>11884</x:v>
      </x:c>
      <x:c r="B96" t="str">
        <x:v>NSW,NT,QLD,SA,TAS,ACT,COMMONWEALTH</x:v>
      </x:c>
      <x:c r="C96" t="inlineStr">
        <x:is>
          <x:t xml:space="preserve">  Subobligation</x:t>
        </x:is>
      </x:c>
      <x:c r="D96" t="inlineStr">
        <x:is>
          <x:t xml:space="preserve">  Inspection and Testing of Electrical Equipment—Lower-Risk Workplaces</x:t>
        </x:is>
      </x:c>
      <x:c r="E96" s="31" t="n">
        <x:v>14.02</x:v>
      </x:c>
      <x:c r="F96" s="8" t="n">
        <x:f>=HYPERLINK("#Obligation()","Workplace Management—Electrical Risks")</x:f>
      </x:c>
      <x:c r="G96" s="8" t="n">
        <x:f>=HYPERLINK("#SubObligation()","Inspection and Testing of Electrical Equipment—Lower-Risk Workplaces")</x:f>
      </x:c>
      <x:c r="H96" s="6" t="n">
        <x:f>=HYPERLINK("#H96","Tools")</x:f>
      </x:c>
      <x:c r="I96" s="27" t="str">
        <x:v>&lt;b&gt;&lt;p&gt;Inspection and Testing of Electrical Equipment—Lower-Risk Workplaces&lt;/p&gt;Does the organisation have a documented and effective process for inspecting and testing electrical equipment in lower-risk workplaces?&lt;/b&gt;</x:v>
      </x:c>
      <x:c r="J96" s="6" t="str">
        <x:v>&lt;p&gt;An organisation has a duty to manage health and safety risks associated with electrical risks at the workplace. One example of electrical risk management is inspection and testing of electrical equipment.&lt;/p&gt;&lt;p&gt;The harmonised Work Health and Safety Regulations do not specifically require an organisation to undertake inspection and testing of electrical equipment if the equipment is only used in lower-risk operating environments where the conditions are less likely to damage electrical equipment. Such environments include those that are dry, clean and well organised, such as offices, retail shops, telecommunications centres and classrooms. However, within those environments, it is necessary to consider if there are any areas that might expose electrical equipment to harsh conditions (e.g. moisture in a kitchen). If the equipment is exposed to such conditions, testing is required.&lt;/p&gt;&lt;p&gt;While inspection and testing of electrical equipment in lower-risk workplaces is not mandatory, it is good practice to inspect and test electrical equipment as appropriate in the circumstances. The Australian/New Zealand Standard (AS/NZS) 3760:2010 In-service safety inspection and testing of electrical equipment sets out guidance for inspecting and testing electrical equipment in lower-risk workplaces, and includes indicative inspection and testing intervals for certain electrical equipment.&lt;/p&gt;&lt;p&gt;Testing should be carried out:&lt;/p&gt;&lt;ul&gt;&lt;li&gt;by a competent person&lt;/li&gt;&lt;li&gt;after a repair or servicing and before the equipment is returned to use&lt;/li&gt;&lt;li&gt;on second-hand equipment before its first use.&lt;/li&gt;&lt;/ul&gt;&lt;p&gt;All testing should be documented, and the test results should be kept until the next test, or until the equipment is disposed of.&lt;/p&gt;&lt;p&gt;Procedures for the inspection and testing of electrical equipment should include:&lt;/p&gt;&lt;ul&gt;&lt;li&gt;regular visual inspection to identify obvious damage or discolouration&lt;/li&gt;&lt;li&gt;visual inspection of new, unused equipment to identify obvious damage (no need for testing)&lt;/li&gt;&lt;li&gt;checking the physical condition of the electrical equipment, leads and plug connections before use&lt;/li&gt;&lt;li&gt;checking that ventilation inlets and exhausts are unobstructed&lt;/li&gt;&lt;li&gt;checking that the current rating of the plug matches the current rating of the associated electrical equipment&lt;/li&gt;&lt;li&gt;testing by a competent person to identify electrical faults and deterioration not detectable by visual inspection, such as the integrity of protective earth and insulation resistance.&lt;/li&gt;&lt;/ul&gt;&lt;p&gt;The organisation should ensure that it tests electrical equipment in accordance with any advice provided by the manufacturer.&lt;/p&gt;&lt;p&gt;Further guidance on inspecting and testing electrical equipment in lower-risk workplaces, see Tools &amp;ndash; Model code of practice &amp;ndash; Managing electrical risks in the workplace, March 2015 (Safe Work Australia) and Electrical risks at the workplace (Safe Work Australia fact sheet, August 2012).&lt;/p&gt;</x:v>
      </x:c>
      <x:c r="K96" s="6" t="n">
        <x:f>=HYPERLINK("#K96","Guidance Notes")</x:f>
      </x:c>
      <x:c r="L96" s="6" t="str">
        <x:v>&lt;p&gt;Put in place a documented and effective process for the inspection and testing of electrical equipment in lower-risk workplaces.&lt;/p&gt;</x:v>
      </x:c>
      <x:c r="M96" s="6" t="n">
        <x:f>=HYPERLINK("#M96","Remediation")</x:f>
      </x:c>
      <x:c r="N96" s="6" t="str">
        <x:v>&lt;p&gt;No specific penalties apply for failing to inspect and test electrical equipment in lower-risk workplaces. The maximum penalties for failing to inspect and test electrical equipment in higher-risk work environments are $18,000 for an organisation and $3,600 for an individual (reg 150).&lt;/p&gt;</x:v>
      </x:c>
      <x:c r="O96" s="6" t="n">
        <x:f>=HYPERLINK("#O96","Consequence")</x:f>
      </x:c>
      <x:c r="P96" s="6" t="str">
        <x:v>&lt;p&gt;&lt;a href="https://www.legislation.gov.au/Details/F2011L02664" target="_blank" &gt;Work Health and Safety Regulations 2011 (Cth)&lt;/a&gt; regs 147&amp;ndash;151 (see also corresponding regulations in ACT, NSW, NT, SA and TAS)&lt;/p&gt;&lt;p&gt;Model Code Of Practice &amp;ndash; Managing Electrical Risks in the Workplace, March 2015 (Safe Work Australia)&lt;/p&gt;&lt;p&gt;AS/NZS 3760:2010 In-Service Safety Inspection and Testing of Electrical Equipment&lt;/p&gt;&lt;p&gt;AS/NZS 3017:2007 Electrical Installations&amp;mdash;Verification Guidelines&lt;/p&gt;&lt;p&gt;AS/NZS 3551:2004 Technical Management Programs For Medical Devices&lt;/p&gt;&lt;p&gt;AS/NZS 3003:2011 Electrical Installations&amp;mdash;Patient Areas&lt;/p&gt;</x:v>
      </x:c>
      <x:c r="Q96" s="6" t="n">
        <x:f>=HYPERLINK("#Q96","Source")</x:f>
      </x:c>
      <x:c r="R96"/>
      <x:c r="S96"/>
      <x:c r="T96"/>
    </x:row>
    <x:row r="97" spans="1:20" ht="15.75" x14ac:dyDescent="0.25">
      <x:c r="A97" t="n">
        <x:v>11887</x:v>
      </x:c>
      <x:c r="B97" t="str">
        <x:v>NSW,NT,QLD,SA,TAS,ACT,COMMONWEALTH</x:v>
      </x:c>
      <x:c r="C97" t="inlineStr">
        <x:is>
          <x:t xml:space="preserve">  Subobligation</x:t>
        </x:is>
      </x:c>
      <x:c r="D97" t="inlineStr">
        <x:is>
          <x:t xml:space="preserve">  Inspection and Testing of Electrical Equipment—Higher-Risk Workplaces</x:t>
        </x:is>
      </x:c>
      <x:c r="E97" s="31" t="n">
        <x:v>14.03</x:v>
      </x:c>
      <x:c r="F97" s="8" t="n">
        <x:f>=HYPERLINK("#Obligation()","Workplace Management—Electrical Risks")</x:f>
      </x:c>
      <x:c r="G97" s="8" t="n">
        <x:f>=HYPERLINK("#SubObligation()","Inspection and Testing of Electrical Equipment—Higher-Risk Workplaces")</x:f>
      </x:c>
      <x:c r="H97" s="6" t="n">
        <x:f>=HYPERLINK("#H97","Tools")</x:f>
      </x:c>
      <x:c r="I97" s="27" t="str">
        <x:v>&lt;b&gt;&lt;p&gt;Inspection and Testing of Electrical Equipment—Higher-Risk Workplaces&lt;/p&gt;Does the organisation have a documented and effective process for inspecting and testing electrical equipment in higher-risk workplaces?&lt;/b&gt;</x:v>
      </x:c>
      <x:c r="J97" s="6" t="str">
        <x:v>&lt;p&gt;An organisation must ensure that electrical equipment is regularly inspected and tested by a competent person if the equipment is supplied with electricity through an electrical socket outlet and is used in a work environment where it may be more easily damaged or its expected life span may be reduced. If the electrical equipment is found to be unsafe, it must not be used.&lt;/p&gt;&lt;p&gt;Workplaces that have a higher risk of damage to electrical equipment are those where the equipment is exposed to conditions such as moisture, heat, vibration, mechanical damage, corrosive chemicals or dust&amp;mdash;for example, commercial kitchens, manufacturing plants and construction sites. Moving equipment and leads to different work locations, or frequently moving equipment and leads during normal use within a workplace, may increase the likelihood of damage or a reduced life span.&lt;/p&gt;&lt;p&gt;An organisation is not required to test new and unused equipment at a higher-risk workplace, but it must ensure that the equipment is inspected for obvious damage before being used for the first time.&lt;/p&gt;&lt;p&gt;An organisation must ensure that any testing carried out on electrical equipment in a higher-risk workplace is kept until the equipment is next tested, or until it is permanently removed from the workplace or disposed of. The record of testing may be in the form of a tag attached to the equipment, and must specify:&lt;/p&gt;&lt;ul&gt;&lt;li&gt;the name of the person who carried out the testing&lt;/li&gt;&lt;li&gt;the date of the testing&lt;/li&gt;&lt;li&gt;the outcome of the testing&lt;/li&gt;&lt;li&gt;the date on which the next testing must be carried out.&lt;/li&gt;&lt;/ul&gt;&lt;p&gt;An organisation must ensure, so far as is reasonably practicable, that electrical equipment is not used if the required testing of the equipment has not been carried out.&lt;/p&gt;&lt;p&gt;The harmonised Work Health and Safety Regulations set out additional electrical safety duties for organisations that carry out construction work.&lt;/p&gt;&lt;p&gt;The organisation should undertake a hazard identification and risk assessment process to assist in determining whether electrical equipment is being used in conditions that are likely to result in damage to electrical equipment or a shorter-than-expected life span for the equipment. The organisation should take steps to reduce the risk of damage to the equipment during normal use, so far as is reasonably practicable.&lt;/p&gt;&lt;p&gt;The Australian/New Zealand Standard (AS/NZS) 3760:2010 In-service safety inspection and testing of electrical equipment sets out guidance on inspection and testing. The organisation should ensure that the frequency and method of inspection and testing complies with the relevant standards and the manufacturer&amp;rsquo;s specifications.&lt;/p&gt;&lt;p&gt;Testing should be carried out regularly by a competent person&amp;mdash;that is, a qualified, licensed or registered electrician or electrical inspector, or a specialist testing provider. The organisation should ensure that the testing is carried out in compliance with local electrical safety laws where applicable. If the equipment is found to be unsafe, it should be labeled as such and removed from use.&lt;/p&gt;&lt;p&gt;The organisation should have a process for documenting inspections and tests, and keeping a record of testing results for the required period. Where appropriate, test results should be recorded on a tag that:&lt;/p&gt;&lt;ul&gt;&lt;li&gt;is attached to the equipment&lt;/li&gt;&lt;li&gt;is durable, water resistant, non-metallic, well secured and incapable of reuse&lt;/li&gt;&lt;li&gt;has a bright, distinctive surface.&lt;/li&gt;&lt;/ul&gt;&lt;p&gt;If using tags to record testing results, the organisation should also keep a separate back-up record in case of damage to tags.&lt;/p&gt;&lt;p&gt;Procedures for the inspection and testing of electrical equipment should include regular visual inspection to identify wear, damage or discolouration, and visual inspection of new, unused equipment before the first use to identify obvious damage.&lt;/p&gt;&lt;p&gt;As a general rule, testing of electrical equipment should be carried out at least annually to identify electrical faults and deterioration not detectable by visual inspection, such as the integrity of protective earth and insulation resistance. Testing is recommended at least every 6 months for manufacturing and workshop conditions and commercial cleaning equipment, and at least every 3&amp;nbsp;months for hired equipment, including a test at the commencement of each hire.&lt;/p&gt;&lt;p&gt;The organisation should ensure that it has an effective process for preventing the use of all untested plugged-in equipment that is not new or unused&amp;mdash;for example, by providing storage of such equipment in locked areas or &amp;lsquo;lock out&amp;rsquo; labels or tags.&lt;/p&gt;&lt;p&gt;Further guidance on inspecting and testing electrical equipment in higher-risk workplaces see Tools &amp;ndash; Model code of practice &amp;ndash; Managing electrical risks in the workplace, March 2015 (Safe Work Australia) and Electrical risks at the workplace (Safe Work Australia fact sheet, August 2012).&lt;/p&gt;</x:v>
      </x:c>
      <x:c r="K97" s="6" t="n">
        <x:f>=HYPERLINK("#K97","Guidance Notes")</x:f>
      </x:c>
      <x:c r="L97" s="6" t="str">
        <x:v>&lt;p&gt;Put in place a documented and effective process for inspecting and testing electrical equipment in specified higher-risk workplaces.&lt;/p&gt;</x:v>
      </x:c>
      <x:c r="M97" s="6" t="n">
        <x:f>=HYPERLINK("#M97","Remediation")</x:f>
      </x:c>
      <x:c r="N97" s="6" t="str">
        <x:v>&lt;p&gt;The maximum penalties for failing to inspect and test electrical equipment&amp;mdash;or failing to inspect new and unused equipment for obvious damage&amp;mdash;in higher-risk workplaces are $18,000 for an organisation and $3,600 for an individual (reg 150). Failure to ensure that untested electrical equipment is not used (where testing is required) attracts the same maximum penalties (reg 151).&lt;/p&gt;&lt;p&gt;Failure to keep records of testing for the required period carries maximum penalties of $6,000 for an organisation and $1,250 for an individual (reg 150).&lt;/p&gt;</x:v>
      </x:c>
      <x:c r="O97" s="6" t="n">
        <x:f>=HYPERLINK("#O97","Consequence")</x:f>
      </x:c>
      <x:c r="P97" s="6" t="str">
        <x:v>&lt;p&gt;&lt;a href="https://www.legislation.gov.au/Details/F2011L02664" target="_blank" &gt;Work Health and Safety Regulations 2011 (Cth)&lt;/a&gt; regs 150&amp;ndash;151, 163 (see also corresponding regulations in ACT, NSW, NT, SA and TAS)&lt;/p&gt;&lt;p&gt;Model Code Of Practice &amp;ndash; Managing Electrical Risks in the Workplace, March 2015 (Safe Work Australia)&lt;/p&gt;&lt;p&gt;AS/NZS 3760:2010 In-Service Safety Inspection and Testing of Electrical Equipment&lt;/p&gt;&lt;p&gt;AS/NZS 3012:2010 Electrical Installations&amp;mdash;Construction and Demolition Sites&lt;/p&gt;&lt;p&gt;AS/NZS 3017:2007 Electrical Installations&amp;mdash;Verification Guidelines&lt;/p&gt;</x:v>
      </x:c>
      <x:c r="Q97" s="6" t="n">
        <x:f>=HYPERLINK("#Q97","Source")</x:f>
      </x:c>
      <x:c r="R97"/>
      <x:c r="S97"/>
      <x:c r="T97"/>
    </x:row>
    <x:row r="98" spans="1:20" ht="15.75" x14ac:dyDescent="0.25">
      <x:c r="A98" t="n">
        <x:v>11890</x:v>
      </x:c>
      <x:c r="B98" t="str">
        <x:v>NSW,NT,QLD,SA,TAS,ACT,COMMONWEALTH</x:v>
      </x:c>
      <x:c r="C98" t="inlineStr">
        <x:is>
          <x:t xml:space="preserve">  Subobligation</x:t>
        </x:is>
      </x:c>
      <x:c r="D98" t="inlineStr">
        <x:is>
          <x:t xml:space="preserve">  Electrical Work on De-energised Electrical Equipment</x:t>
        </x:is>
      </x:c>
      <x:c r="E98" s="31" t="n">
        <x:v>14.04</x:v>
      </x:c>
      <x:c r="F98" s="8" t="n">
        <x:f>=HYPERLINK("#Obligation()","Workplace Management—Electrical Risks")</x:f>
      </x:c>
      <x:c r="G98" s="8" t="n">
        <x:f>=HYPERLINK("#SubObligation()","Electrical Work on De-energised Electrical Equipment")</x:f>
      </x:c>
      <x:c r="H98" s="6" t="n">
        <x:f>=HYPERLINK("#H98","Tools")</x:f>
      </x:c>
      <x:c r="I98" s="27" t="str">
        <x:v>&lt;b&gt;&lt;p&gt;Electrical Work on De-energised Electrical Equipment&lt;/p&gt;Does the organisation ensure that electrical equipment is de-energised before electrical work is carried out on it, unless an exception applies?&lt;/b&gt;</x:v>
      </x:c>
      <x:c r="J98" s="6" t="str">
        <x:v>&lt;p&gt;Electrical equipment is de-energised when it is separated from all sources of electricity supply, but not necessarily isolated, earthed, discharged or out of commission. Working on de-energised equipment significantly reduces electrical risks.&lt;/p&gt;&lt;p&gt;In general, an organisation must ensure that electrical work is not carried out on electrical equipment while the equipment is energised. The harmonised Work Health and Safety (WHS) Regulations provide a number of exceptions to this general prohibition on energised electrical work (see Permitted Electrical Work on Energised Electrical Equipment).&lt;/p&gt;&lt;p&gt;Before work is carried out on electrical equipment, an organisation must ensure that the equipment is tested by a competent person to determine whether or not it is energised. The organisation must ensure that:&lt;/p&gt;&lt;ul&gt;&lt;li&gt;each exposed part is treated as energised until it is isolated and determined not to be energised&lt;/li&gt;&lt;li&gt;each high-voltage exposed part is earthed after being de-energised.&lt;/li&gt;&lt;/ul&gt;&lt;p&gt;An organisation must ensure that electrical equipment that has been de-energised to allow electrical work to be carried out on it is not inadvertently re-energised while the work is being carried out.&lt;/p&gt;&lt;p&gt;Note: These provisions of the harmonised WHS Regulations do not apply to work carried out by or on behalf of an electricity supply authority on electrical equipment that is controlled or operated by the authority to transform, transmit or supply electricity (including electric line-associated equipment). Each of the jurisdictions has amended this exemption slightly so that it works for the specific circumstances of the jurisdiction.&lt;/p&gt;&lt;p&gt;The organisation should put in place procedures for verifying that electrical equipment is de-energised (testing for &amp;lsquo;dead&amp;rsquo;) before any electrical work is carried out on the equipment. The procedures should specify that the verification:&lt;/p&gt;&lt;ul&gt;&lt;li&gt;be carried out by a competent person&lt;/li&gt;&lt;li&gt;be undertaken as appropriate for the duration of the electrical work, prior to touching the equipment&lt;/li&gt;&lt;li&gt;take account of the nature of the conductor, the isolation and the electrical work&lt;/li&gt;&lt;li&gt;take account of any change and whether the area has been left idle (unattended) for a period&lt;/li&gt;&lt;li&gt;use a safe and effective testing method and testing equipment&lt;/li&gt;&lt;li&gt;not rely exclusively on voltmeters&lt;/li&gt;&lt;li&gt;use voltmeters that have been tested for effectiveness before and after use&lt;/li&gt;&lt;li&gt;include the prevention of direct contact with exposed conductors, if present, through the use of insulated barricades, shrouding or other materials.&lt;/li&gt;&lt;/ul&gt;&lt;p&gt;Where work is to be carried out on a cable (including cutting a cable), the organisation should have procedures for ensuring that the cable is de-energised.&lt;/p&gt;&lt;p&gt;When working on low-voltage equipment or circuits, the organisation should have procedures for ensuring that the equipment or circuits are effectively isolated from all relevant sources of electricity supply (for example, by using opening switches, removing fuses or links, opening circuit breakers or removing circuit connections).&lt;/p&gt;&lt;p&gt;Procedures for ensuring that the de-energised equipment is not inadvertently re-energised during electrical work should include the following:&lt;/p&gt;&lt;ul&gt;&lt;li&gt;The correct isolation point must be identified.&lt;/li&gt;&lt;li&gt;The appropriate means of isolation must be used.&lt;/li&gt;&lt;li&gt;The isolation point should be under the control of the person carrying out the work.&lt;/li&gt;&lt;li&gt;The isolation point needs to be secured by locking off and tagging (see Tagging Electrical Equipment).&lt;/li&gt;&lt;li&gt;The locking devices need to be able to withstand conditions that may cause the isolation to fail, such as vibration.&lt;/li&gt;&lt;/ul&gt;&lt;p&gt;The organisation should reinforce the safe work principle &amp;lsquo;test for &amp;ldquo;dead&amp;rdquo; before you touch&amp;rsquo; among workers, and ensure that the principle is followed in practice. The organisation should ensure that workers receive the necessary information, training and supervision to ensure that electrical equipment is de-energised for the duration of the work.&lt;/p&gt;&lt;p&gt;The organisation should consider providing workers with personal protective equipment, such as insulated gloves, for de-energised electrical work as part of a comprehensive risk control strategy.&lt;/p&gt;&lt;p&gt;Electrical work (whether energised or de-energised) must only be carried out by appropriately licensed or registered electrical workers. The organisation should contact the local regulator for more information about the applicable electrical licensing or registration laws.&lt;/p&gt;&lt;p&gt;Further guidance on carrying out electrical work on de-energised electrical equipment, see Tools &amp;ndash; Model code of practice &amp;ndash; Managing electrical risks in the workplace, March 2015 (Safe Work Australia).&lt;/p&gt;</x:v>
      </x:c>
      <x:c r="K98" s="6" t="n">
        <x:f>=HYPERLINK("#K98","Guidance Notes")</x:f>
      </x:c>
      <x:c r="L98" s="6" t="str">
        <x:v>&lt;p&gt;Put in place procedures to ensure that electrical equipment is verified as de-energised before electrical work is carried out on the equipment, and that the equipment is not inadvertently re-energised while the work is being carried out.&lt;/p&gt;</x:v>
      </x:c>
      <x:c r="M98" s="6" t="n">
        <x:f>=HYPERLINK("#M98","Remediation")</x:f>
      </x:c>
      <x:c r="N98" s="6" t="str">
        <x:v>&lt;p&gt;The WHS Regulations impose penalties for:&lt;/p&gt;&lt;ul&gt;&lt;li&gt;allowing work to be carried out on energised electrical equipment (unless an exception applies) (reg 154)&lt;/li&gt;&lt;li&gt;failing to verify that electrical equipment is de-energised before allowing work to be carried out on it (reg 155)&lt;/li&gt;&lt;li&gt;failing to treat each exposed part as energised until it is isolated and determined not to be energised (reg 155)&lt;/li&gt;&lt;li&gt;failing to ensure that each high-voltage exposed part is earthed after being de-energised (reg&amp;nbsp;155)&lt;/li&gt;&lt;li&gt;failing to ensure that de-energised equipment is not inadvertently re-energised while work is being carried out on it (reg 156).&lt;/li&gt;&lt;/ul&gt;&lt;p&gt;In all of the cases listed above, the maximum penalties are $30,000 for an organisation and $6,000 for an individual.&lt;/p&gt;</x:v>
      </x:c>
      <x:c r="O98" s="6" t="n">
        <x:f>=HYPERLINK("#O98","Consequence")</x:f>
      </x:c>
      <x:c r="P98" s="6" t="str">
        <x:v>&lt;p&gt;&lt;a href="https://www.legislation.gov.au/Details/F2011L02664" target="_blank" &gt;Work Health and Safety Regulations 2011 (Cth)&lt;/a&gt; regs 152&amp;ndash;156 (see also corresponding regulations in ACT, NSW, NT, SA and TAS)&lt;/p&gt;&lt;p&gt;Model Code Of Practice &amp;ndash; Managing Electrical Risks in the Workplace, March 2015 (Safe Work Australia)&lt;/p&gt;</x:v>
      </x:c>
      <x:c r="Q98" s="6" t="n">
        <x:f>=HYPERLINK("#Q98","Source")</x:f>
      </x:c>
      <x:c r="R98"/>
      <x:c r="S98"/>
      <x:c r="T98"/>
    </x:row>
    <x:row r="99" spans="1:20" ht="15.75" x14ac:dyDescent="0.25">
      <x:c r="A99" t="n">
        <x:v>11893</x:v>
      </x:c>
      <x:c r="B99" t="str">
        <x:v>NSW,NT,QLD,SA,TAS,ACT,COMMONWEALTH</x:v>
      </x:c>
      <x:c r="C99" t="inlineStr">
        <x:is>
          <x:t xml:space="preserve">  Subobligation</x:t>
        </x:is>
      </x:c>
      <x:c r="D99" t="inlineStr">
        <x:is>
          <x:t xml:space="preserve">  Permitted Electrical Work on Energised Electrical Equipment</x:t>
        </x:is>
      </x:c>
      <x:c r="E99" s="31" t="n">
        <x:v>14.05</x:v>
      </x:c>
      <x:c r="F99" s="8" t="n">
        <x:f>=HYPERLINK("#Obligation()","Workplace Management—Electrical Risks")</x:f>
      </x:c>
      <x:c r="G99" s="8" t="n">
        <x:f>=HYPERLINK("#SubObligation()","Permitted Electrical Work on Energised Electrical Equipment")</x:f>
      </x:c>
      <x:c r="H99" s="6" t="n">
        <x:f>=HYPERLINK("#H99","Tools")</x:f>
      </x:c>
      <x:c r="I99" s="27" t="str">
        <x:v>&lt;b&gt;&lt;p&gt;Permitted Electrical Work on Energised Electrical Equipment&lt;/p&gt;Does the organisation ensure that electrical work on energised electrical equipment is only carried out in circumstances where such work is permitted by law?&lt;/b&gt;</x:v>
      </x:c>
      <x:c r="J99" s="6" t="str">
        <x:v>&lt;p&gt;Energised electrical work is electrical work carried out in circumstances where the part of electrical equipment being worked on is connected to electricity or &amp;lsquo;energised&amp;rsquo;. This type of work is prohibited except in the following situations:&lt;/p&gt;&lt;ul&gt;&lt;li&gt;when the work is necessary in the interests of health and safety (e.g. it may be necessary that life-saving equipment remain energised and operating while electrical work is carried out on the equipment)&lt;/li&gt;&lt;li&gt;when it is necessary that the electrical equipment to be worked on is energised in order for the work to be carried out properly (e.g. changing an isolation point to allow for testing or fault finding on energised parts)&lt;/li&gt;&lt;li&gt;when the work is required for testing to check whether equipment is energised&lt;/li&gt;&lt;li&gt;when there is no reasonable alternative means of carrying out the work.&lt;/li&gt;&lt;/ul&gt;&lt;p&gt;Compliance information on risk controls and record keeping for permitted energised electrical work is given separately in this section of the module.&lt;/p&gt;&lt;p&gt;Note: These provisions of the harmonised Work Health and Safety (WHS) Regulations do not apply to work carried out by or on behalf of an electricity supply authority on electrical equipment that is controlled or operated by the authority to transform, transmit or supply electricity (including electric line-associated equipment).&lt;/p&gt;&lt;p&gt;Where appropriate, the organisation should first attempt to carry out the electrical work on de-energised electrical equipment.&lt;/p&gt;&lt;p&gt;If de-energised electrical work is not appropriate in the circumstances, the organisation should assess whether energised electrical work is permitted under the WHS Regulations. Convenience or business operational reasons alone are not acceptable justifications for electrical work to be energised.&lt;/p&gt;&lt;p&gt;Further guidance on carrying out permitted electrical work on energised electrical equipment, see Tools &amp;ndash; Model code of practice &amp;ndash; Managing electrical risks in the workplace, March 2015 (Safe Work Australia).&lt;/p&gt;</x:v>
      </x:c>
      <x:c r="K99" s="6" t="n">
        <x:f>=HYPERLINK("#K99","Guidance Notes")</x:f>
      </x:c>
      <x:c r="L99" s="6" t="str">
        <x:v>&lt;p&gt;Put in place a process to ensure that energised electrical work only takes place in circumstances where such work is permitted under the WHS Regulations.&lt;/p&gt;</x:v>
      </x:c>
      <x:c r="M99" s="6" t="n">
        <x:f>=HYPERLINK("#M99","Remediation")</x:f>
      </x:c>
      <x:c r="N99" s="6" t="str">
        <x:v>&lt;p&gt;The maximum penalties for allowing electrical work to be carried out on energised electrical equipment in circumstances where such work is not permitted under the WHS Regulations are $30,000 for an organisation and $6,000 for an individual (reg 157).&lt;/p&gt;</x:v>
      </x:c>
      <x:c r="O99" s="6" t="n">
        <x:f>=HYPERLINK("#O99","Consequence")</x:f>
      </x:c>
      <x:c r="P99" s="6" t="str">
        <x:v>&lt;p&gt;&lt;a href="https://www.legislation.gov.au/Details/F2011L02664" target="_blank" &gt;Work Health and Safety Regulations 2011 (Cth)&lt;/a&gt; reg 157 (see also corresponding regulations in ACT, NSW, NT, SA and TAS)&lt;/p&gt;&lt;p&gt;Model Code Of Practice &amp;ndash; Managing Electrical Risks in the Workplace, March 2015 (Safe Work Australia)&lt;/p&gt;&lt;p&gt;AS/NZS 3000:2007 Electrical installations&lt;/p&gt;&lt;p&gt;AS/NZS 3017:2007 Electrical installations&amp;mdash;Verification guidelines&lt;/p&gt;</x:v>
      </x:c>
      <x:c r="Q99" s="6" t="n">
        <x:f>=HYPERLINK("#Q99","Source")</x:f>
      </x:c>
      <x:c r="R99"/>
      <x:c r="S99"/>
      <x:c r="T99"/>
    </x:row>
    <x:row r="100" spans="1:20" ht="15.75" x14ac:dyDescent="0.25">
      <x:c r="A100" t="n">
        <x:v>11896</x:v>
      </x:c>
      <x:c r="B100" t="str">
        <x:v>NSW,NT,QLD,SA,TAS,ACT,COMMONWEALTH</x:v>
      </x:c>
      <x:c r="C100" t="inlineStr">
        <x:is>
          <x:t xml:space="preserve">  Subobligation</x:t>
        </x:is>
      </x:c>
      <x:c r="D100" t="inlineStr">
        <x:is>
          <x:t xml:space="preserve">  Risk Controls for Permitted Work on Energised Electrical Equipment</x:t>
        </x:is>
      </x:c>
      <x:c r="E100" s="31" t="n">
        <x:v>14.06</x:v>
      </x:c>
      <x:c r="F100" s="8" t="n">
        <x:f>=HYPERLINK("#Obligation()","Workplace Management—Electrical Risks")</x:f>
      </x:c>
      <x:c r="G100" s="8" t="n">
        <x:f>=HYPERLINK("#SubObligation()","Risk Controls for Permitted Work on Energised Electrical Equipment")</x:f>
      </x:c>
      <x:c r="H100" s="6" t="n">
        <x:f>=HYPERLINK("#H100","Tools")</x:f>
      </x:c>
      <x:c r="I100" s="27" t="str">
        <x:v>&lt;b&gt;&lt;p&gt;Risk Controls for Permitted Work on Energised Electrical Equipment&lt;/p&gt;Does the organisation fulfil all requirements for permitted electrical work on energised electrical equipment, including a mandatory risk assessment and safe work method statement?&lt;/b&gt;</x:v>
      </x:c>
      <x:c r="J100" s="6" t="str">
        <x:v>&lt;p&gt;Before permitted electrical work on energised electrical equipment can begin, an organisation must take a number of preliminary steps. The organisation must ensure that:&lt;/p&gt;&lt;ul&gt;&lt;li&gt;a risk assessment is conducted by a competent person and recorded&lt;/li&gt;&lt;li&gt;the area where the work is to be carried out is clear of obstructions so as to allow for easy access and exit&lt;/li&gt;&lt;li&gt;the point at which the electrical equipment can be disconnected or isolated from its electricity supply is: &lt;br /&gt;&lt;p&gt;- clearly marked or labelled&lt;/p&gt;&lt;p&gt;- clear of obstructions so as to allow for easy access and exit by the worker who is to carry out the electrical work or any other competent person&lt;/p&gt;&lt;p&gt;- capable of being accessed quickly&lt;/p&gt;&lt;/li&gt;&lt;li&gt;it consults with the organisation or person with management or control of the workplace before authorising the work.&lt;/li&gt;&lt;/ul&gt;&lt;p&gt;The requirement to ensure that the point at which the electrical equipment can be disconnected or isolated from its electricity supply is clearly marked, clear of obstructions and easily accessible does not apply if:&lt;/p&gt;&lt;ul&gt;&lt;li&gt;the electrical work is to be carried out on the supply side of the main switch on the main switchboard for the equipment, and&lt;/li&gt;&lt;li&gt;the point at which the equipment can be disconnected from its electricity supply is not reasonably accessible from the work location.&lt;/li&gt;&lt;/ul&gt;&lt;p&gt;An organisation must ensure that only authorised people enter the immediate area in which energised electrical work is being carried out. The organisation must also ensure that, while the work is being carried out, all people are prevented from creating an electrical risk by inadvertently making contact with an exposed energised component of the equipment.&lt;/p&gt;&lt;p&gt;An organisation must ensure that energised electrical work is carried out by a competent person who has tools, testing equipment and personal protective equipment that are suitable for the work, have been properly tested, and are maintained in good working order. The organisation must also ensure, so far as is reasonably practicable, that the worker uses the tools, testing equipment and personal protective equipment properly.&lt;/p&gt;&lt;p&gt;An organisation must ensure that energised electrical work is carried out in accordance with a safe work method statement prepared for the work. The safe work method statement must:&lt;/p&gt;&lt;ul&gt;&lt;li&gt;identify the electrical work&lt;/li&gt;&lt;li&gt;specify hazards associated with that work and risks associated with those hazards&lt;/li&gt;&lt;li&gt;describe the measures to be implemented to control the risks&lt;/li&gt;&lt;li&gt;describe how the risk control measures are to be implemented, monitored and reviewed.&lt;/li&gt;&lt;/ul&gt;&lt;p&gt;An organisation must ensure that energised electrical work is carried out with a safety observer present. The safety observer must be competent to implement control measures in an emergency and to rescue and resuscitate the worker who is carrying out the work, if necessary. The safety observer must have been assessed in the previous 12 months as competent to rescue and resuscitate a person. A safety observer is not required if the work consists only of testing, and an organisation&amp;rsquo;s risk assessment shows that there is no serious risk associated with the proposed work.&lt;/p&gt;&lt;p&gt;Note: These provisions of the harmonised Work Health and Safety (WHS) Regulations do not apply to work carried out by or on behalf of an electricity supply authority on electrical equipment that is controlled or operated by the authority to transform, transmit or supply electricity (including electric line-associated equipment).&lt;/p&gt;&lt;p&gt;Before the organisation undertakes planning for energised electrical work, it should first be satisfied that de-energised work is not suitable in the circumstances, and that the proposed energised work is permitted under the WHS Regulations.&lt;/p&gt;&lt;p&gt;The organisation must ensure that its documented risk assessment of the proposed work is prepared by a competent person, such as a licensed or registered electrician or an electrical engineer. The risk assessment should help to determine the severity of the electrical risk, whether existing control measures are effective, and what action is needed to control the risk. The assessment should consider the potential impact of a hazard and the likelihood that harm will occur.&lt;/p&gt;&lt;p&gt;The organisation should ensure that it consults, cooperates and coordinates with other duty holders who share responsibility for managing health and safety risks arising from the proposed energised electrical work. For example, an electrical contractor should consult, cooperate and coordinate with the organisation that manages or controls the workplace where the work is to be carried out, or with the local or state authority if the work is in a public place.&lt;/p&gt;&lt;p&gt;The organisation should ensure that its planning and preparation for the energised electrical work includes easy and quick access to and exit from the proposed work area, and quick access to a clearly marked isolation or disconnection point.&lt;/p&gt;&lt;p&gt;The organisation should ensure that all workers have the necessary training, competence and supervision to carry out the energised electrical work safely. The organisation should check the effectiveness and condition of all tools, testing equipment and personal protective equipment before work begins, and ensure that the tools and equipment are used properly. The organisation should also ensure that personal protective equipment is rated for the proposed work and is able to protect the user from the maximum prospective energy available at the work site. Examples of personal protective equipment include arc-rated face shields, voltage-rated insulated gloves, flame-resistant non-synthetic clothing, non-conductive footwear, safety belts and harnesses.&lt;/p&gt;&lt;p&gt;The organisation should ensure that the safety observer assigned to the work (if required) meets all the specified competency requirements.&lt;/p&gt;&lt;p&gt;The organisation should ensure that it implements safe work procedures, including insulating energised conductors where necessary to prevent inadvertent contact or flashovers, setting up barriers and signage to prevent unauthorised access to the work area, and (if work is left unfinished) leaving the work area in a safe state. The organisation should consider potential hazards from conductive materials, confined spaces and hazardous atmospheres.&lt;/p&gt;&lt;p&gt;The organisation should allocate the necessary time and resources to prepare a safe work method statement and ensure that all required details about hazards, risks and risk control measures are included in the statement. The statement should detail stakeholder consultation arrangements, authorisation procedures, position descriptions, and first aid and emergency procedures, including in the event of an electrical fire.&lt;/p&gt;&lt;p&gt;At the completion of the work, the organisation should have procedures in place to restore the work area to a safe condition, such as reconnecting conductors, replacing covers, securing equipment and accessories, undertaking polarity and phase sequence testing, consulting stakeholders, ensuring no other equipment is inadvertently energised, removing locks, tags and safety signage, and conducting a final visual inspection of the work area.&lt;/p&gt;&lt;p&gt;The organisation should ensure that it monitors the risk control measures to ensure that they are functioning effectively for the duration of the energised electrical work. The organisation should also conduct regular reviews of its risk controls to ensure their ongoing effectiveness, particularly if there are changes in the nature of the work or hazards.&lt;/p&gt;&lt;p&gt;Further guidance on risk controls for electrical work on energised electrical equipment, see Tools &amp;ndash; Model code of practice &amp;ndash; Managing electrical risks in the workplace, March 2015 (Safe Work Australia)&lt;/p&gt;</x:v>
      </x:c>
      <x:c r="K100" s="6" t="n">
        <x:f>=HYPERLINK("#K100","Guidance Notes")</x:f>
      </x:c>
      <x:c r="L100" s="6" t="str">
        <x:v>&lt;p&gt;Put in place procedures to control the risks associated with permitted electrical work on energised electrical equipment, including through a risk assessment and safe work method statement.&lt;/p&gt;</x:v>
      </x:c>
      <x:c r="M100" s="6" t="n">
        <x:f>=HYPERLINK("#M100","Remediation")</x:f>
      </x:c>
      <x:c r="N100" s="6" t="str">
        <x:v>&lt;p&gt;Failure to undertake the required preliminary steps before energised electrical work begins, such as conducting a risk assessment, attracts maximum penalties of $30,000 for an organisation and $6,000 for an individual (reg 158). The same penalties apply if an organisation fails to prevent unauthorised access to energised electrical equipment being worked on, or fails to prevent any person from making contact with an exposed energised component of the equipment (regs 159 and 160).&lt;/p&gt;&lt;p&gt;Penalties also apply for failing to ensure that permitted energised electrical work is carried out in the manner required by the WHS Regulations and in accordance with a safe work method statement. The maximum penalties are $30,000 for an organisation and $6,000 for an individual (reg 161).&lt;/p&gt;</x:v>
      </x:c>
      <x:c r="O100" s="6" t="n">
        <x:f>=HYPERLINK("#O100","Consequence")</x:f>
      </x:c>
      <x:c r="P100" s="6" t="str">
        <x:v>&lt;p&gt;&lt;a href="https://www.legislation.gov.au/Details/F2011L02664" target="_blank" &gt;Work Health and Safety Regulations 2011 (Cth)&lt;/a&gt; regs 158&amp;ndash;161 (see also corresponding regulations in ACT, NSW, NT, SA and TAS)&lt;/p&gt;&lt;p&gt;Model Code Of Practice &amp;ndash; Managing Electrical Risks in the Workplace, March 2015 (Safe Work Australia)&lt;/p&gt;&lt;p&gt;As/Nzs 3000:2007 Electrical Installations&lt;/p&gt;&lt;p&gt;As/Nzs 3017:2007 Electrical Installations&amp;mdash;Verification Guidelines&lt;/p&gt;&lt;p&gt;As/Nzs 4836:2011 Safe Working on or Near Low-Voltage Electrical Installations and Equipment&lt;/p&gt;&lt;p&gt;As/Nzs 2978:1995 Insulating Mats For Electrical Purposes&lt;/p&gt;</x:v>
      </x:c>
      <x:c r="Q100" s="6" t="n">
        <x:f>=HYPERLINK("#Q100","Source")</x:f>
      </x:c>
      <x:c r="R100"/>
      <x:c r="S100"/>
      <x:c r="T100"/>
    </x:row>
    <x:row r="101" spans="1:20" ht="15.75" x14ac:dyDescent="0.25">
      <x:c r="A101" t="n">
        <x:v>11899</x:v>
      </x:c>
      <x:c r="B101" t="str">
        <x:v>NSW,NT,QLD,SA,TAS,ACT,COMMONWEALTH</x:v>
      </x:c>
      <x:c r="C101" t="inlineStr">
        <x:is>
          <x:t xml:space="preserve">  Subobligation</x:t>
        </x:is>
      </x:c>
      <x:c r="D101" t="inlineStr">
        <x:is>
          <x:t xml:space="preserve">  Permitted Work on Energised Electrical Equipment—Record Keeping</x:t>
        </x:is>
      </x:c>
      <x:c r="E101" s="31" t="n">
        <x:v>14.07</x:v>
      </x:c>
      <x:c r="F101" s="8" t="n">
        <x:f>=HYPERLINK("#Obligation()","Workplace Management—Electrical Risks")</x:f>
      </x:c>
      <x:c r="G101" s="8" t="n">
        <x:f>=HYPERLINK("#SubObligation()","Permitted Work on Energised Electrical Equipment—Record Keeping")</x:f>
      </x:c>
      <x:c r="H101" s="6" t="n">
        <x:f>=HYPERLINK("#H101","Tools")</x:f>
      </x:c>
      <x:c r="I101" s="27" t="str">
        <x:v>&lt;b&gt;&lt;p&gt;Permitted Work on Energised Electrical Equipment—Record Keeping&lt;/p&gt;Does the organisation keep a copy of its risk assessment and safe work method statement for energised electrical work for the specified periods, and make the documents readily accessible to relevant workers?&lt;/b&gt;</x:v>
      </x:c>
      <x:c r="J101" s="6" t="str">
        <x:v>&lt;p&gt;An organisation must keep a copy of the mandatory risk assessment for permitted energised electrical work for at least 28 days after the work has been completed.&lt;/p&gt;&lt;p&gt;An organisation must keep a copy of the mandatory safe work method statement for permitted energised electrical work until the work has been completed.&lt;/p&gt;&lt;p&gt;In the event of a notifiable incident in connection with the energised electrical work, the organisation must keep a copy of the risk assessment and the safe work method statement (as the case requires) for at least 2 years after the incident occurs.&lt;/p&gt;&lt;p&gt;For the period that an organisation keeps the risk assessment or safe work method statement, the organisation must ensure that a copy is readily accessible to any relevant worker. The organisation must also ensure that a copy of the assessment or statement is available for inspection under the relevant Work Health and Safety (WHS) Act.&lt;/p&gt;&lt;ul&gt;&lt;li&gt;Note: These provisions of the harmonised WHS Regulations do not apply to work carried out by or on behalf of an electricity supply authority on electrical equipment that is controlled or operated by the authority to transform, transmit or supply electricity (including electric line-associated equipment).&lt;/li&gt;&lt;/ul&gt;&lt;p&gt;The organisation should put in place processes to ensure that it keeps a copy of its risk assessments and safe work method statements for energised electrical work for the required periods.&lt;/p&gt;&lt;p&gt;The organisation should ensure that the documents are easily retrievable if a worker who carries out (or carried out) the work to which they relate wishes to see them, or if they need to be inspected under the relevant WHS Act (for example, by an inspector appointed by the regulator). See Tools &amp;ndash; Model code of practice &amp;ndash; Managing electrical risks in the workplace, March 2015 (Safe Work Australia).&lt;/p&gt;</x:v>
      </x:c>
      <x:c r="K101" s="6" t="n">
        <x:f>=HYPERLINK("#K101","Guidance Notes")</x:f>
      </x:c>
      <x:c r="L101" s="6" t="str">
        <x:v>&lt;p&gt;Put in place record-keeping processes for risk assessments and safe work method statements for energised electrical work.&lt;/p&gt;</x:v>
      </x:c>
      <x:c r="M101" s="6" t="n">
        <x:f>=HYPERLINK("#M101","Remediation")</x:f>
      </x:c>
      <x:c r="N101" s="6" t="str">
        <x:v>&lt;p&gt;The maximum penalties for failing to make a copy of a risk assessment or safe work method statement readily accessible to a relevant worker are $18,000 for an organisation and $3,600 for an individual (reg 162).&lt;/p&gt;&lt;p&gt;Penalties also apply for failing to keep a copy of a risk assessment or safe work method statement for the required period, or failing to make a copy available for inspection under the WHS Act. The maximum penalties are $6,000 for an organisation and $1,250 for an individual (reg 162).&lt;/p&gt;</x:v>
      </x:c>
      <x:c r="O101" s="6" t="n">
        <x:f>=HYPERLINK("#O101","Consequence")</x:f>
      </x:c>
      <x:c r="P101" s="6" t="str">
        <x:v>&lt;p&gt;&lt;a href="https://www.legislation.gov.au/Details/F2011L02664" target="_blank" &gt;Work Health and Safety Regulations 2011 (Cth)&lt;/a&gt; reg 162 (see also corresponding regulations in ACT, NSW, NT, SA and TAS)&lt;/p&gt;&lt;p&gt;Model Code Of Practice &amp;ndash; Managing Electrical Risks in the Workplace, March 2015 (Safe Work Australia)&lt;/p&gt;</x:v>
      </x:c>
      <x:c r="Q101" s="6" t="n">
        <x:f>=HYPERLINK("#Q101","Source")</x:f>
      </x:c>
      <x:c r="R101"/>
      <x:c r="S101"/>
      <x:c r="T101"/>
    </x:row>
    <x:row r="102" spans="1:20" ht="15.75" x14ac:dyDescent="0.25">
      <x:c r="A102" t="n">
        <x:v>11902</x:v>
      </x:c>
      <x:c r="B102" t="str">
        <x:v>NSW,NT,QLD,SA,TAS,ACT,COMMONWEALTH</x:v>
      </x:c>
      <x:c r="C102" t="inlineStr">
        <x:is>
          <x:t xml:space="preserve">  Subobligation</x:t>
        </x:is>
      </x:c>
      <x:c r="D102" t="inlineStr">
        <x:is>
          <x:t xml:space="preserve">  Working Near Energised Electrical Parts</x:t>
        </x:is>
      </x:c>
      <x:c r="E102" s="31" t="n">
        <x:v>14.08</x:v>
      </x:c>
      <x:c r="F102" s="8" t="n">
        <x:f>=HYPERLINK("#Obligation()","Workplace Management—Electrical Risks")</x:f>
      </x:c>
      <x:c r="G102" s="8" t="n">
        <x:f>=HYPERLINK("#SubObligation()","Working Near Energised Electrical Parts")</x:f>
      </x:c>
      <x:c r="H102" s="6" t="n">
        <x:f>=HYPERLINK("#H102","Tools")</x:f>
      </x:c>
      <x:c r="I102" s="27" t="str">
        <x:v>&lt;b&gt;&lt;p&gt;Working Near Energised Electrical Parts&lt;/p&gt;Does the organisation have a documented and effective process to manage the risks of working near energised electrical parts?&lt;/b&gt;</x:v>
      </x:c>
      <x:c r="J102" s="6" t="str">
        <x:v>&lt;p&gt;The risks of working near energised electrical parts can be equivalent to those associated with live electrical work, and may include:&lt;/p&gt;&lt;ul&gt;&lt;li&gt;electrical risk from touching energised parts&lt;/li&gt;&lt;li&gt;explosion risk secondary to short-circuits (for example, if a metal tool is dropped onto busbars)&lt;/li&gt;&lt;li&gt;fire or burn risks from high-temperature parts&lt;/li&gt;&lt;li&gt;fire risk from moisture or dust entering electrical equipment.&lt;/li&gt;&lt;/ul&gt;&lt;p&gt;An organisation should implement procedures to manage the risks of working near energised electrical parts.&lt;/p&gt;&lt;p&gt;A safe work method statement must be prepared for construction work that is carried out on or near energised electrical installations or services (this obligation is covered in the Construction Work section of this module).&lt;/p&gt;&lt;p&gt;The organisation should first identify the hazards of working near energised electrical parts, and then ensure that a competent person prepares a documented risk assessment. When assessing the risks, the organisation should take into account:&lt;/p&gt;&lt;ul&gt;&lt;li&gt;the proximity of the work to the energised electrical parts&lt;/li&gt;&lt;li&gt;the nature of the work (e.g. welding or grinding could damage adjacent electrical lines or equipment)&lt;/li&gt;&lt;li&gt;the tools or equipment to be used (e.g. the conductive quality of tools)&lt;/li&gt;&lt;li&gt;environmental or site conditions (e.g. confined space, wet surfaces, unfavourable weather).&lt;/li&gt;&lt;/ul&gt;&lt;p&gt;After assessing the risks, the organisation should work through the hierarchy of control measures to manage the risks. If reasonably practicable, the organisation should first seek to eliminate the risks, for example by electrically isolating the nearby electrical equipment or installation before starting work, or redesigning equipment or work processes so that energised parts are no longer near the work area. The organisation should put in place procedures to ensure disconnected equipment is not reconnected while the work is carried out, such as by placing the plug in a lockable enclosure. The organisation should also ensure that isolation procedures are clear and easy to follow.&lt;/p&gt;&lt;p&gt;If it is not reasonably practicable to eliminate the risks, the organisation should minimise them, so far as is reasonably practicable. For example, the organisation should consider:&lt;/p&gt;&lt;ul&gt;&lt;li&gt;substituting a hazardous process or material with one that is less hazardous, such as replacing instead of repairing a faulty part (which could eliminate the need to work near energised parts)&lt;/li&gt;&lt;li&gt;isolating people from the hazard, for example by erecting a physical barrier to prevent any contact with energised electrical parts&lt;/li&gt;&lt;li&gt;implementing engineering controls, such as installing residual current devices to prevent electric shock.&lt;/li&gt;&lt;/ul&gt;&lt;p&gt;If the risks remain, the organisation should implement appropriate administrative controls, such as safe work practices, suitable and adequate training, exclusion zones, and the use of permits and warning signs on leaving unfinished work.&lt;/p&gt;&lt;p&gt;If appropriate, the organisation should also give workers personal protective equipment that is rated for the proposed work and able to protect the user from the maximum prospective energy available at the work site, such as arc-rated face shields, voltage-rated insulated gloves, flame-resistant non-synthetic clothing, non-conductive footwear, safety belts or harnesses.&lt;/p&gt;&lt;p&gt;The organisation should use a combination of risk controls if a single control does not provide adequate protection against risks to health and safety.&lt;/p&gt;&lt;p&gt;The organisation should monitor the effectiveness of the risk controls for the duration of the work, and also undertake regular reviews of risk control measures to ensure that they remain suited to the type of work being carried out.&lt;/p&gt;&lt;p&gt;The organisation should consult workers throughout the risk management process and take their views into account when making decisions about how to carry out the work. If the organisation shares responsibility for managing risks with other duty holders, it should consult, cooperate and coordinate with those duty holders.&lt;/p&gt;&lt;p&gt;Further guidance on working near energised electrical parts is available in Chapter 8 of the Tools &amp;ndash; Model code of practice &amp;ndash; Managing electrical risks in the workplace, March 2015 (Safe Work Australia).&lt;/p&gt;</x:v>
      </x:c>
      <x:c r="K102" s="6" t="n">
        <x:f>=HYPERLINK("#K102","Guidance Notes")</x:f>
      </x:c>
      <x:c r="L102" s="6" t="str">
        <x:v>&lt;p&gt;Put in place a documented and effective process to manage health and safety risks when work is carried out near energised electrical parts.&lt;/p&gt;</x:v>
      </x:c>
      <x:c r="M102" s="6" t="n">
        <x:f>=HYPERLINK("#M102","Remediation")</x:f>
      </x:c>
      <x:c r="N102" s="6" t="str">
        <x:v>&lt;p&gt;While the harmonised Work Health and Safety (WHS) Regulations impose penalties for breaching the regulations relating to electrical work carried out directly on energised electrical equipment, there are no specific penalties for work carried out near energised electrical parts. More generally, however, penalties under the harmonised WHS Acts may apply if an organisation breaches its primary duty of care or if an officer fails to exercise due diligence to ensure that the organisation complies with its health and safety duties.&lt;/p&gt;</x:v>
      </x:c>
      <x:c r="O102" s="6" t="n">
        <x:f>=HYPERLINK("#O102","Consequence")</x:f>
      </x:c>
      <x:c r="P102" s="6" t="str">
        <x:v>&lt;p&gt;&lt;a href="https://www.legislation.gov.au/Details/F2011L02664" target="_blank" &gt;Work Health and Safety Regulations 2011 (Cth)&lt;/a&gt; regs 147, 152&amp;ndash;162 (see also corresponding regulations in ACT, NSW, NT, SA and TAS)&lt;/p&gt;&lt;p&gt;Model Code Of Practice &amp;ndash; Managing Electrical Risks in the Workplace, March 2015 (Safe Work Australia)&lt;/p&gt;&lt;p&gt;AS/NZS 4836:2011 Safe working on or near low-voltage electrical installations and equipment&lt;/p&gt;&lt;p&gt;AS/NZS 3000:2007 Electrical installations&lt;/p&gt;&lt;p&gt;AS/NZS 2978:1995 Insulating mats for electrical purposes&lt;/p&gt;</x:v>
      </x:c>
      <x:c r="Q102" s="6" t="n">
        <x:f>=HYPERLINK("#Q102","Source")</x:f>
      </x:c>
      <x:c r="R102"/>
      <x:c r="S102"/>
      <x:c r="T102"/>
    </x:row>
    <x:row r="103" spans="1:20" ht="15.75" x14ac:dyDescent="0.25">
      <x:c r="A103" t="n">
        <x:v>11905</x:v>
      </x:c>
      <x:c r="B103" t="str">
        <x:v>NSW,NT,QLD,SA,TAS,ACT,COMMONWEALTH</x:v>
      </x:c>
      <x:c r="C103" t="inlineStr">
        <x:is>
          <x:t xml:space="preserve">  Subobligation</x:t>
        </x:is>
      </x:c>
      <x:c r="D103" t="inlineStr">
        <x:is>
          <x:t xml:space="preserve">  High-Voltage Electrical Work</x:t>
        </x:is>
      </x:c>
      <x:c r="E103" s="31" t="n">
        <x:v>14.09</x:v>
      </x:c>
      <x:c r="F103" s="8" t="n">
        <x:f>=HYPERLINK("#Obligation()","Workplace Management—Electrical Risks")</x:f>
      </x:c>
      <x:c r="G103" s="8" t="n">
        <x:f>=HYPERLINK("#SubObligation()","High-Voltage Electrical Work")</x:f>
      </x:c>
      <x:c r="H103" s="6" t="n">
        <x:f>=HYPERLINK("#H103","Tools")</x:f>
      </x:c>
      <x:c r="I103" s="27" t="str">
        <x:v>&lt;b&gt;&lt;p&gt;High-Voltage Electrical Work&lt;/p&gt;Does the organisation have a safety management plan for managing the risks of high-voltage electrical work?&lt;/b&gt;</x:v>
      </x:c>
      <x:c r="J103" s="6" t="str">
        <x:v>&lt;p&gt;High-voltage electrical work can involve significantly higher risks and more severe consequences for health and safety than low-voltage electrical work. Under fault conditions, the higher voltages (potentials) and fault current levels release vast quantities of energy. High-voltage shocks involving more than 1,000 volts for alternating current or 1,500 volts for direct current can cause contact burns and damage to internal organs.&lt;/p&gt;&lt;p&gt;Specialised requirements exist for carrying out work on high-voltage equipment after switching, isolation, short-circuiting and earthing has occurred. Only specialist electrical contractors competent in managing high-voltage electrical risks are permitted to carry out this work. Chapter 10 of the Model code of practice &amp;ndash; Managing electrical risks in the workplace, March 2015 (Safe Work Australia) provides summary guidance on high-voltage electrical work. See Tools &amp;ndash; Model code of practice &amp;ndash; Managing electrical risks in the workplace, March 2015 (Safe Work Australia)&lt;/p&gt;&lt;p&gt;All work on high-voltage electrical installations must comply with electricity safety legislation in the applicable state or territory.&lt;/p&gt;&lt;p&gt;An organisation should seek expert advice about working on or near high-voltage electrical installations from a specialist electrical contractor or the local electricity supply authority. A work health and safety policy to manage the risks of high-voltage electrical work should include:&lt;/p&gt;&lt;ul&gt;&lt;li&gt;engagement of competent high-voltage specialist electrical contractors (ensuring that the contractors satisfy appropriate requirements for retraining, retesting and reaccreditation)&lt;/li&gt;&lt;li&gt;consultation with stakeholders, including the local electricity supply authority&lt;/li&gt;&lt;li&gt;preparation of an installation safety management plan for controlling the risks of operating and maintaining the high-voltage installation&lt;/li&gt;&lt;li&gt;preparation of a single-line diagram for the installation, showing all switches and circuit-breakers and their identifying labels or numbers&lt;/li&gt;&lt;li&gt;setting out site-specific operating rules covering all aspects of operating the high-voltage installation, including procedures for arranging isolation of the installation from the local electricity network&lt;/li&gt;&lt;li&gt;preparation of procedures for risk identification, including any confined spaces or potentially hazardous atmospheres associated with the installation&lt;/li&gt;&lt;li&gt;preparation of induction procedures for new contractors&lt;/li&gt;&lt;li&gt;setting up regular inspection and maintenance programs to ensure the installation remains serviceable and safe&lt;/li&gt;&lt;li&gt;preparation of procedures for ensuring there is no extension or alteration of the installation without permission from the local electricity supply authority&lt;/li&gt;&lt;li&gt;preparation of procedures for the safe handling of insulating oils and other substances that may be required for maintenance or repair&lt;/li&gt;&lt;li&gt;preparation of procedures for erecting physical barriers and warning signs for ensuring that all parts of the high-voltage installation (e.g. underground cables and high-voltage overhead power lines) are not damaged by heavy vehicles or other mobile plant, such as mobile cranes.&lt;/li&gt;&lt;/ul&gt;</x:v>
      </x:c>
      <x:c r="K103" s="6" t="n">
        <x:f>=HYPERLINK("#K103","Guidance Notes")</x:f>
      </x:c>
      <x:c r="L103" s="6" t="str">
        <x:v>&lt;p&gt;Put in place a safety management plan to manage the risks of high-voltage electrical work.&lt;/p&gt;</x:v>
      </x:c>
      <x:c r="M103" s="6" t="n">
        <x:f>=HYPERLINK("#M103","Remediation")</x:f>
      </x:c>
      <x:c r="N103" s="6" t="str">
        <x:v>&lt;p&gt;The harmonised Work Health and Safety (WHS) Regulations do not impose any specific penalties relating to high-voltage electrical work. More generally, however, penalties under the harmonised WHS Acts may apply if an organisation breaches its primary duty of care or if an officer fails to exercise due diligence to ensure that the organisation complies with its health and safety duties.&lt;/p&gt;</x:v>
      </x:c>
      <x:c r="O103" s="6" t="n">
        <x:f>=HYPERLINK("#O103","Consequence")</x:f>
      </x:c>
      <x:c r="P103" s="6" t="str">
        <x:v>&lt;p&gt;&lt;a href="https://www.legislation.gov.au/Details/F2011L02664" target="_blank" &gt;Work Health and Safety Regulations 2011 (Cth)&lt;/a&gt; reg 147 (see also corresponding regulations in ACT, NSW, NT, SA and TAS)&lt;/p&gt;&lt;p&gt;Model Code Of Practice &amp;ndash; Managing Electrical Risks in the Workplace, March 2015 (Safe Work Australia)&lt;/p&gt;</x:v>
      </x:c>
      <x:c r="Q103" s="6" t="n">
        <x:f>=HYPERLINK("#Q103","Source")</x:f>
      </x:c>
      <x:c r="R103"/>
      <x:c r="S103"/>
      <x:c r="T103"/>
    </x:row>
    <x:row r="104" spans="1:20" ht="15.75" x14ac:dyDescent="0.25">
      <x:c r="A104" t="n">
        <x:v>11908</x:v>
      </x:c>
      <x:c r="B104" t="str">
        <x:v>NSW,NT,QLD,SA,TAS,ACT,COMMONWEALTH</x:v>
      </x:c>
      <x:c r="C104" t="inlineStr">
        <x:is>
          <x:t xml:space="preserve">  Subobligation</x:t>
        </x:is>
      </x:c>
      <x:c r="D104" t="inlineStr">
        <x:is>
          <x:t xml:space="preserve">  Use of Residual Current Devices</x:t>
        </x:is>
      </x:c>
      <x:c r="E104" s="31" t="n">
        <x:v>14.10</x:v>
      </x:c>
      <x:c r="F104" s="8" t="n">
        <x:f>=HYPERLINK("#Obligation()","Workplace Management—Electrical Risks")</x:f>
      </x:c>
      <x:c r="G104" s="8" t="n">
        <x:f>=HYPERLINK("#SubObligation()","Use of Residual Current Devices")</x:f>
      </x:c>
      <x:c r="H104" s="6" t="n">
        <x:f>=HYPERLINK("#H104","Tools")</x:f>
      </x:c>
      <x:c r="I104" s="27" t="str">
        <x:v>&lt;b&gt;&lt;p&gt;Use of Residual Current Devices&lt;/p&gt;Does the organisation ensure, so far as is reasonably practicable, that residual current devices (safety switches) are used in higher-risk work environments to minimise the risk of electric shock from plug-in electrical equipment?&lt;/b&gt;</x:v>
      </x:c>
      <x:c r="J104" s="6" t="str">
        <x:v>&lt;p&gt;Residual current devices (commonly referred to as &amp;lsquo;safety switches&amp;rsquo;) are fixed or portable devices that are designed to immediately switch off the supply of electricity when electricity &amp;lsquo;leaking&amp;rsquo; to earth is detected at harmful levels. Residual current devices significantly reduce the risk of electric shock.&lt;/p&gt;&lt;p&gt;If electrical equipment is used in a higher-risk work environment, an organisation must ensure, so far as is reasonably practicable, that any risk associated with the supply of electricity to the equipment through a socket outlet is minimised by the use of an appropriate residual current device. A higher-risk work environment is one where:&lt;/p&gt;&lt;ul&gt;&lt;li&gt;normal use of the electrical equipment exposes it to conditions that are likely to damage it or reduce its life span, including moisture, heat, vibration, mechanical damage, corrosive chemicals or dust (referred to as a &amp;lsquo;hostile operating environment&amp;rsquo;)&lt;/li&gt;&lt;li&gt;electrical equipment is moved between different locations in circumstances where damage to the equipment or a flexible cord is reasonably likely&lt;/li&gt;&lt;li&gt;electrical equipment is frequently moved during its normal use&lt;/li&gt;&lt;li&gt;electrical equipment forms part of, or is used in connection with, an amusement device.&lt;/li&gt;&lt;/ul&gt;&lt;p&gt;If electricity is supplied to the equipment through a socket outlet not exceeding 20 amps, then the residual current device must have a tripping current that does not exceed 30 milliamps.&lt;/p&gt;&lt;p&gt;The Model code of practice &amp;ndash; Managing electrical risks in the workplace, March 2015 (Safe Work Australia) (page 19) provides the following common examples of electrical equipment requiring a residual current device:&lt;/p&gt;&lt;ul&gt;&lt;li&gt;hand-held electrical equipment, for example drills, saws, hair dryers, curling wands and electric knives&lt;/li&gt;&lt;li&gt;electrical equipment that is moved while in operation, including jackhammers, electric lawn mowers, floor polishers and extension cords&lt;/li&gt;&lt;li&gt;electrical equipment that is moved between jobs in ways that could result in damage to the equipment, for example electric welders, electric cement mixers, portable bench saws and extension cords.&lt;/li&gt;&lt;/ul&gt;&lt;p&gt;The use of a residual current device is not mandatory if the supply of electricity to the equipment:&lt;/p&gt;&lt;ul&gt;&lt;li&gt;does not exceed 50 volts alternating current, or&lt;/li&gt;&lt;li&gt;is direct current, or&lt;/li&gt;&lt;li&gt;is provided through an isolating transformer that provides at least an equivalent level of protection, or&lt;/li&gt;&lt;li&gt;is provided from a non-earthed socket outlet supplied by an isolated winding portable generator that provides at least an equivalent level of protection.&lt;/li&gt;&lt;/ul&gt;&lt;p&gt;An organisation must also comply with relevant electricity safety legislation and building laws of the applicable state or territory.&lt;/p&gt;&lt;p&gt;The harmonised Work Health and Safety Regulations do not prescribe whether a residual current device must be portable or non-portable. The organisation should ensure that it uses an appropriate residual current device that is suited to the working environment, and should seek technical advice if required. At construction and demolition sites, an organisation must comply with Australian/New Zealand Standard (AS/NZS) 3012:2010 Electrical installations&amp;mdash;Construction and demolition sites. Appendix B of the Model code of practice &amp;ndash; Managing electrical risks in the workplace, March 2015 (Safe Work Australia) outlines the advantages and disadvantages of portable and non-portable residual current devices.&lt;/p&gt;&lt;p&gt;Circuit protection through a residual current device does not completely eliminate electrical risks, such as when:&lt;/p&gt;&lt;ul&gt;&lt;li&gt;a person contacts both active and neutral conductors while handling faulty plugs or electrical equipment and electricity flows through the person&amp;rsquo;s body, unless there is also a current flow to earth&lt;/li&gt;&lt;li&gt;a circuit is re-energised after the supply of electricity has been tripped by a residual current device, without first determining the cause of the trip&lt;/li&gt;&lt;li&gt;new circuits are installed, or pre-existing circuits are modified, without ensuring adequate circuit protection consistent with Australian standards.&lt;/li&gt;&lt;/ul&gt;&lt;p&gt;The organisation should ensure that it puts in place control measures to manage these electrical risks.&lt;/p&gt;&lt;p&gt;At shared workplaces, the organisation must take reasonable steps to consult, cooperate and coordinate with other duty holders to ensure, so far as is reasonably practicable, that appropriate residual current device protection is provided at the workplace.&lt;/p&gt;&lt;p&gt;Further guidance on the use of residual current devices, see Model code of practice &amp;ndash; Managing electrical risks in the workplace, March 2015 (Safe Work Australia) and Electrical risks at the workplace (Safe Work Australia fact sheet, August 2012). See Tools &amp;ndash; Model code of practice &amp;ndash; Managing electrical risks in the workplace, March 2015 (Safe Work Australia) and Electrical risks at the workplace (Safe Work Australia fact sheet, August 2012).&lt;/p&gt;</x:v>
      </x:c>
      <x:c r="K104" s="6" t="n">
        <x:f>=HYPERLINK("#K104","Guidance Notes")</x:f>
      </x:c>
      <x:c r="L104" s="6" t="str">
        <x:v>&lt;p&gt;Ensure that residual current devices (safety switches) are used to protect workers using plug-in electrical equipment in higher-risk work environments.&lt;/p&gt;</x:v>
      </x:c>
      <x:c r="M104" s="6" t="n">
        <x:f>=HYPERLINK("#M104","Remediation")</x:f>
      </x:c>
      <x:c r="N104" s="6" t="str">
        <x:v>&lt;p&gt;A failure to ensure, so far as is reasonably practicable, that a residual current device is used where required attracts maximum penalties of $30,000 for an organisation and $6,000 for an individual (reg&amp;nbsp;164).&lt;/p&gt;</x:v>
      </x:c>
      <x:c r="O104" s="6" t="n">
        <x:f>=HYPERLINK("#O104","Consequence")</x:f>
      </x:c>
      <x:c r="P104" s="6" t="str">
        <x:v>&lt;p&gt;&lt;a href="https://www.legislation.gov.au/Details/F2011L02664" target="_blank" &gt;Work Health and Safety Regulations 2011 (Cth)&lt;/a&gt; reg 164 (see also corresponding regulations in ACT, NSW, NT, SA and TAS)&lt;/p&gt;&lt;p&gt;Model Code Of Practice &amp;ndash; Managing Electrical Risks in the Workplace, March 2015 (Safe Work Australia)&lt;/p&gt;&lt;p&gt;AS/NZS 3000:2007 Electrical Installations&lt;/p&gt;&lt;p&gt;AS/NZS 3190:2011 Approval and Test Specification&amp;mdash;Residual Current Devices (Current-Operated Earth-Leakage Devices)&lt;/p&gt;&lt;p&gt;AS/NZS 3100:2009 Approval and Test Specification&amp;mdash;General Requirements For Electrical Equipment&lt;/p&gt;&lt;p&gt;AS/NZS 3012:2010 Electrical Installations&amp;mdash;Construction and Demolition Sites&lt;/p&gt;</x:v>
      </x:c>
      <x:c r="Q104" s="6" t="n">
        <x:f>=HYPERLINK("#Q104","Source")</x:f>
      </x:c>
      <x:c r="R104"/>
      <x:c r="S104"/>
      <x:c r="T104"/>
    </x:row>
    <x:row r="105" spans="1:20" ht="15.75" x14ac:dyDescent="0.25">
      <x:c r="A105" t="n">
        <x:v>11911</x:v>
      </x:c>
      <x:c r="B105" t="str">
        <x:v>NSW,NT,QLD,SA,TAS,ACT,COMMONWEALTH</x:v>
      </x:c>
      <x:c r="C105" t="inlineStr">
        <x:is>
          <x:t xml:space="preserve">  Subobligation</x:t>
        </x:is>
      </x:c>
      <x:c r="D105" t="inlineStr">
        <x:is>
          <x:t xml:space="preserve">  Testing of Residual Current Devices</x:t>
        </x:is>
      </x:c>
      <x:c r="E105" s="31" t="n">
        <x:v>14.11</x:v>
      </x:c>
      <x:c r="F105" s="8" t="n">
        <x:f>=HYPERLINK("#Obligation()","Workplace Management—Electrical Risks")</x:f>
      </x:c>
      <x:c r="G105" s="8" t="n">
        <x:f>=HYPERLINK("#SubObligation()","Testing of Residual Current Devices")</x:f>
      </x:c>
      <x:c r="H105" s="6" t="n">
        <x:f>=HYPERLINK("#H105","Tools")</x:f>
      </x:c>
      <x:c r="I105" s="27" t="str">
        <x:v>&lt;b&gt;&lt;p&gt;Testing of Residual Current Devices&lt;/p&gt;Does the organisation take all reasonable steps to ensure that residual current devices (safety switches) in higher-risk work environments are tested regularly by a competent person?&lt;/b&gt;</x:v>
      </x:c>
      <x:c r="J105" s="6" t="str">
        <x:v>&lt;p&gt;An organisation must take all reasonable steps to ensure that residual current devices used in higher-risk work environments are tested regularly by a competent person to ensure that the devices are operating effectively. This requirement applies to both portable and non-portable devices.&lt;/p&gt;&lt;p&gt;The organisation must keep a record of all testing of a residual current device (other than any daily push-button tests) until the device is next tested, or until the device is permanently removed from use or disposed of.&lt;/p&gt;&lt;p&gt;An organisation must also comply with relevant electricity safety legislation and building laws of the applicable state or territory.&lt;/p&gt;&lt;p&gt;The organisation should put in place a procedure for ensuring that residual current devices are tested regularly by a competent person, such as a licensed or registered electrician, to ensure that the devices are effective and fit for purpose. If a device is tested and found to be faulty, it must be taken out of service and replaced as soon as possible.&lt;/p&gt;&lt;p&gt;Testing needs to be carried out:&lt;/p&gt;&lt;ul&gt;&lt;li&gt;at intervals specified by the Australian standards for different operating conditions (e.g. more frequent testing for portable residual current devices)&lt;/li&gt;&lt;li&gt;on new portable residual current devices by pressing the &amp;lsquo;trip test&amp;rsquo; button to ensure its effectiveness before using&lt;/li&gt;&lt;li&gt;in accordance with the same general requirements as for the inspection and testing of electrical equipment used in higher-risk work environments.&lt;/li&gt;&lt;/ul&gt;&lt;p&gt;The Australian/New Zealand Standard (AS/NZS) 3190:2009 Approval and test specification&amp;mdash;Residual current devices specifies the essential safety requirements for residual current devices. It should be read in conjunction with AS/NZS 3100:2009 Approval and test specification&amp;mdash;General requirements for electrical equipment. Testing of residual current devices at construction or demolition sites should also comply with AS/NZS 3012:2010 Electrical installations&amp;mdash;Construction and demolition sites.&lt;/p&gt;&lt;p&gt;At shared workplaces, the organisation must do what is reasonably practicable to consult, cooperate and coordinate with other duty holders to ensure that all reasonable steps are taken to ensure that regular testing of residual current devices is carried out.&lt;/p&gt;&lt;p&gt;Further guidance on testing residual current devices, see Tools &amp;ndash; Model code of practice &amp;ndash; Managing electrical risks in the workplace, March 2015 (Safe Work Australia) and Electrical risks at the workplace (Safe Work Australia fact sheet, August 2012).&lt;/p&gt;</x:v>
      </x:c>
      <x:c r="K105" s="6" t="n">
        <x:f>=HYPERLINK("#K105","Guidance Notes")</x:f>
      </x:c>
      <x:c r="L105" s="6" t="str">
        <x:v>&lt;p&gt;Put in place a documented and effective procedure for the regular testing of all residual current devices in the workplace.&lt;/p&gt;</x:v>
      </x:c>
      <x:c r="M105" s="6" t="n">
        <x:f>=HYPERLINK("#M105","Remediation")</x:f>
      </x:c>
      <x:c r="N105" s="6" t="str">
        <x:v>&lt;p&gt;The maximum penalties for failing to take all reasonable steps to ensure that residual current devices are regularly tested are $18,000 for an organisation and $3,600 for an individual (reg 165). Penalties also apply if records of testing are not kept for the required period&amp;mdash;the maximum penalties are $6,000 for an organisation and $1,250 for an individual (reg 165).&lt;/p&gt;</x:v>
      </x:c>
      <x:c r="O105" s="6" t="n">
        <x:f>=HYPERLINK("#O105","Consequence")</x:f>
      </x:c>
      <x:c r="P105" s="6" t="str">
        <x:v>&lt;p&gt;&lt;a href="https://www.legislation.gov.au/Details/F2011L02664" target="_blank" &gt;Work Health and Safety Regulations 2011 (Cth)&lt;/a&gt; reg 165 (see also corresponding regulations in ACT, NSW, NT, SA and TAS)&lt;/p&gt;&lt;p&gt;Model Code Of Practice &amp;ndash; Managing Electrical Risks in the Workplace, March 2015 (Safe Work Australia)&lt;/p&gt;&lt;p&gt;AS/NZS 3190:2011 Approval and test specification&amp;mdash;Residual current devices (current-operated earth-leakage devices)&lt;/p&gt;&lt;p&gt;AS/NZS 3100:2009 Approval and test specification&amp;mdash;General requirements for electrical equipment&lt;/p&gt;&lt;p&gt;AS/NZS 3760:2010 In-service safety inspection and testing of electrical equipment&lt;/p&gt;&lt;p&gt;AS/NZS 3000:2007 Electrical installations&lt;/p&gt;&lt;p&gt;AS/NZS 3012:2010 Electrical installations&amp;mdash;Construction and demolition sites&lt;/p&gt;</x:v>
      </x:c>
      <x:c r="Q105" s="6" t="n">
        <x:f>=HYPERLINK("#Q105","Source")</x:f>
      </x:c>
      <x:c r="R105"/>
      <x:c r="S105"/>
      <x:c r="T105"/>
    </x:row>
    <x:row r="106" spans="1:20" ht="15.75" x14ac:dyDescent="0.25">
      <x:c r="A106" t="n">
        <x:v>11914</x:v>
      </x:c>
      <x:c r="B106" t="str">
        <x:v>NSW,NT,QLD,SA,TAS,ACT,COMMONWEALTH</x:v>
      </x:c>
      <x:c r="C106" t="inlineStr">
        <x:is>
          <x:t xml:space="preserve">  Subobligation</x:t>
        </x:is>
      </x:c>
      <x:c r="D106" t="inlineStr">
        <x:is>
          <x:t xml:space="preserve">  Fuses and Circuit-Breakers</x:t>
        </x:is>
      </x:c>
      <x:c r="E106" s="31" t="n">
        <x:v>14.12</x:v>
      </x:c>
      <x:c r="F106" s="8" t="n">
        <x:f>=HYPERLINK("#Obligation()","Workplace Management—Electrical Risks")</x:f>
      </x:c>
      <x:c r="G106" s="8" t="n">
        <x:f>=HYPERLINK("#SubObligation()","Fuses and Circuit-Breakers")</x:f>
      </x:c>
      <x:c r="H106" s="6" t="n">
        <x:f>=HYPERLINK("#H106","Tools")</x:f>
      </x:c>
      <x:c r="I106" s="27" t="str">
        <x:v>&lt;b&gt;&lt;p&gt;Fuses and Circuit-Breakers&lt;/p&gt;Does the organisation ensure that power circuits at the workplace are protected by an appropriately rated fuse or circuit-breaker to prevent overloading?&lt;/b&gt;</x:v>
      </x:c>
      <x:c r="J106" s="6" t="str">
        <x:v>&lt;p&gt;In managing general electrical risks in the workplace, a crucial step is to ensure that all power circuits are protected from excess current. Current overloads may damage equipment and injure workers. Circuit protection can be provided through the use of fuses or circuit-breakers.&lt;/p&gt;&lt;p&gt;For compliance information on residual current devices, which are mandatory in some work environments, see Use of Residual Current Devices.&lt;/p&gt;&lt;p&gt;An organisation must comply with relevant electricity safety legislation of the applicable state or territory.&lt;/p&gt;&lt;p&gt;The organisation should ensure that all power circuits at the workplace are protected by an appropriately rated fuse or circuit-breaker to prevent overloading. Risk control measures around fuses and circuit-breakers include:&lt;/p&gt;&lt;ul&gt;&lt;li&gt;ensuring circuits are not re-energised where fuses have blown or circuit-breakers have tripped until a competent person determines the cause&lt;/li&gt;&lt;li&gt;isolating a low-voltage circuit by racking out or removing circuit-breakers or fuses, then locking open and danger tagging them (secure the isolation by the appropriate locking-off method)&lt;/li&gt;&lt;li&gt;replacing fuses with another type of protective device when an addition is made to the circuit it protects, if the fuse rating is no longer appropriate, or if greater short-circuit protection is required, and if there is degradation of the fuse base or carrier&lt;/li&gt;&lt;li&gt;having a current single-line diagram showing all switches and circuit-breakers and their identifying labels or numbers to facilitate planning (such as for high-voltage installations).&lt;/li&gt;&lt;/ul&gt;&lt;p&gt;Circuit protection does not completely eliminate electrical risks. Risks involving fuses and circuit-breakers include:&lt;/p&gt;&lt;ul&gt;&lt;li&gt;fire risk from overheated circuits resulting from the replacement of blown fuses with fuses that have a higher rating (the most appropriate fuse for a particular circuit is one that is rated for a current that is slightly higher than the normal operating current)&lt;/li&gt;&lt;li&gt;electrical risk from portable electrical equipment, faulty equipment or equipment of inappropriate design for the system (not fit for purpose)&lt;/li&gt;&lt;li&gt;electrical risk from relying solely on an open circuit-breaker as an isolation point&lt;/li&gt;&lt;li&gt;electrical risk from intentionally disabling a circuit-breaker to prove a de-energised state&lt;/li&gt;&lt;li&gt;electrical risk from high-fault currents of short duration that may not be sufficient to trip the circuit-breaker when working on energised electrical equipment.&lt;/li&gt;&lt;/ul&gt;&lt;p&gt;Further guidance on the use of fuses and circuit-breakers, see Tools &amp;ndash; Model code of practice &amp;ndash; Managing electrical risks in the workplace, March 2015 (Safe Work Australia).&lt;/p&gt;</x:v>
      </x:c>
      <x:c r="K106" s="6" t="n">
        <x:f>=HYPERLINK("#K106","Guidance Notes")</x:f>
      </x:c>
      <x:c r="L106" s="6" t="str">
        <x:v>&lt;p&gt;Check all power circuits are protected by an appropriately rated fuse or circuit-breaker to prevent overloading.&lt;/p&gt;</x:v>
      </x:c>
      <x:c r="M106" s="6" t="n">
        <x:f>=HYPERLINK("#M106","Remediation")</x:f>
      </x:c>
      <x:c r="N106" s="6" t="str">
        <x:v>&lt;p&gt;The harmonised Work Health and Safety (WHS) Regulations do not impose any specific penalties for failing to ensure that circuits are protected by an appropriately rated fuse or circuit-breaker. More generally, however, penalties under the harmonised WHS Acts may apply if an organisation breaches its primary duty of care or if an officer fails to exercise due diligence to ensure that the organisation complies with its health and safety duties.&lt;/p&gt;</x:v>
      </x:c>
      <x:c r="O106" s="6" t="n">
        <x:f>=HYPERLINK("#O106","Consequence")</x:f>
      </x:c>
      <x:c r="P106" s="6" t="str">
        <x:v>&lt;p&gt;&lt;a href="https://www.legislation.gov.au/Details/F2011L02664" target="_blank" &gt;Work Health and Safety Regulations 2011 (Cth)&lt;/a&gt; reg 147 (see also corresponding regulations in ACT, NSW, NT, SA and TAS)&lt;/p&gt;&lt;p&gt;Model Code Of Practice &amp;ndash; Managing Electrical Risks in the Workplace, March 2015 (Safe Work Australia)&lt;/p&gt;&lt;p&gt;AS/NZS 3000:2007 Electrical Installations&lt;/p&gt;</x:v>
      </x:c>
      <x:c r="Q106" s="6" t="n">
        <x:f>=HYPERLINK("#Q106","Source")</x:f>
      </x:c>
      <x:c r="R106"/>
      <x:c r="S106"/>
      <x:c r="T106"/>
    </x:row>
    <x:row r="107" spans="1:20" ht="15.75" x14ac:dyDescent="0.25">
      <x:c r="A107" t="n">
        <x:v>11917</x:v>
      </x:c>
      <x:c r="B107" t="str">
        <x:v>NSW,NT,QLD,SA,TAS,ACT,COMMONWEALTH</x:v>
      </x:c>
      <x:c r="C107" t="inlineStr">
        <x:is>
          <x:t xml:space="preserve">  Subobligation</x:t>
        </x:is>
      </x:c>
      <x:c r="D107" t="inlineStr">
        <x:is>
          <x:t xml:space="preserve">  Damp and Wet Work Conditions</x:t>
        </x:is>
      </x:c>
      <x:c r="E107" s="31" t="n">
        <x:v>14.13</x:v>
      </x:c>
      <x:c r="F107" s="8" t="n">
        <x:f>=HYPERLINK("#Obligation()","Workplace Management—Electrical Risks")</x:f>
      </x:c>
      <x:c r="G107" s="8" t="n">
        <x:f>=HYPERLINK("#SubObligation()","Damp and Wet Work Conditions")</x:f>
      </x:c>
      <x:c r="H107" s="6" t="n">
        <x:f>=HYPERLINK("#H107","Tools")</x:f>
      </x:c>
      <x:c r="I107" s="27" t="str">
        <x:v>&lt;b&gt;&lt;p&gt;Damp and Wet Work Conditions&lt;/p&gt;Does the organisation ensure that electrical leads and tools are not used in damp or wet conditions unless they are specially designed for those conditions?&lt;/b&gt;</x:v>
      </x:c>
      <x:c r="J107" s="6" t="str">
        <x:v>&lt;p&gt;Environments that expose electrical equipment and supply cords to moisture have the potential to damage the equipment and cords and seriously affect their safe operation. In addition, conductive materials at a workplace such as water or timber with a high moisture content can provide current paths for electric shock. An organisation should ensure that leads and tools are not used in damp or wet conditions unless they are specially designed for those conditions.&lt;/p&gt;&lt;p&gt;If equipment is used in an environment that involves exposure to moisture, regular inspection and testing of the equipment is mandatory, as is the use of an appropriate residual current device in certain circumstances (see Inspection and Testing of Electrical Equipment&amp;mdash;Higher-Risk Workplaces, and Use of Residual Current Devices).&lt;/p&gt;&lt;p&gt;An organisation must comply with relevant electricity safety legislation of the applicable state or territory.&lt;/p&gt;&lt;p&gt;The organisation should have procedures to ensure that electrical equipment and leads are not used in damp or wet conditions unless they are specially designed for those conditions. The organisation should inspect the work area to identify potential hazards associated with moisture and the use of electrical equipment, assess the risks arising from those hazards, and put in place control measures to manage the risks. The organisation should also review any information provided by the manufacturer about how to use the equipment safely.&lt;/p&gt;&lt;p&gt;As part of its risk management process, the organisation should consult with workers who use the electrical equipment. The organisation should also consult, cooperate and coordinate with other duty holders who share responsibility for electrical safety at the workplace. For example, the principal contractor at a construction site should consult with electrical contractors or labour-hire companies about the electrical risks posed by damp or wet conditions at the site.&lt;/p&gt;&lt;p&gt;Further guidance on the safe use of electrical equipment, see Tools &amp;ndash; Model code of practice &amp;ndash; Managing electrical risks in the workplace, March 2015 (Safe Work Australia).&lt;/p&gt;</x:v>
      </x:c>
      <x:c r="K107" s="6" t="n">
        <x:f>=HYPERLINK("#K107","Guidance Notes")</x:f>
      </x:c>
      <x:c r="L107" s="6" t="str">
        <x:v>&lt;p&gt;Ensure that adequate controls are in place to prevent electrical leads and tools from being used in damp or wet conditions, unless the equipment is specially designed for those conditions.&lt;/p&gt;</x:v>
      </x:c>
      <x:c r="M107" s="6" t="n">
        <x:f>=HYPERLINK("#M107","Remediation")</x:f>
      </x:c>
      <x:c r="N107" s="6" t="str">
        <x:v>&lt;p&gt;The harmonised Work Health and Safety (WHS) Regulations do not impose any specific penalties for failing to ensure that electrical equipment is not used in damp or wet conditions unless the equipment is specially designed for those conditions. More generally, however, penalties under the harmonised WHS Acts may apply if an organisation breaches its primary duty of care or if an officer fails to exercise due diligence to ensure that the organisation complies with its health and safety duties.&lt;/p&gt;</x:v>
      </x:c>
      <x:c r="O107" s="6" t="n">
        <x:f>=HYPERLINK("#O107","Consequence")</x:f>
      </x:c>
      <x:c r="P107" s="6" t="str">
        <x:v>&lt;p&gt;&lt;a href="https://www.legislation.gov.au/Details/F2011L02664" target="_blank" &gt;Work Health and Safety Regulations 2011 (Cth)&lt;/a&gt; reg 147 (see also corresponding regulations in ACT, NSW, NT, SA and TAS)&lt;/p&gt;&lt;p&gt;Model Code Of Practice &amp;ndash; Managing Electrical Risks in the Workplace, March 2015 (Safe Work Australia)&lt;/p&gt;</x:v>
      </x:c>
      <x:c r="Q107" s="6" t="n">
        <x:f>=HYPERLINK("#Q107","Source")</x:f>
      </x:c>
      <x:c r="R107"/>
      <x:c r="S107"/>
      <x:c r="T107"/>
    </x:row>
    <x:row r="108" spans="1:20" ht="15.75" x14ac:dyDescent="0.25">
      <x:c r="A108" t="n">
        <x:v>11920</x:v>
      </x:c>
      <x:c r="B108" t="str">
        <x:v>NSW,NT,QLD,SA,TAS,ACT,COMMONWEALTH</x:v>
      </x:c>
      <x:c r="C108" t="inlineStr">
        <x:is>
          <x:t xml:space="preserve">  Subobligation</x:t>
        </x:is>
      </x:c>
      <x:c r="D108" t="inlineStr">
        <x:is>
          <x:t xml:space="preserve">  Tagging Electrical Equipment</x:t>
        </x:is>
      </x:c>
      <x:c r="E108" s="31" t="n">
        <x:v>14.14</x:v>
      </x:c>
      <x:c r="F108" s="8" t="n">
        <x:f>=HYPERLINK("#Obligation()","Workplace Management—Electrical Risks")</x:f>
      </x:c>
      <x:c r="G108" s="8" t="n">
        <x:f>=HYPERLINK("#SubObligation()","Tagging Electrical Equipment")</x:f>
      </x:c>
      <x:c r="H108" s="6" t="n">
        <x:f>=HYPERLINK("#H108","Tools")</x:f>
      </x:c>
      <x:c r="I108" s="27" t="str">
        <x:v>&lt;b&gt;&lt;p&gt;Tagging Electrical Equipment&lt;/p&gt;Does the organisation have clear, effective procedures for tagging electrical equipment to manage electrical risks at the workplace?&lt;/b&gt;</x:v>
      </x:c>
      <x:c r="J108" s="6" t="str">
        <x:v>&lt;p&gt;Tagging is an electrical risk control measure that involves securing durable tags to switching points to provide general information to people at the workplace. There are two main types of tags:&lt;/p&gt;&lt;ol&gt;&lt;li&gt;danger tags&amp;mdash;warning people not to operate the equipment that is tagged&lt;/li&gt;&lt;li&gt;out-of-service tags&amp;mdash;alerting people that the equipment is not safe to use.&lt;/li&gt;&lt;/ol&gt;&lt;p&gt;Danger tags:&lt;/p&gt;&lt;ul&gt;&lt;li&gt;are durable and securely fixed to the isolator in a prominent position&lt;/li&gt;&lt;li&gt;assist in securing isolation but only provide warning information (a tag does not perform the isolation function)&lt;/li&gt;&lt;li&gt;usually have the wording &amp;lsquo;Danger&amp;mdash;Do Not Operate&amp;rsquo;, but can also carry specific warnings such as &amp;lsquo;Multiple Points of Supply&amp;rsquo;&lt;/li&gt;&lt;li&gt;should be dated and signed by the tagger or supervisor&lt;/li&gt;&lt;li&gt;should be attached to a lock where possible at all isolation points used to de-energise electrical equipment from its electricity supply&lt;/li&gt;&lt;li&gt;are used for the duration of the electrical work and assist in preventing inadvertent re-energising of de-energised equipment during work&lt;/li&gt;&lt;li&gt;are only removed by the person who signed the tag (or, if that person is unavailable, are only removed after controls have been implemented to manage the risks of removing the tag)&lt;/li&gt;&lt;li&gt;are replaced with warning tags if the work is left unfinished (such as out-of-service or caution tags) and are retagged with the worker&amp;rsquo;s danger tag once work resumes&lt;/li&gt;&lt;li&gt;are not required when using dedicated personal isolation locks.&lt;/li&gt;&lt;/ul&gt;&lt;p&gt;Where a formal permit system is used, the designated sign-on and tagging procedures must be followed.&lt;/p&gt;&lt;p&gt;Out-of-service tags:&lt;/p&gt;&lt;ul&gt;&lt;li&gt;are durable and securely fixed to the isolator in a prominent position&lt;/li&gt;&lt;li&gt;clearly state the nature of the defect or reason why the electrical equipment is unsafe&lt;/li&gt;&lt;li&gt;are only removed by a competent person after rectifying the defect and making the electrical equipment safe&lt;/li&gt;&lt;li&gt;are only removed if replacing with a danger tag in preparation to work on the equipment.&lt;/li&gt;&lt;/ul&gt;&lt;p&gt;Brand new equipment can also be fitted with a &amp;lsquo;new to service&amp;rsquo; tag stating the date of entry into service and the date when the first electrical safety test is due.&lt;/p&gt;&lt;p&gt;Tags may also be used as a record of testing on electrical equipment (see Inspection and Testing of Electrical Equipment&amp;mdash;Higher-Risk Workplaces).&lt;/p&gt;&lt;p&gt;The organisation should implement safe isolation procedures, including the use of locks and tags, to minimise electrical risks at the workplace. The procedures should be developed in consultation with relevant workers.&lt;/p&gt;&lt;p&gt;Further guidance on tagging electrical equipment, see Tools &amp;ndash; Model code of practice &amp;ndash; Managing electrical risks in the workplace, March 2015 (Safe Work Australia).&lt;/p&gt;</x:v>
      </x:c>
      <x:c r="K108" s="6" t="n">
        <x:f>=HYPERLINK("#K108","Guidance Notes")</x:f>
      </x:c>
      <x:c r="L108" s="6" t="str">
        <x:v>&lt;p&gt;Put in place clear, effective procedures for using tagging to manage electrical risks at the workplace.&lt;/p&gt;</x:v>
      </x:c>
      <x:c r="M108" s="6" t="n">
        <x:f>=HYPERLINK("#M108","Remediation")</x:f>
      </x:c>
      <x:c r="N108" s="6" t="str">
        <x:v>&lt;p&gt;The harmonised Work Health and Safety (WHS) Regulations do not impose any specific penalties relating to the tagging of electrical equipment. More generally, however, penalties under the harmonised WHS Acts may apply if an organisation breaches its primary duty of care or if an officer fails to exercise due diligence to ensure that the organisation complies with its health and safety duties.&lt;/p&gt;</x:v>
      </x:c>
      <x:c r="O108" s="6" t="n">
        <x:f>=HYPERLINK("#O108","Consequence")</x:f>
      </x:c>
      <x:c r="P108" s="6" t="str">
        <x:v>&lt;p&gt;&lt;a href="https://www.legislation.gov.au/Details/F2011L02664" target="_blank" &gt;Work Health and Safety Regulations 2011 (Cth)&lt;/a&gt; reg 147 (see also corresponding regulations in ACT, NSW, NT, SA and TAS)&lt;/p&gt;&lt;p&gt;Model Code Of Practice &amp;ndash; Managing Electrical Risks in the Workplace, March 2015 (Safe Work Australia)&lt;/p&gt;&lt;p&gt;AS/NZS 3760:2010 In-Service Safety Inspection and Testing of Electrical Equipment&lt;/p&gt;&lt;p&gt;AS/NZS 3012:2010 Electrical Installations&amp;mdash;Construction and Demolition Sites (3.5&amp;ndash;3.7)&lt;/p&gt;</x:v>
      </x:c>
      <x:c r="Q108" s="6" t="n">
        <x:f>=HYPERLINK("#Q108","Source")</x:f>
      </x:c>
      <x:c r="R108"/>
      <x:c r="S108"/>
      <x:c r="T108"/>
    </x:row>
    <x:row r="109" spans="1:20" ht="15.75" x14ac:dyDescent="0.25">
      <x:c r="A109" t="n">
        <x:v>11923</x:v>
      </x:c>
      <x:c r="B109" t="str">
        <x:v>NSW,NT,QLD,SA,TAS,ACT,COMMONWEALTH</x:v>
      </x:c>
      <x:c r="C109" t="inlineStr">
        <x:is>
          <x:t xml:space="preserve">  Subobligation</x:t>
        </x:is>
      </x:c>
      <x:c r="D109" t="inlineStr">
        <x:is>
          <x:t xml:space="preserve">  Working Near Overhead and Underground Electric Lines</x:t>
        </x:is>
      </x:c>
      <x:c r="E109" s="31" t="n">
        <x:v>14.15</x:v>
      </x:c>
      <x:c r="F109" s="8" t="n">
        <x:f>=HYPERLINK("#Obligation()","Workplace Management—Electrical Risks")</x:f>
      </x:c>
      <x:c r="G109" s="8" t="n">
        <x:f>=HYPERLINK("#SubObligation()","Working Near Overhead and Underground Electric Lines")</x:f>
      </x:c>
      <x:c r="H109" s="6" t="n">
        <x:f>=HYPERLINK("#H109","Tools")</x:f>
      </x:c>
      <x:c r="I109" s="27" t="str">
        <x:v>&lt;b&gt;&lt;p&gt;Working Near Overhead and Underground Electric Lines&lt;/p&gt;Does the organisation ensure that it effectively manages the risks associated with working near an overhead or underground electric line if it is not reasonably practicable to ensure that no person, plant or thing comes within an unsafe distance of an electric line?&lt;/b&gt;</x:v>
      </x:c>
      <x:c r="J109" s="6" t="str">
        <x:v>&lt;p&gt;Contact with energised electric lines can cause death, electric shock or other injury. People can also be exposed to electrical risks from flashovers (arcing) without directly contacting the line. The risk of flashovers increases as the line voltage increases.&lt;/p&gt;&lt;p&gt;An organisation must ensure, so far as is reasonably practicable, that no person, plant or thing at the workplace comes within an unsafe distance of an overhead or underground electric line.&lt;/p&gt;&lt;p&gt;If it is not reasonably practicable to ensure the safe distance of a person, plant or thing from an overhead or underground electric line, the organisation must ensure that:&lt;/p&gt;&lt;ul&gt;&lt;li&gt;a risk assessment is conducted for the proposed work&lt;/li&gt;&lt;li&gt;the control measures implemented are consistent with the risk assessment and meet the requirements of the electricity supply authority (if the authority is responsible for the electric line).&lt;/li&gt;&lt;/ul&gt;&lt;p&gt;If the overhead or electric line is energised while the work is taking place, an organisation must follow the requirements for permitted energised electrical work, including the preparation of a risk assessment and safe work method statement (see Risk Controls for Permitted Work on Energised Electrical Equipment).&lt;/p&gt;&lt;ul&gt;&lt;li&gt;An organisation must also comply with relevant electricity safety legislation of the applicable state or territory.&lt;/li&gt;&lt;/ul&gt;&lt;p&gt;The organisation should undertake an initial assessment to determine whether the proposed work will take place in the vicinity of overhead or underground electric lines. Examples of work that might take place near electric lines include:&lt;/p&gt;&lt;ul&gt;&lt;li&gt;construction and demolition work&lt;/li&gt;&lt;li&gt;operating cranes and mobile plant&lt;/li&gt;&lt;li&gt;tree and vegetation management&lt;/li&gt;&lt;li&gt;scaffolding work&lt;/li&gt;&lt;li&gt;agricultural work&lt;/li&gt;&lt;li&gt;transporting high loads.&lt;/li&gt;&lt;/ul&gt;&lt;p&gt;See Tool &amp;ndash; Working in the vicinity of overhead and underground electric lines guidance material (Safe Work Australia, July 2014).&lt;/p&gt;&lt;p&gt;In the case of underground cables, the organisation should assume electrical risks exist or have a qualified person investigate and provide a report.&lt;/p&gt;&lt;p&gt;The organisation should undertake a thorough risk management process for the proposed work. The process should consist of the following five steps:&lt;/p&gt;&lt;ol&gt;&lt;li&gt;identify potential hazards&lt;/li&gt;&lt;li&gt;assess the risks (a risk assessment is mandatory if it is not reasonably practicable to maintain a safe distance from electric lines during the work)&lt;/li&gt;&lt;li&gt;implement control measures to eliminate or minimise the risks&lt;/li&gt;&lt;li&gt;maintain the control measures for the duration of the work&lt;/li&gt;&lt;li&gt;regularly review the control measures to ensure their ongoing effectiveness.&lt;/li&gt;&lt;/ol&gt;&lt;p&gt;The organisation should consult with the electricity supply authority or the organisation that manages or controls the electric line or premises as part of the risk management process. The organisation should also consult with workers when managing the risks associated with overhead or underground electric lines, and ensure that all workers have the necessary training and competence to undertake the work.&lt;/p&gt;&lt;p&gt;The organisation should implement control measures in accordance with the hierarchy of controls. This means that the organisation must first seek to eliminate the risks, so far as is reasonably practicable. Examples of risk elimination would be de-energising the electric line, or isolating and earthing the line for the duration of work. If it is not reasonably practicable to eliminate the risks, the organisation should minimise the risks, so far as is reasonably practicable, by substituting the hazard or work practice with something safer (e.g. using non-conductive tools) or isolating the hazard from people and anything held or operated by people (e.g. by erecting a physical barrier and warning signs). The organisation should also consider implementing engineering controls, such as limiting the movement of plant with mechanical stops.&lt;/p&gt;&lt;p&gt;If a risk still remains, the organisation should consider implementing administrative controls (e.g. managing and supervising the work) and providing suitable personal protective equipment to workers (e.g. insulating gloves, rubber-soled boots, safety helmets and fire-retardant clothing).&lt;/p&gt;&lt;p&gt;A combination of control measures can be used if a single control measure does not sufficiently minimise the risks.&lt;/p&gt;&lt;p&gt;The organisation should allocate the necessary resources to preparing a safe work method statement (if required) for the proposed work and ensuring that a safety observer is present to monitor the work. The organisation should also have emergency and rescue procedures in place, and ensure that workers are trained in those procedures.&lt;/p&gt;&lt;p&gt;The organisation must ensure that its risk control measures are consistent with the requirements of the electricity supply authority, where applicable.&lt;/p&gt;&lt;p&gt;Safe Work Australia&amp;rsquo;s guidance material on working in the vicinity of overhead and underground electric lines provides further information on assessing and controlling risks (see link in Tools section). The organisation should also consult the Model code of practice &amp;ndash; Managing electrical risks in the workplace, March 2015 (Safe Work Australia). See Tools &amp;ndash; Model code of practice &amp;ndash; Managing electrical risks in the workplace, March 2015 (Safe Work Australia)&lt;/p&gt;</x:v>
      </x:c>
      <x:c r="K109" s="6" t="n">
        <x:f>=HYPERLINK("#K109","Guidance Notes")</x:f>
      </x:c>
      <x:c r="L109" s="6" t="str">
        <x:v>&lt;p&gt;Put in place procedures to manage the risks associated with working in the vicinity of overhead or underground electric lines.&lt;/p&gt;</x:v>
      </x:c>
      <x:c r="M109" s="6" t="n">
        <x:f>=HYPERLINK("#M109","Remediation")</x:f>
      </x:c>
      <x:c r="N109" s="6" t="str">
        <x:v>&lt;p&gt;Penalties apply for failing to do what is reasonably practicable to ensure that no person, plant or thing at the workplace comes within an unsafe distance of an overhead or underground electric line. Penalties also apply for failing to conduct a risk assessment or implement appropriate control measures if it is not reasonably practicable to ensure the safe distance of a person, plant or thing from an overhead or underground electric line. In both cases, the maximum penalties are $30,000 for an organisation and $6,000 for an individual (reg 166).&lt;/p&gt;</x:v>
      </x:c>
      <x:c r="O109" s="6" t="n">
        <x:f>=HYPERLINK("#O109","Consequence")</x:f>
      </x:c>
      <x:c r="P109" s="6" t="str">
        <x:v>&lt;p&gt;&lt;a href="https://www.legislation.gov.au/Details/F2011L02664" target="_blank" &gt;Work Health and Safety Regulations 2011 (Cth)&lt;/a&gt; reg 166 (see also corresponding regulations in ACT, NSW, NT, SA and TAS)&lt;/p&gt;&lt;p&gt;Model Code Of Practice &amp;ndash; Managing Electrical Risks in the Workplace, March 2015 (Safe Work Australia)&lt;/p&gt;</x:v>
      </x:c>
      <x:c r="Q109" s="6" t="n">
        <x:f>=HYPERLINK("#Q109","Source")</x:f>
      </x:c>
      <x:c r="R109"/>
      <x:c r="S109"/>
      <x:c r="T109"/>
    </x:row>
    <x:row r="110" spans="1:20" ht="15.75" x14ac:dyDescent="0.25">
      <x:c r="A110" t="n">
        <x:v>11320</x:v>
      </x:c>
      <x:c r="B110" t="str">
        <x:v>NSW,NT,QLD,SA,TAS,ACT,COMMONWEALTH</x:v>
      </x:c>
      <x:c r="C110" t="str">
        <x:v>Obligation</x:v>
      </x:c>
      <x:c r="D110" t="str">
        <x:v>Workplace Management—Construction Work</x:v>
      </x:c>
      <x:c r="E110" s="31" t="n">
        <x:v>15.00</x:v>
      </x:c>
      <x:c r="F110" s="8" t="n">
        <x:f>=HYPERLINK("#Obligation()","Workplace Management—Construction Work")</x:f>
      </x:c>
      <x:c r="G110" s="8"/>
      <x:c r="H110" s="6" t="n">
        <x:f>=HYPERLINK("#H110","Tools")</x:f>
      </x:c>
      <x:c r="I110" s="27" t="str">
        <x:v>&lt;b&gt;&lt;p&gt;Workplace Management—Construction Work&lt;/p&gt;Does the organisation have a structured, documented and effective process for managing the risks of construction work, and do what is reasonably practicable to prevent unauthorised access to a workplace where construction work is carried out?&lt;/b&gt;</x:v>
      </x:c>
      <x:c r="J110" s="6" t="str">
        <x:v>&lt;p&gt;The harmonised Work Health and Safety (WHS) Regulations impose particular obligations on organisations and workers involved in construction work (see definition of construction work below).&lt;/p&gt;&lt;p&gt;An organisation has a general duty to manage health and safety risks associated with carrying out construction work.&lt;/p&gt;&lt;p&gt;If an organisation manages or controls the workplace where construction work is carried out, the organisation must ensure, so far as is reasonably practicable, that no one gains unauthorised access to the workplace. When deciding on appropriate security measures to restrict access, the organisation should take into account all relevant matters, including:&lt;/p&gt;&lt;ul type="disc"&gt;&lt;li&gt;risks to health and safety arising from unauthorised access&lt;/li&gt;&lt;li&gt;the likelihood of unauthorised access occurring (for example, the proximity of the workplace to places frequented by children, such as schools, parks and shopping precincts)&lt;/li&gt;&lt;li&gt;how to isolate hazards in the workplace if unauthorised access cannot be prevented.&lt;/li&gt;&lt;/ul&gt;&lt;p&gt;If an organisation commissions a construction project where the cost of the construction work is $250,000 or more ($450,000 or more in South Australia), and also engages a principal contractor for the project, the organisation must give the principal contractor any information it has about hazards and risks at or near the workplace where the construction work is to be carried out.&lt;/p&gt;&lt;p&gt;The WHS Regulations impose several other duties relating to construction work, including requirements to:&lt;/p&gt;&lt;ul type="disc"&gt;&lt;li&gt;consult with the designer of a structure that is to be constructed, and obtain a copy of the designer&amp;rsquo;s safety report for the design&lt;/li&gt;&lt;li&gt;prepare a safe work method statement for high-risk construction work&lt;/li&gt;&lt;li&gt;manage the health and safety risks associated with excavation work&lt;/li&gt;&lt;li&gt;manage electrical risks associated with construction and demolition work&lt;/li&gt;&lt;li&gt;ensure that workers meet the rules for general construction induction training before they are directed or allowed to carry out construction work.&lt;/li&gt;&lt;/ul&gt;&lt;p&gt;Principal contractors have additional duties to:&lt;/p&gt;&lt;ul type="disc"&gt;&lt;li&gt;prepare a WHS management plan for a construction project costing $250,000 or more ($450,000 or more in South Australia)&lt;/li&gt;&lt;li&gt;put up appropriate signage at the workplace where the construction project is carried out&lt;/li&gt;&lt;li&gt;put in place arrangements for ensuring compliance with specified regulations, including first aid, emergency plans, personal protective equipment and falls prevention&lt;/li&gt;&lt;li&gt;manage specific health and safety risks associated with construction materials, waste, plant, traffic and essential services.&lt;/li&gt;&lt;/ul&gt;&lt;p&gt;Note: A legal definition of the terms &amp;lsquo;high-risk construction work&amp;rsquo; and &amp;lsquo;principal contractor&amp;rsquo; is provided in the sub-obligations &amp;lsquo;Safe Work Method Statements for High-Risk Construction Work&amp;rsquo; and &amp;lsquo;Additional Duties of Principal Contractors&amp;rsquo; in this section of the module.&lt;/p&gt;&lt;p&gt;In addition to the duties that the WHS Regulations impose on organisations involved in construction work, the harmonised WHS Acts impose general duties on organisations that install, construct or commission structures, and organisations that design, manufacture, import or supply structures. Further details are available in the sub-obligations &amp;lsquo;Installing, Constructing or Commissioning Plant or Structures&amp;rsquo; and &amp;lsquo;Design, Manufacture, Import and Supply of Plant or Structures&amp;rsquo; in this module.&lt;/p&gt;&lt;p&gt;&lt;strong&gt;What is construction work?&lt;/strong&gt;&lt;/p&gt;&lt;p&gt;The WHS Regulations define construction work broadly to include commercial, civil and housing construction. Construction work involves any of the following activities carried out on a structure:&lt;/p&gt;&lt;ul type="disc"&gt;&lt;li&gt;construction&lt;/li&gt;&lt;li&gt;alterations and conversions&lt;/li&gt;&lt;li&gt;fitouts&lt;/li&gt;&lt;li&gt;commissioning&lt;/li&gt;&lt;li&gt;renovations and refurbishment&lt;/li&gt;&lt;li&gt;repairs and maintenance&lt;/li&gt;&lt;li&gt;demolition, decommissioning and dismantling (including the removal of any product or waste from the site).&lt;/li&gt;&lt;/ul&gt;&lt;p&gt;The following activities are also considered to be construction work under the WHS Regulations:&lt;/p&gt;&lt;ul type="disc"&gt;&lt;li&gt;installation and testing carried out in connection with construction work&lt;/li&gt;&lt;li&gt;prefabrication or testing of elements, at a place specifically established for the construction work, for use in construction work&lt;/li&gt;&lt;li&gt;assembly of prefabricated items to form a structure (or their disassembly)&lt;/li&gt;&lt;li&gt;installation, testing or maintenance of an essential service in relation to a structure&lt;/li&gt;&lt;li&gt;any work connected with excavation&lt;/li&gt;&lt;li&gt;any work connected with any preparatory work or site preparation (including landscaping) for construction work&lt;/li&gt;&lt;li&gt;construction work carried out on, under or near water, including work on buoys and obstructions to navigation.&lt;/li&gt;&lt;/ul&gt;&lt;p&gt;The following activities are excluded from the definition of construction work in the WHS Regulations:&lt;/p&gt;&lt;ul type="disc"&gt;&lt;li&gt;the manufacture of plant&lt;/li&gt;&lt;li&gt;prefabrication of elements, other than at a place specifically established for the construction work, for use in construction work&lt;/li&gt;&lt;li&gt;the construction or assembly of a structure that, once constructed or assembled, is intended to be transported to another place&lt;/li&gt;&lt;li&gt;testing, maintenance or repair work of a minor nature carried out in connection with a structure&lt;/li&gt;&lt;li&gt;mining or the exploration for or extraction of minerals.&lt;/li&gt;&lt;/ul&gt;&lt;p&gt;The WHS Regulations apply not only to work on a structure in its entirety, but also to work on any component or part of a structure. The regulations define a structure as anything that is constructed, whether fixed or moveable, or temporary or permanent. Examples of structures that are covered by the regulations on construction work include:&lt;/p&gt;&lt;ul type="disc"&gt;&lt;li&gt;buildings and framework&lt;/li&gt;&lt;li&gt;formwork, falsework or any other structure designed or used to provide support, access or containment during construction work&lt;/li&gt;&lt;li&gt;masts and towers&lt;/li&gt;&lt;li&gt;pipelines&lt;/li&gt;&lt;li&gt;transport infrastructure, including roadways and airfields&lt;/li&gt;&lt;li&gt;docks, harbours, channels, bridges, viaducts, lagoons and dams&lt;/li&gt;&lt;li&gt;pathways&lt;/li&gt;&lt;li&gt;ships and submarines&lt;/li&gt;&lt;li&gt;foundations, earth retention works and other earthworks, including river works and sea defence works&lt;/li&gt;&lt;li&gt;shafts and tunnels&lt;/li&gt;&lt;li&gt;sewers and sewerage or draining works.&lt;/li&gt;&lt;/ul&gt;&lt;p&gt;The WHS Regulations exclude plant from the definition of a structure, unless:&lt;/p&gt;&lt;ul type="disc"&gt;&lt;li&gt;the plant is a ship, submarine, pipe, pipeline or underground tank&lt;/li&gt;&lt;li&gt;the plant is designed or used to provide support, access or containment during construction work&lt;/li&gt;&lt;li&gt;work on the plant relates to work that is carried out in connection with construction work&lt;/li&gt;&lt;/ul&gt;&lt;p&gt;the plant is fixed plant on which outage work or overhaul work that involves or may involve work being carried out by five or more organisations at any point in time.&lt;/p&gt;&lt;p&gt;The organisation must manage health and safety risks associated with construction work in accordance with Part 3.1 of the WHS Regulations. This means that the organisation should:&lt;/p&gt;&lt;ul type="disc"&gt;&lt;li&gt;identify hazards associated with the construction work&lt;/li&gt;&lt;li&gt;assess the risks that arise from those hazards&lt;/li&gt;&lt;li&gt;implement control measures to eliminate or minimise the risks, so far as is reasonably practicable&lt;/li&gt;&lt;li&gt;monitor the control measures to ensure that they are followed and maintained&lt;/li&gt;&lt;li&gt;periodically review and revise the control measures to ensure their ongoing effectiveness.&lt;/li&gt;&lt;/ul&gt;&lt;p&gt;When identifying hazards, the organisation should look at the construction workplace itself, including its location, layout, condition and accessibility, as well as the physical environment, including the potential for electric shock, immersion or engulfment, fire or explosion, slips, trips and falls, people being struck by moving plant, exposure to noise, heat, cold, vibration, radiation (including solar UV radiation), static electricity or a contaminated atmosphere, and the presence of a confined space. Other hazards include falling objects, collapse of trenches or structures, hazardous chemicals, asbestos and hazardous manual tasks.&lt;/p&gt;&lt;p&gt;When assessing the risks arising from the hazards, the organisation should consider:&lt;/p&gt;&lt;ul type="disc"&gt;&lt;li&gt;the severity of the harm that could occur&lt;/li&gt;&lt;li&gt;the likelihood that the harm will occur.&lt;/li&gt;&lt;li&gt;whether existing control measures are effective&lt;/li&gt;&lt;li&gt;what action needs to be taken to control the risk&lt;/li&gt;&lt;li&gt;how urgently the action needs to be taken.&lt;/li&gt;&lt;/ul&gt;&lt;p&gt;A risk assessment is not necessary if the risk and how to control it is already known.&lt;/p&gt;&lt;p&gt;When deciding on appropriate risk controls, the organisation should consider whether it is feasible to eliminate the risk by removing the hazard or hazardous work from the workplace (e.g. eliminating the risk of a fall by working from ground level rather than from a height). If this is not possible, the organisation should seek to minimise the risks by:&lt;/p&gt;&lt;ul type="disc"&gt;&lt;li&gt;substituting a work method or process with something safer (e.g. using a water-based paint rather than a solvent-based paint)&lt;/li&gt;&lt;li&gt;implementing engineering controls (e.g. carrying tools from one level to another with a material hoist or craning material will minimise the risk of workers developing a musculoskeletal disorder)&lt;/li&gt;&lt;li&gt;isolating the hazard site from people (e.g. erecting physical barriers).&lt;/li&gt;&lt;/ul&gt;&lt;p&gt;If the above control measures do not provide adequate protection, the organisation should implement administrative controls (such as signage and exclusion zones) and give workers personal protective equipment (e.g. hard hats, high-visibility reflective clothing, safety goggles and ear plugs). A combination of controls is often necessary.&lt;/p&gt;&lt;p&gt;The WHS Regulations impose mandatory risk control measures in some circumstance (e.g. for trenches that are at least 1.5 metres deep).&lt;/p&gt;&lt;p&gt;The organisation should monitor control measures to make sure they are being followed and are functioning effectively. The organisation should also review its risk management process on a regular basis to ensure its ongoing effectiveness. Common methods for monitoring and review include workplace inspections, consultation, testing, and analysing records and data.&lt;/p&gt;&lt;p&gt;The organisation should ensure that it documents its risk management process to demonstrate compliance with work health and safety laws and inform subsequent reviews. For high-risk construction work, a written safe work method statement is mandatory, while a principal contractor must prepare a written WHS management plan for construction projects costing $250,000 or more ($450,000 or more in South Australia).&lt;/p&gt;&lt;p&gt;The organisation should consult with workers at all stages of the risk management process, and take workers&amp;rsquo; views into account when making decisions about control measures. The consultation should include apprentices, contractors, subcontractors and their employees, and can take various forms, including face-to-face meetings (e.g. toolbox talks or pre-start meetings), telephone conversations and written communications. Consultation with workers should also cover the adequacy of facilities at the workplace.&lt;/p&gt;&lt;p&gt;Since various contractors and subcontractors work on the same construction site, their activities are likely to overlap and interact with each other. Each organisation must ensure, so far as is reasonably practicable, that it consults, cooperates and coordinates with other organisations that have overlapping health and safety responsibilities for the construction work. This will help to ensure that each person is made aware of what the others are doing, and will also help in identifying hazards and deciding who is best placed to take action to control the risks. The organisations should coordinate to ensure that the workplace is secured against unauthorised access, especially after hours when the site is unattended.&lt;/p&gt;&lt;p&gt;The organisation must provide information, training and instruction to protect all people (including workers and site visitors) from risk to their health and safety arising from the construction work. General construction induction training is compulsory for all construction workers. The organisation should also provide information and training that are specific to the workplace and the tasks that workers are performing. The information should include workplace health and safety arrangements, such as first aid and emergency procedures, and can be provided in written format or orally (e.g. during pre-start meetings or toolbox talks). Supervisors can also provide specific on-the-job instructions to workers, including for health and safety. The organisation should ensure that information and training is provided in a way that is readily understandable to workers, taking into account their language, literacy and numeracy skills. It should also keep a record of training to demonstrate compliance with work health and safety laws.&lt;/p&gt;&lt;p&gt;The organisation should ensure that appropriate supervision is provided to workers, especially if they are inexperienced, or unfamiliar with the site or the nature of the work. Supervisors should be trained and authorised to ensure that work is carried out in accordance with the relevant policies, procedures and (if applicable) safe work method statements.&lt;/p&gt;&lt;p&gt;Further guidance on managing the risks associated with construction work is available in the Model code of practice &amp;ndash; Construction Work, November 2013 (Safe Work Australia).&lt;/p&gt;</x:v>
      </x:c>
      <x:c r="K110" s="6" t="n">
        <x:f>=HYPERLINK("#K110","Guidance Notes")</x:f>
      </x:c>
      <x:c r="L110" s="6" t="str">
        <x:v>&lt;p&gt;Put in place a documented and effective process for managing the risks of construction work and preventing unauthorised access to the construction site.&lt;/p&gt;</x:v>
      </x:c>
      <x:c r="M110" s="6" t="n">
        <x:f>=HYPERLINK("#M110","Remediation")</x:f>
      </x:c>
      <x:c r="N110" s="6" t="str">
        <x:v>&lt;p&gt;An organisation&amp;rsquo;s failure to manage risks associated with construction work may be regarded as reckless conduct if the organisation does not have a reasonable excuse for engaging in the conduct that exposes someone to the risk of death or serious injury or illness, and the organisation is reckless as to the risk to that individual. The maximum penalties for reckless conduct are:&lt;/p&gt;&lt;ul&gt;&lt;li&gt;$3 million for a body corporate&lt;/li&gt;&lt;li&gt;$600,000 and/or 5 years&amp;rsquo; imprisonment for an individual person conducting a business or undertaking or an officer of a business or undertaking&lt;/li&gt;&lt;li&gt;$300,000 and/or 5 years&amp;rsquo; imprisonment for other individuals (s 31).&lt;/li&gt;&lt;/ul&gt;&lt;p&gt;Lesser penalties apply where the failure to comply with a duty does not involve reckless conduct (ss&amp;nbsp;32&amp;ndash;33).&lt;/p&gt;&lt;p&gt;Penalties also apply if an organisation directs or allows a worker to carry out work and the worker does not have the prescribed qualifications or experience (for example, general construction induction training) required for that class of work. The maximum penalties are $100,000 for an organisation and $20,000 for an individual (s 44).&lt;/p&gt;&lt;p&gt;The maximum penalties for failing to secure a construction site from unauthorised access are $18,000 for an organisation and $3,600 for an individual (reg 298). The same maximum penalties apply if an organisation that commissions a construction project fails to give any information it has about hazards or risks to the principal contractor for the project (reg 296).&lt;/p&gt;</x:v>
      </x:c>
      <x:c r="O110" s="6" t="n">
        <x:f>=HYPERLINK("#O110","Consequence")</x:f>
      </x:c>
      <x:c r="P110" s="6" t="str">
        <x:v>&lt;p&gt;&lt;a href="https://www.legislation.gov.au/Details/C2011A00137" target="_blank" &gt;Work Health and Safety Act 2011 (Cth)&lt;/a&gt; ss 19&amp;ndash;26, 44 (see also corresponding Acts in ACT, NSW, NT, QLD, SA and TAS)&lt;/p&gt;&lt;p&gt;&lt;a href="https://www.legislation.gov.au/Details/F2011L02664" target="_blank" &gt;Work Health and Safety Regulations 2011 (Cth)&lt;/a&gt; Ch&amp;nbsp;6 (see also corresponding regulations in ACT, NSW, NT, QLD, SA and TAS)&lt;/p&gt;&lt;p&gt;Construction Work Code of Practice&amp;mdash;November 2013&lt;/p&gt;&lt;p&gt;Excavation Work Code of Practice&amp;mdash;March 2015&lt;/p&gt;&lt;p&gt;Demolition Work Code of Practice&amp;mdash;March 2015&lt;/p&gt;&lt;p&gt;Safe Design of Structures Code of Practice&amp;mdash;July 2012&lt;/p&gt;&lt;p&gt;Managing the Risk of Falls at the Workplace&amp;mdash;March 2015&lt;/p&gt;&lt;p&gt;Preventing Falls in Housing Construction Code of Practice&amp;mdash;July 2012&lt;/p&gt;&lt;p&gt;Managing Electrical Risks in the Workplace&amp;mdash;March 2015&lt;/p&gt;&lt;p&gt;AS 2601&amp;ndash;2001 The Demolition of Structures&lt;/p&gt;</x:v>
      </x:c>
      <x:c r="Q110" s="6" t="n">
        <x:f>=HYPERLINK("#Q110","Source")</x:f>
      </x:c>
      <x:c r="R110"/>
      <x:c r="S110"/>
      <x:c r="T110"/>
    </x:row>
    <x:row r="111" spans="1:20" ht="15.75" x14ac:dyDescent="0.25">
      <x:c r="A111" t="n">
        <x:v>11365</x:v>
      </x:c>
      <x:c r="B111" t="str">
        <x:v>NSW,NT,QLD,SA,TAS,ACT,COMMONWEALTH</x:v>
      </x:c>
      <x:c r="C111" t="inlineStr">
        <x:is>
          <x:t xml:space="preserve">  Subobligation</x:t>
        </x:is>
      </x:c>
      <x:c r="D111" t="inlineStr">
        <x:is>
          <x:t xml:space="preserve">  Consultation with Designers</x:t>
        </x:is>
      </x:c>
      <x:c r="E111" s="31" t="n">
        <x:v>15.01</x:v>
      </x:c>
      <x:c r="F111" s="8" t="n">
        <x:f>=HYPERLINK("#Obligation()","Workplace Management—Construction Work")</x:f>
      </x:c>
      <x:c r="G111" s="8" t="n">
        <x:f>=HYPERLINK("#SubObligation()","Consultation with Designers")</x:f>
      </x:c>
      <x:c r="H111" s="6" t="n">
        <x:f>=HYPERLINK("#H111","Tools")</x:f>
      </x:c>
      <x:c r="I111" s="27" t="str">
        <x:v>&lt;b&gt;&lt;p&gt;Consultation with Designers&lt;/p&gt;Does the organisation that commissions construction work consult, so far as is reasonably practicable, with the designer of the structure that is to be constructed, and (if applicable) take reasonable steps to obtain a copy of the designer's safety report for the design?&lt;/b&gt;</x:v>
      </x:c>
      <x:c r="J111" s="6" t="str">
        <x:v>&lt;p&gt;An organisation that commissions construction work must, so far as is reasonably practicable, consult with the designer of the structure (or any part of the structure) that is to be constructed. The organisation must consult with the designer about how to ensure that health and safety risks arising from the design during the construction work are:&lt;/p&gt;&lt;ul&gt;&lt;li&gt;eliminated, so far as is reasonably practicable&lt;/li&gt;&lt;li&gt;if it is not reasonably practicable to eliminate the risks, minimised so far as is reasonably practicable.&lt;/li&gt;&lt;/ul&gt;&lt;p&gt;The consultation must include giving the designer any information that the organisation has about hazards and risks at the workplace where the construction work is to be carried out.&lt;/p&gt;&lt;p&gt;The designer of the structure (or any part of the structure) must give the organisation that commissioned the design a written safety report that specifies the hazards relating to the design that, so far as the designer is reasonably aware:&lt;/p&gt;&lt;ul&gt;&lt;li&gt;create a health and safety risk to people who carry out any construction work on the structure or part&lt;/li&gt;&lt;li&gt;are associated only with the particular design and not with other designs of the same type of structure (i.e. the particular design has unusual or atypical features).&lt;/li&gt;&lt;/ul&gt;&lt;p&gt;If the organisation that commissions a construction project (i.e. a project where the construction work costs $250,000 or more ($450,000 or more in South Australia)) did not commission the design of the project, the organisation must take all reasonable steps to obtain a written copy of the designer&amp;rsquo;s written safety report.&lt;/p&gt;&lt;p&gt;In addition to the two-way duties that the harmonised Work Health and Safety (WHS) Regulations impose on organisations that commission construction work and designers of structures, the harmonised WHS Acts impose general duties on organisations that design structures.&lt;/p&gt;&lt;p&gt;A designer is an organisation or individual that designs a structure that is to be used&amp;mdash;or could reasonably be expected to be used&amp;mdash;as or at a workplace, including during construction, maintenance, renovation or demolition of the structure. Examples of designers include draftspersons, architects, engineers, building designers and interior designers. A builder could also be considered to be a designer if they design a structure themselves or are involved in altering the design for a building, even after construction work has commenced. See Tools &amp;mdash; Formwork and falsework guidance material (Safe Work Australia, July 2014), Scaffolds and scaffolding work guidance material (Safe Work Australia, July 2014), Guide for Tunnelling Work, November 2013 (Safe Work Australia), Construction Work&amp;mdash;Steel Erection, January 2016 (Safe Work Australia information sheet).&lt;/p&gt;&lt;p&gt;A design process can occur in several stages, and more than one designer may be involved in the design of a particular structure. Duty holders should consult, cooperate and coordinate with each other, so far as is reasonably practicable, to ensure that safety issues are properly addressed at each stage of the design process.&lt;/p&gt;&lt;p&gt;The organisation that commissions construction work should ensure that it has a process for providing any information about hazards and risks at the workplace to the designer. The designer may need to conduct calculations, analysis, testing or examination at the workplace in connection with the construction work. As designers may not always be aware of construction methods and practices to be applied in practice, builders and designers should consult with each other on the safe &amp;lsquo;buildability&amp;rsquo; of a design.&lt;/p&gt;&lt;p&gt;The organisation that commissions the construction work and the designer should take into account the National Construction Code and other legislation, standards and technical guidelines that apply in the state or territory where the construction work is to be carried out.&lt;/p&gt;&lt;p&gt;Further guidance on design duties in construction work, see Tools &amp;ndash; Model code of practice &amp;ndash; Construction Work, November 2013 (Safe Work Australia) (in particular Appendix C) and Model code of practice &amp;ndash; Safe design of structures, July 2012 (Safe Work Australia).&lt;/p&gt;</x:v>
      </x:c>
      <x:c r="K111" s="6" t="n">
        <x:f>=HYPERLINK("#K111","Guidance Notes")</x:f>
      </x:c>
      <x:c r="L111" s="6" t="str">
        <x:v>&lt;p&gt;Put in place a process for consulting with the designer of the structure that is to be constructed, and (if applicable) obtaining a copy of the designer&amp;rsquo;s safety report for the design.&lt;/p&gt;</x:v>
      </x:c>
      <x:c r="M111" s="6" t="n">
        <x:f>=HYPERLINK("#M111","Remediation")</x:f>
      </x:c>
      <x:c r="N111" s="6" t="str">
        <x:v>&lt;p&gt;The maximum penalties for failing to consult with the designer of a structure about ways of eliminating or minimising health and safety risks during construction work are $18,000 for an organisation and $3,600 for an individual (reg 294). The same maximum penalties apply if a designer fails to give a safety report (where applicable) to the organisation that commissions the design of a structure, or if an organisation that commissions a construction project (but did not commission the project design) fails to take reasonable steps to obtain a copy of the designer&amp;rsquo;s safety report (reg&amp;nbsp;295).&lt;/p&gt;</x:v>
      </x:c>
      <x:c r="O111" s="6" t="n">
        <x:f>=HYPERLINK("#O111","Consequence")</x:f>
      </x:c>
      <x:c r="P111" s="6" t="str">
        <x:v>&lt;p&gt;&lt;a href="https://www.legislation.gov.au/Details/C2011A00137" target="_blank" &gt;Work Health and Safety Act 2011 (Cth)&lt;/a&gt; s 22 (see also corresponding Acts in ACT, NSW, NT, QLD, SA and TAS)&lt;/p&gt;&lt;p&gt;&lt;a href="https://www.legislation.gov.au/Details/F2011L02664" target="_blank" &gt;Work Health and Safety Regulations 2011 (Cth)&lt;/a&gt; reg 294&amp;ndash;295 (see also corresponding regulations in ACT, NSW, NT, QLD, SA and TAS)&lt;/p&gt;&lt;p&gt;Model Code of Practice &amp;ndash; Construction Work, November 2013 (Safe Work Australia)&lt;/p&gt;&lt;p&gt;Model Code of Practice &amp;ndash; Safe Design of Structures, July 2012 (Safe Work Australia)&lt;/p&gt;</x:v>
      </x:c>
      <x:c r="Q111" s="6" t="n">
        <x:f>=HYPERLINK("#Q111","Source")</x:f>
      </x:c>
      <x:c r="R111"/>
      <x:c r="S111"/>
      <x:c r="T111"/>
    </x:row>
    <x:row r="112" spans="1:20" ht="15.75" x14ac:dyDescent="0.25">
      <x:c r="A112" t="n">
        <x:v>11391</x:v>
      </x:c>
      <x:c r="B112" t="str">
        <x:v>NSW,NT,QLD,SA,TAS,ACT,COMMONWEALTH</x:v>
      </x:c>
      <x:c r="C112" t="inlineStr">
        <x:is>
          <x:t xml:space="preserve">  Subobligation</x:t>
        </x:is>
      </x:c>
      <x:c r="D112" t="inlineStr">
        <x:is>
          <x:t xml:space="preserve">  Safe Work Method Statements for High-Risk Construction Work</x:t>
        </x:is>
      </x:c>
      <x:c r="E112" s="31" t="n">
        <x:v>15.02</x:v>
      </x:c>
      <x:c r="F112" s="8" t="n">
        <x:f>=HYPERLINK("#Obligation()","Workplace Management—Construction Work")</x:f>
      </x:c>
      <x:c r="G112" s="8" t="n">
        <x:f>=HYPERLINK("#SubObligation()","Safe Work Method Statements for High-Risk Construction Work")</x:f>
      </x:c>
      <x:c r="H112" s="6" t="n">
        <x:f>=HYPERLINK("#H112","Tools")</x:f>
      </x:c>
      <x:c r="I112" s="27" t="str">
        <x:v>&lt;b&gt;&lt;p&gt;Safe Work Method Statements for High-Risk Construction Work&lt;/p&gt;Does the organisation ensure that a safe work method statement is prepared for high-risk construction work?&lt;/b&gt;</x:v>
      </x:c>
      <x:c r="J112" s="6" t="str">
        <x:v>&lt;p&gt;A safe work method statement is a written document that sets out the high-risk construction work activities to be carried out at a workplace, the hazards and risks arising from those activities and the measures to be put in place to control the risks. It helps organisations, supervisors and workers implement and monitor the control measures established at the workplace to ensure high-risk construction work is carried out safely.&lt;/p&gt;&lt;p&gt;An organisation that carries out high-risk construction work must ensure that a safe work method statement for the proposed work is prepared&amp;mdash;or has already been prepared by someone else&amp;mdash;before the work begins.&lt;/p&gt;&lt;p&gt;High-risk construction work means construction work that involves:&lt;/p&gt;&lt;ul&gt;&lt;li&gt;a risk of a person falling more than 2 metres (or more than 3 metres in South Australia)&lt;/li&gt;&lt;li&gt;a telecommunication tower&lt;/li&gt;&lt;li&gt;demolition of an element of a structure that is load-bearing or otherwise related to the physical integrity of the structure&lt;/li&gt;&lt;li&gt;the disturbance of asbestos&lt;/li&gt;&lt;li&gt;structural alterations or repairs that require temporary support to prevent collapse&lt;/li&gt;&lt;li&gt;a confined space&lt;/li&gt;&lt;li&gt;a shaft or trench with an excavated depth greater than 1.5 metres, or a tunnel&lt;/li&gt;&lt;li&gt;the use of explosives&lt;/li&gt;&lt;li&gt;pressurised gas distribution mains or piping&lt;/li&gt;&lt;li&gt;chemical, fuel or refrigerant lines&lt;/li&gt;&lt;li&gt;energised electrical installations or services&lt;/li&gt;&lt;li&gt;a contaminated or flammable atmosphere&lt;/li&gt;&lt;li&gt;tilt-up or precast concrete&lt;/li&gt;&lt;li&gt;a road, railway, shipping lane or other traffic corridor that is in use by traffic other than pedestrians&lt;/li&gt;&lt;li&gt;any movement of powered mobile plant&lt;/li&gt;&lt;li&gt;artificial extremes of temperature&lt;/li&gt;&lt;li&gt;water or other liquid that involves a risk of drowning&lt;/li&gt;&lt;li&gt;diving work.&lt;/li&gt;&lt;/ul&gt;&lt;p&gt;A safe work method statement must:&lt;/p&gt;&lt;ul&gt;&lt;li&gt;identify the work that is high-risk construction work&lt;/li&gt;&lt;li&gt;specify hazards relating to the high-risk construction work and risks to health and safety associated with those hazards&lt;/li&gt;&lt;li&gt;describe the measures to be implemented to control the risks&lt;/li&gt;&lt;li&gt;describe how the control measures are to be implemented, monitored and reviewed&lt;/li&gt;&lt;li&gt;take into account the circumstances at the workplace that may affect the way in which the high-risk construction work is carried out&lt;/li&gt;&lt;li&gt;take into account the work health and safety management plan prepared by the principal contractor (if the high-risk construction work is connected with a construction project costing $250,000 or more ($450,000 or more in South Australia)).&lt;/li&gt;&lt;/ul&gt;&lt;p&gt;A safe work method statement must be set out and expressed in a way that is readily accessible and understandable to those who use it.&lt;/p&gt;&lt;p&gt;An organisation carrying out high-risk construction work must put in place arrangements for ensuring that the work is carried out in accordance with the safe work method statement. If the work is not carried out in accordance with the statement, the organisation must ensure that the work is stopped immediately or as soon as it is safe to do so. The work must only be resumed in accordance with the safe work method statement.&lt;/p&gt;&lt;p&gt;If the high-risk construction work is connected with a construction project costing $250,000 or more ($450,000 or more in South Australia), the organisation carrying out the high-risk construction work must give a copy of the safe work method statement to the principal contractor for the project before the high-risk construction work begins. This is a two-way duty, as the principal contractor must also take all reasonable steps to obtain a copy of the statement before the high-risk construction work begins.&lt;/p&gt;&lt;p&gt;An organisation must ensure that a safe work method statement is reviewed and, as necessary, revised if relevant control measures are revised to maintain, so far as is reasonably practicable, a work environment that is without health or safety risks.&lt;/p&gt;&lt;p&gt;An organisation must keep a copy of the safe work method statement until the high-risk construction work is completed. However, if a notifiable incident occurs in connection with the high-risk construction work, the organisation must keep the statement for at least 2 years after the incident occurs.&lt;/p&gt;&lt;p&gt;An organisation must ensure that a copy of the safe work method statement is readily accessible to any worker who it engages to carry out the high-risk construction work, and available for inspection under the relevant Work Health and Safety Act. The statement must be readily accessible to workers or available for inspection throughout the period that the organisation is required to keep the statement.&lt;/p&gt;&lt;p&gt;In Queensland, if a safe work method statement for high-risk construction work that involves a risk of a person falling more than 2 metres states that the only control measures to be implemented will be administrative controls or the provision of personal protective equipment, the statement must describe all control measures that were considered in determining which control measures to implement.&lt;/p&gt;&lt;p&gt;The Queensland WHS Regulation 2011 also prescribes additional risk controls for construction work involving:&lt;/p&gt;&lt;ul&gt;&lt;li&gt;risk of falls (regs 306B&amp;ndash;306J)&lt;/li&gt;&lt;li&gt;using ladders and platforms (regs 306K&amp;ndash;306O)&lt;/li&gt;&lt;li&gt;erecting and dismantling scaffolding (regs 306P&amp;ndash;306Q).&lt;/li&gt;&lt;/ul&gt;&lt;p&gt;The organisation responsible for carrying out the high-risk construction work is in the best position to prepare the safe work method statement. If more than one organisation has a duty to prepare a safe work method statement, they should coordinate with each other to decide who will actually prepare the statement, and consult with each other on the contents of the statement.&lt;/p&gt;&lt;p&gt;If different types of high-risk construction work are to occur at the same time and at the same workplace, a single safe work method statement may be prepared to cover all the high-risk construction work to be carried out at the workplace. Alternatively, separate statements can be prepared for each type of high-risk construction work, but organisations should consider how the different work activities may impact on each other and whether this may lead to inconsistencies between control measures.&lt;/p&gt;&lt;p&gt;When preparing a safe work method statement, the organisation should consult with the workers who will be directly involved in carrying out the work. If no workers are engaged at the planning stage, consultation should occur when the statement is first made available to workers, and workers should also be consulted when the statement is reviewed.&lt;/p&gt;&lt;p&gt;A safe work method statement should provide clear direction and sufficient detail on how control measures are to be implemented. There should be no general statements that require a decision to be made by supervisors or workers. For example, a statement such as &amp;lsquo;use appropriate personal protective equipment&amp;rsquo; does not provide enough detail on the control measures to be implemented. The organisation may prepare and use a generic safe work method statement for high-risk construction work activities that it carries out on a regular basis. However, the organisation must review a generic statement to take into account the hazards and risks for the specific workplace, and revise the statement as necessary. See Tool - Safe work method statement for high risk construction work, December 2014 (Safe Work Australia information sheet).&lt;/p&gt;&lt;p&gt;The organisation that commissions a construction project and the principal contractor for the project should coordinate with each other to ensure that the principal contractor receives a copy of the safe work method statement before construction work starts, and that a copy is available on site at all times.&lt;/p&gt;&lt;p&gt;The organisation that directly engages the workers who will be performing the high-risk construction work is best placed to implement the control measures in the safe work method statement and to ensure compliance. Monitoring arrangements may include routine or random workplace inspections to check whether control measures are being implemented correctly.&lt;/p&gt;&lt;p&gt;If work is stopped due to noncompliance with the safe work method statement, the organisation should review the relevant control measures and revise them if necessary. If the existing control measures are found to be appropriate, the organisation should provide training and instruction to supervisors and workers to ensure compliance with the safe work method statement once work is resumed.&lt;/p&gt;&lt;p&gt;Appropriate information and training for workers is critical to ensure that high-risk construction work is carried out in accordance with the safe work method statement. The training should cover the hazards at the workplace, the risk control measures and how to implement them, and what to do if work is not being carried out in accordance with the statement. This information and instruction may be provided during general construction induction training, workplace-specific training or during a toolbox talk by the relevant contractor.&lt;/p&gt;&lt;p&gt;If a safe work method statement is revised, all versions should be kept for the required period. If it is not possible to keep a copy of the statement at the workplace, it should be kept at a location where it can be delivered to the workplace quickly. A safe work method statement can also be kept electronically.&lt;/p&gt;&lt;p&gt;If the organisation revises a safe work method statement following a review, it should advise relevant people about the change and (if applicable) provide a copy of the revised statement to the principal contractor. In particular, the organisation should consult with people who will need to change a work procedure or system so they can carry out their work consistently with the revised statement. The organisation should also provide workers with instruction and relevant information to help them understand and implement the revised safe work method statement.&lt;/p&gt;&lt;p&gt;Section 4 of the Model code of practice &amp;ndash; Construction work, November 2013 (Safe Work Australia) provides further guidance on safe work method statements (see link in Tools section). Appendix B of the code provides examples of high-risk construction work. Appendix D of the code provides a template for a safe work method statement, while Appendix E provides an example of the information to be included in a statement. See Tool &amp;ndash; Model code of practice &amp;ndash; Construction work, November 2013 (Safe Work Australia).&lt;/p&gt;</x:v>
      </x:c>
      <x:c r="K112" s="6" t="n">
        <x:f>=HYPERLINK("#K112","Guidance Notes")</x:f>
      </x:c>
      <x:c r="L112" s="6" t="str">
        <x:v>&lt;p&gt;Prepare a safe work method statement whenever high-risk construction work is to be carried out.&lt;/p&gt;</x:v>
      </x:c>
      <x:c r="M112" s="6" t="n">
        <x:f>=HYPERLINK("#M112","Remediation")</x:f>
      </x:c>
      <x:c r="N112" s="6" t="str">
        <x:v>&lt;p&gt;Maximum penalties for failing to ensure that a safe work method statement is prepared for high-risk construction work are $30,000 for an organisation and $6,000 for an individual (reg 299). The same maximum penalties apply for failing to put in place arrangements to ensure compliance with the safe work method statement, failing to stop work that is not being carried out in accordance with the statement, or allowing the resumption of work that does not comply with the statement (reg 300).&lt;/p&gt;&lt;p&gt;Failure to give a copy of a safe work method statement to the principal contractor for a construction project attracts maximum penalties of $18,000 for an organisation and $3,600 for an individual (reg&amp;nbsp;301). The principal contractor faces the same maximum penalties for failing to obtain a copy of the statement (reg 312).&lt;/p&gt;&lt;p&gt;Penalties apply if an organisation fails to review and, as necessary, revise a safe work method statement (reg 302), or fails to make a copy of the statement readily accessible to relevant workers (reg 303). The maximum penalties are $18,000 for an organisation and $3,600 for an individual. In addition, maximum penalties of $6,000 (for an organisation) and $1,250 (for an individual) apply for failing to keep a safe work method statement for the required period or failing to ensure that a copy of the statement is available for inspection (reg 303).&lt;/p&gt;</x:v>
      </x:c>
      <x:c r="O112" s="6" t="n">
        <x:f>=HYPERLINK("#O112","Consequence")</x:f>
      </x:c>
      <x:c r="P112" s="6" t="str">
        <x:v>&lt;p&gt;&lt;a href="https://www.legislation.gov.au/Details/F2011L02664" target="_blank" &gt;Work Health and Safety Regulations 2011 (Cth)&lt;/a&gt; regs 291&amp;ndash;293, 299&amp;ndash;303, 312 (see also corresponding regulations in ACT, NSW, NT, QLD, SA and TAS)&lt;/p&gt;&lt;p&gt;Model Code of Practice &amp;ndash; Construction Work, November 2013 (Safe Work Australia)&lt;/p&gt;&lt;p&gt;Model Code of Practice &amp;ndash; Excavation Work, March 2015 (Safe Work Australia)&lt;/p&gt;&lt;p&gt;Model Code of Practice &amp;ndash; Demolition Work, March 2015 (Safe Work Australia)&lt;/p&gt;&lt;p&gt;AS 2601&amp;ndash;2001 The demolition of structures&lt;/p&gt;</x:v>
      </x:c>
      <x:c r="Q112" s="6" t="n">
        <x:f>=HYPERLINK("#Q112","Source")</x:f>
      </x:c>
      <x:c r="R112"/>
      <x:c r="S112"/>
      <x:c r="T112"/>
    </x:row>
    <x:row r="113" spans="1:20" ht="15.75" x14ac:dyDescent="0.25">
      <x:c r="A113" t="n">
        <x:v>11412</x:v>
      </x:c>
      <x:c r="B113" t="str">
        <x:v>NSW,NT,QLD,SA,TAS,ACT,COMMONWEALTH</x:v>
      </x:c>
      <x:c r="C113" t="inlineStr">
        <x:is>
          <x:t xml:space="preserve">  Subobligation</x:t>
        </x:is>
      </x:c>
      <x:c r="D113" t="inlineStr">
        <x:is>
          <x:t xml:space="preserve">  Excavation Work</x:t>
        </x:is>
      </x:c>
      <x:c r="E113" s="31" t="n">
        <x:v>15.03</x:v>
      </x:c>
      <x:c r="F113" s="8" t="n">
        <x:f>=HYPERLINK("#Obligation()","Workplace Management—Construction Work")</x:f>
      </x:c>
      <x:c r="G113" s="8" t="n">
        <x:f>=HYPERLINK("#SubObligation()","Excavation Work")</x:f>
      </x:c>
      <x:c r="H113" s="6" t="n">
        <x:f>=HYPERLINK("#H113","Tools")</x:f>
      </x:c>
      <x:c r="I113" s="27" t="str">
        <x:v>&lt;b&gt;&lt;p&gt;Excavation Work&lt;/p&gt;Does the organisation have a structured, documented and effective process for managing the health and safety risks associated with excavation work?&lt;/b&gt;</x:v>
      </x:c>
      <x:c r="J113" s="6" t="str">
        <x:v>&lt;p&gt;An organisation must manage the health and safety risks associated with excavation work. Excavation work can range from the shallow removal of soil or rock from a site using tools and machinery to form an open face, hole or cavity (such as in landscaping), to large-scale deep excavations using heavy machinery and explosives.&lt;/p&gt;&lt;p&gt;The harmonised Work Health and Safety (WHS) Regulations do not define excavation to include a mine or mineral exploration. In South Australia and the Northern Territory, the WHS Regulations include a chapter on mining, while New South Wales, Queensland and Tasmania have separate provisions for health and safety in the mining industry (the ACT has not made any specific provisions for mine safety). (Note: Mine safety legislation is outside the scope of this module.)&lt;/p&gt;&lt;p&gt;The risks that an organisation needs to manage during excavation work include:&lt;/p&gt;&lt;ul type="disc"&gt;&lt;li&gt;a person falling into an excavation&lt;/li&gt;&lt;li&gt;a person being trapped by the collapse of an excavation&lt;/li&gt;&lt;li&gt;a person working in an excavation being struck by a falling thing&lt;/li&gt;&lt;li&gt;a person working in an excavation being exposed to an airborne contaminant.&lt;/li&gt;&lt;/ul&gt;&lt;p&gt;In managing the risks, the organisation must take into account:&lt;/p&gt;&lt;ul type="disc"&gt;&lt;li&gt;the nature of the excavation&lt;/li&gt;&lt;li&gt;the nature of the excavation work, including the range of possible methods of carrying out the work&lt;/li&gt;&lt;li&gt;the means of entry into and exit from the excavation, if applicable.&lt;/li&gt;&lt;/ul&gt;&lt;p&gt;An organisation that proposes to excavate a trench at least 1.5 metres deep must ensure, so far as is reasonably practicable, that the work area is secured from unauthorised access, including inadvertent entry. The organisation must take into account all relevant matters, including the health and safety risks arising from unauthorised access and the likelihood of unauthorised access occurring. In addition, the organisation must minimise the risk to any person arising from the collapse of the trench by ensuring that all sides of the trench are adequately supported by doing one or more of the following:&lt;/p&gt;&lt;ul type="disc"&gt;&lt;li&gt;shoring by shielding or other comparable means&lt;/li&gt;&lt;li&gt;benching&lt;/li&gt;&lt;li&gt;battering.&lt;/li&gt;&lt;/ul&gt;&lt;p&gt;The requirement to ensure that all sides of the trench are adequately supported does not apply if the organisation receives written advice from a geotechnical engineer that all sides are safe from collapse. This advice may be subject to a condition that specified natural occurrences may create a risk of collapse. The engineer must also state the period of time to which the advice applies.&lt;/p&gt;&lt;p&gt;Work carried out in or near a shaft or trench exceeding 1.5 metres in depth, or in or near a tunnel, as well as work that involves the use of explosives, is considered to be high-risk construction work. The organisation carrying out these types of excavation work must ensure that a safe work method statement is prepared before the work begins (see sub-obligation &amp;lsquo;Safe Work Method Statements for High-Risk Construction Work&amp;rsquo; in this section of the module).&lt;/p&gt;&lt;p&gt;Before directing or allowing excavation work to begin, an organisation with management or control of a workplace must take all reasonable steps to obtain current underground essential services information about the place where the excavation work is to be carried out and any adjacent areas. Specifically, the organisation must obtain information about:&lt;/p&gt;&lt;ul type="disc"&gt;&lt;li&gt;the essential services that may be affected by the proposed excavation work&lt;/li&gt;&lt;li&gt;the location, including the depth, of any pipes, cables or other plant associated with the affected essential services&lt;/li&gt;&lt;li&gt;any conditions on the proposed excavation work.&lt;/li&gt;&lt;/ul&gt;&lt;p&gt;The organisation must provide this information to anyone who it engages to carry out the excavation work. Both the organisation and those who receive the essential services information must take the information into account when directing the excavation work or allowing the work to be carried out. The organisation must also ensure that the information is available for inspection under the relevant WHS Act until the excavation work is completed. However, if a notifiable incident occurs in connection with the excavation work, the organisation must ensure that the information is available for inspection for at least 2&amp;nbsp;years after the incident occurs.&lt;/p&gt;&lt;p&gt;The organisation must manage health and safety risks associated with excavation work in accordance with Part 3.1 of the WHS Regulations. This means that the organisation should:&lt;/p&gt;&lt;ul type="disc"&gt;&lt;li&gt;identify hazards associated with the excavation work&lt;/li&gt;&lt;li&gt;assess the risks that arise from those hazards&lt;/li&gt;&lt;li&gt;implement control measures to eliminate or minimise the risks, so far as is reasonably practicable&lt;/li&gt;&lt;li&gt;monitor the control measures to ensure that they are followed and maintained&lt;/li&gt;&lt;li&gt;periodically review and revise the control measures to ensure their ongoing effectiveness.&lt;/li&gt;&lt;/ul&gt;&lt;p&gt;The organisation should consult with workers at all stages of the risk management process, and take workers&amp;rsquo; views into account when making decisions about control measures. The organisation should also provide appropriate supervision and training to workers, making sure that the training is specific to the excavation work and to the site.&lt;/p&gt;&lt;p&gt;The organisation must also ensure, so far as is reasonably practicable, that it consults, cooperates and coordinates with other organisations that have overlapping health and safety responsibilities for the excavation work.&lt;/p&gt;&lt;p&gt;The organisation should conduct a site inspection to identify hazards associated with the excavation work, such as:&lt;/p&gt;&lt;ul type="disc"&gt;&lt;li&gt;the risk of entrapment in an excavation&lt;/li&gt;&lt;li&gt;the risk of a person falling into an excavation&lt;/li&gt;&lt;li&gt;falling objects&lt;/li&gt;&lt;li&gt;damage to essential services&lt;/li&gt;&lt;li&gt;hazardous placement of excavated materials&lt;/li&gt;&lt;li&gt;instability of adjacent buildings or structures&lt;/li&gt;&lt;li&gt;water inrush&lt;/li&gt;&lt;li&gt;airborne and buried contaminants (e.g. asbestos)&lt;/li&gt;&lt;li&gt;noise that exceeds exposure standards&lt;/li&gt;&lt;li&gt;site access and traffic&lt;/li&gt;&lt;li&gt;powered mobile plant&lt;/li&gt;&lt;li&gt;explosives (if used).&lt;/li&gt;&lt;/ul&gt;&lt;p&gt;When identifying hazards, the organisation should also review available information, including internal records (such as previous excavations, work methods or incident reports) and external information from regulators or industry bodies (particularly on underground essential services at or near the workplace).&lt;/p&gt;&lt;p&gt;The organisation should ensure that a risk assessment is carried out by a competent person to determine:&lt;/p&gt;&lt;ul type="disc"&gt;&lt;li&gt;the severity of risk (taking into account factors such as the availability of safe access to the site, the nature of the excavation and excavation work, site conditions such as geology and weather, workers at risk, blind spots for operators of mobile plant, and the duration of the work)&lt;/li&gt;&lt;li&gt;whether existing control measures are effective&lt;/li&gt;&lt;li&gt;what action needs to be taken to control the risk&lt;/li&gt;&lt;li&gt;how urgently the action needs to be taken.&lt;/li&gt;&lt;/ul&gt;&lt;p&gt;When deciding on appropriate risk controls, the organisation should consider whether it is feasible to eliminate the risk by avoiding the excavation work altogether. If this is not possible, the organisation should seek to minimise the risks by:&lt;/p&gt;&lt;ul type="disc"&gt;&lt;li&gt;substituting a work method with something safer (e.g. using an excavator with a rock breaker rather than a manual method)&lt;/li&gt;&lt;li&gt;implementing engineering controls (e.g. benching, battering or shoring the sides of the excavation to reduce the risk of ground collapse&amp;mdash;this is mandatory for trenches that are at least 1.5&amp;nbsp;metres deep, unless otherwise advised by an expert)&lt;/li&gt;&lt;li&gt;isolating the hazard site from people (e.g. erecting concrete barriers).&lt;/li&gt;&lt;/ul&gt;&lt;p&gt;If the above control measures do not provide adequate protection, the organisation should implement administrative controls (such as signage and exclusion zones) and provide personal protective equipment (such as hard hats) to workers. A combination of controls is often necessary.&lt;/p&gt;&lt;p&gt;The organisation should ensure that an emergency plan is prepared for the excavation work. The plan should address unexpected incidents such as ground slip, flooding, gas leaks and the rescue of workers from an excavation. If the excavation work is part of a larger construction project, the emergency plan should be integrated with the broader emergency plan for the project.&lt;/p&gt;&lt;p&gt;Once the control measures have been implemented, the organisation will need to monitor them to make sure they remain effective for the duration of the excavation work. The process should include:&lt;/p&gt;&lt;ul type="disc"&gt;&lt;li&gt;regular inspection, testing and maintenance of plant and equipment, as well as site inspections, to identify and rectify safety issues in a timely manner&lt;/li&gt;&lt;li&gt;up-to-date information and training for workers to improve compliance and hazard reporting&lt;/li&gt;&lt;li&gt;up-to-date hazard information&amp;mdash;check availability of new plant or processes to reduce the risks of excavation work.&lt;/li&gt;&lt;/ul&gt;&lt;p&gt;If a safe work method statement is required for the excavation work, any changes to control measures must be reflected in an updated statement.&lt;/p&gt;&lt;p&gt;The organisation should regularly review the various steps in its risk management process to make sure that it remains effective. It should document its reviews to demonstrate compliance with work health and safety laws.&lt;/p&gt;&lt;p&gt;The organisation that commissions excavation work, and those that carry out the work, should check whether any additional duties arise from the essential services legislation that applies in the relevant jurisdiction. In addition, the possession, storage, handling and use of explosives must be carried out in compliance with the relevant dangerous substances/goods or explosives legislation of the applicable state or territory, while the transport of explosives must be in accordance with the Australian code for the transport of dangerous goods by road and rail, version 7.4, December 2015 (National Transport Commission).&lt;/p&gt;&lt;p&gt;Further guidance on managing the risks associated with excavation work, see Tools &amp;ndash; Model code of practice &amp;ndash; Excavation work, March 2015 (Safe Work Australia).&lt;/p&gt;</x:v>
      </x:c>
      <x:c r="K113" s="6" t="n">
        <x:f>=HYPERLINK("#K113","Guidance Notes")</x:f>
      </x:c>
      <x:c r="L113" s="6" t="str">
        <x:v>&lt;p&gt;Put in place a documented and effective process for managing the health and safety risks associated with excavation work.&lt;/p&gt;</x:v>
      </x:c>
      <x:c r="M113" s="6" t="n">
        <x:f>=HYPERLINK("#M113","Remediation")</x:f>
      </x:c>
      <x:c r="N113" s="6" t="str">
        <x:v>&lt;p&gt;Penalties apply if an organisation that excavates a trench of a depth of at least 1.5 metres fails to secure the work area from unauthorised access, or fails to ensure that all sides of the trench are safe from collapse. The maximum penalties are $30,000 for an organisation and $6,000 for an individual (reg 306). The same maximum penalties apply if an organisation that manages or controls a workplace fails to:&lt;/p&gt;&lt;ul&gt;&lt;li&gt;obtain current underground essential services information before excavation work begins (reg 304)&lt;/li&gt;&lt;li&gt;provide the information to anyone that the organisation engages to carry out the excavation work (reg 304)&lt;/li&gt;&lt;li&gt;have regard to the information when directing or allowing the carrying out of the excavation work (this penalty provision also applies to any contractors who are engaged by the organisation and who have received the information) (reg 304).&lt;/li&gt;&lt;/ul&gt;&lt;p&gt;Failure to keep the underground essential services information available for inspection for the required period attracts maximum penalties of $6,000 for an organisation and $1,250 for an individual (reg 304).&lt;/p&gt;</x:v>
      </x:c>
      <x:c r="O113" s="6" t="n">
        <x:f>=HYPERLINK("#O113","Consequence")</x:f>
      </x:c>
      <x:c r="P113" s="6" t="str">
        <x:v>&lt;p&gt;&lt;a href="https://www.legislation.gov.au/Details/F2011L02664" target="_blank" &gt;Work Health and Safety Regulations 2011 (Cth)&lt;/a&gt; regs 291, 304&amp;ndash;306 (see also corresponding regulations in ACT, NSW, NT, QLD, SA and TAS)&lt;/p&gt;&lt;p&gt;Model Code of Practice &amp;ndash; Construction Work, November 2013 (Safe Work Australia)&lt;/p&gt;&lt;p&gt;Model Code of Practice &amp;ndash; Excavation Work, March 2015 (Safe Work Australia)&lt;/p&gt;&lt;p&gt;AS 2187.2&amp;ndash;2006 Explosives&amp;mdash;Storage And Use&amp;mdash;Use of Explosives&lt;/p&gt;&lt;p&gt;AS 4744.1&amp;ndash;2000 Steel Shoring and Trench Lining&amp;mdash;Design&lt;/p&gt;&lt;p&gt;AS 5047&amp;ndash;2005 Hydraulic Shoring and Trench Lining Equipment&lt;/p&gt;&lt;p&gt;AS 2397&amp;ndash;2015 Safe Use of Lasers in the Building And Construction Industry&lt;/p&gt;</x:v>
      </x:c>
      <x:c r="Q113" s="6" t="n">
        <x:f>=HYPERLINK("#Q113","Source")</x:f>
      </x:c>
      <x:c r="R113"/>
      <x:c r="S113"/>
      <x:c r="T113"/>
    </x:row>
    <x:row r="114" spans="1:20" ht="15.75" x14ac:dyDescent="0.25">
      <x:c r="A114" t="n">
        <x:v>11427</x:v>
      </x:c>
      <x:c r="B114" t="str">
        <x:v>NSW,NT,QLD,SA,TAS,ACT,COMMONWEALTH</x:v>
      </x:c>
      <x:c r="C114" t="inlineStr">
        <x:is>
          <x:t xml:space="preserve">  Subobligation</x:t>
        </x:is>
      </x:c>
      <x:c r="D114" t="inlineStr">
        <x:is>
          <x:t xml:space="preserve">  Additional Duties of Principal Contractors</x:t>
        </x:is>
      </x:c>
      <x:c r="E114" s="31" t="n">
        <x:v>15.04</x:v>
      </x:c>
      <x:c r="F114" s="8" t="n">
        <x:f>=HYPERLINK("#Obligation()","Workplace Management—Construction Work")</x:f>
      </x:c>
      <x:c r="G114" s="8" t="n">
        <x:f>=HYPERLINK("#SubObligation()","Additional Duties of Principal Contractors")</x:f>
      </x:c>
      <x:c r="H114" s="6" t="n">
        <x:f>=HYPERLINK("#H114","Tools")</x:f>
      </x:c>
      <x:c r="I114" s="27" t="str">
        <x:v>&lt;b&gt;&lt;p&gt;Additional Duties of Principal Contractors&lt;/p&gt;Does the principal contractor for a construction project put up appropriate signage, put in place arrangements for ensuring compliance with specified regulations, and manage specific health and safety risks associated with materials, waste, plant, traffic and essential services?&lt;/b&gt;</x:v>
      </x:c>
      <x:c r="J114" s="6" t="str">
        <x:v>&lt;p&gt;The harmonised Work Health and Safety (WHS) Regulations impose specific duties on principal contractors for construction projects. These duties are in addition to the duties that a principal contractor may have in relation to general risk management, security of the workplace, high-risk construction work and excavation work.&lt;/p&gt;&lt;p&gt;In the WHS Regulations, the term &amp;lsquo;construction project&amp;rsquo; refers only to projects costing $250,000 or more ($450,000 or more in South Australia). A construction project can only have one principal contractor at any specific time. A principal contractor for a construction project is the organisation that commissions the project, unless that organisation engages someone else as principal contractor and authorises them to have management or control of the workplace and discharge the duties of a principal contractor.&lt;/p&gt;&lt;p&gt;If the owner of residential premises is an individual who directly or indirectly engages someone else to undertake a construction project costing $250,000 or more ($450,000 or more in South Australia) at the premises, the person or organisation engaged for the project is the principal contractor if they have management or control of the workplace.&lt;/p&gt;&lt;p&gt;The principal contractor for a construction project must ensure that signs are installed at the workplace. The signs must:&lt;/p&gt;&lt;ul&gt;&lt;li&gt;show the principal contractor&amp;rsquo;s name and telephone contact numbers (including an after-hours telephone number)&lt;/li&gt;&lt;li&gt;show the location of the site office for the project, if any&lt;/li&gt;&lt;li&gt;be clearly visible from outside the workplace, or the work area of the workplace, where the construction project is being undertaken.&lt;/li&gt;&lt;/ul&gt;&lt;p&gt;The principal contractor must also put in place arrangements for ensuring compliance at the workplace with the following regulations (references to the relevant part of the harmonised WHS Regulations are provided in brackets):&lt;/p&gt;&lt;ul&gt;&lt;li&gt;provide a safe general working environment (Part 3.2, Division 2)&lt;/li&gt;&lt;li&gt;provide and maintain adequate and accessible facilities (Part 3.2, Division 2)&lt;/li&gt;&lt;li&gt;provide first aid (Part 3.2, Division 3)&lt;/li&gt;&lt;li&gt;prepare, maintain and implement emergency plans (Part 3.2, Division 4)&lt;/li&gt;&lt;li&gt;provide workers with personal protective equipment to minimise health and safety risks (Part 3.2, Division 5)&lt;/li&gt;&lt;li&gt;manage risks associated with airborne contaminants (Part 3.2, Division 7)&lt;/li&gt;&lt;li&gt;manage risks associated with hazardous atmospheres and ignition sources, and the storage of flammable and combustible substances at the workplace (Part 3.2, Divisions 8 and 9)&lt;/li&gt;&lt;li&gt;manage risks associated with falling objects (Part 3.2, Division 10)&lt;/li&gt;&lt;li&gt;manage the risks associated with a person falling from one level to another (Part 4.4).&lt;/li&gt;&lt;/ul&gt;&lt;p&gt;Each of the regulations in the above list is described in more detail in separate sub-obligations in this module.&lt;/p&gt;&lt;p&gt;A principal contractor for a construction project must also manage health and safety risks associated with the following:&lt;/p&gt;&lt;ul&gt;&lt;li&gt;the storage, movement and disposal of construction materials and waste at the workplace&lt;/li&gt;&lt;li&gt;the storage at the workplace of plant that is not in use&lt;/li&gt;&lt;li&gt;traffic in the vicinity of the workplace that may be affected by the construction work&lt;/li&gt;&lt;li&gt;essential services at the workplace.&lt;/li&gt;&lt;/ul&gt;&lt;p&gt;The Queensland WHS Regulation 2011 prescribes additional risk controls for falling objects associated with construction work (regs 315B&amp;ndash;315M). The Queensland regulations also require a principal contractor to ensure that amenities provided at the workplace (e.g. toilets, meal areas, drinking water and washing facilities) are maintained in a hygienic, safe and serviceable condition, including by ensuring that there is a system for inspecting and cleaning the amenity, and for the adequate and hygienic disposal of sanitary items for females (reg 315A and Schedule 5A).&lt;/p&gt;&lt;p&gt;As a principal contractor has management or control of a workplace, they are also subject to the duties imposed by the harmonised WHS Acts on organisations with management or control of a workplace.&lt;/p&gt;&lt;p&gt;Information on a principal contractor&amp;rsquo;s duty to prepare a WHS management plan for the workplace is provided in the sub-obligation &amp;lsquo;WHS Management Plans for Construction Projects&amp;rsquo; in this section of the module.&lt;/p&gt;&lt;p&gt;The principal contractor should have a process for ensuring that it installs the required signage at the workplace, and that the signage remains visible and in place for the duration of the construction project.&lt;/p&gt;&lt;p&gt;The principal contractor should have a process for putting in place arrangements for ensuring compliance with the specific regulations listed above. The principal contractor and other organisations at the workplace must, so far as is reasonably practicable, consult, cooperate and coordinate with each other on how to ensure compliance with those regulations, and how to manage health and safety risks more broadly during the construction project. They must also consult with workers about the arrangements and take workers&amp;rsquo; views into account before making decisions.&lt;/p&gt;&lt;p&gt;The principal contractor may put in place arrangements for ensuring compliance with the specified regulations through contractual arrangements, but it cannot rely only on these arrangements to ensure compliance. The principal contractor should check compliance when attending the construction site, and raise any safety issues promptly with other organisations.&lt;/p&gt;&lt;p&gt;Any arrangements that the principal contractor provides do not absolve other organisations involved in the construction project from fulfilling their duties at the same workplace for the same matters. For example, if the principal contractor provides facilities for workers at the workplace, other organisations (such as subcontractors) do not also have to provide facilities, but they must satisfy themselves that the facilities provided by the principal contractor are adequate.&lt;/p&gt;&lt;p&gt;The WHS Regulations specify that the principal contractor must manage the health and safety risks associated with construction materials and waste, the storage of plant that is not in use, traffic and essential services in accordance with Part .3.1 of the regulations. This means that the principal contractor should:&lt;/p&gt;&lt;ul&gt;&lt;li&gt;identify the hazards associated with each area of responsibility&lt;/li&gt;&lt;li&gt;assess the risks that arise from those hazards&lt;/li&gt;&lt;li&gt;implement control measures to eliminate or minimise the risks, so far as is reasonably practicable&lt;/li&gt;&lt;li&gt;monitor the control measures to ensure that they are followed and maintained&lt;/li&gt;&lt;li&gt;periodically review and revise the control measures to ensure their ongoing effectiveness.&lt;/li&gt;&lt;/ul&gt;&lt;p&gt;Further guidance on the duties of principal contractors, see Tool &amp;ndash; Model code of practice &amp;ndash; Construction work, November 2013 (Safe Work Australia). Appendix I of the code provides further guidance on workplace management arrangements for housing construction work, while Appendix J provides guidance on workplace management arrangements for general construction work.&lt;/p&gt;</x:v>
      </x:c>
      <x:c r="K114" s="6" t="n">
        <x:f>=HYPERLINK("#K114","Guidance Notes")</x:f>
      </x:c>
      <x:c r="L114" s="6" t="str">
        <x:v>&lt;p&gt;Put up appropriate signage at the workplace, and put in place effective and documented processes and procedures for ensuring compliance with the specified regulations and managing the specified risks.&lt;/p&gt;</x:v>
      </x:c>
      <x:c r="M114" s="6" t="n">
        <x:f>=HYPERLINK("#M114","Remediation")</x:f>
      </x:c>
      <x:c r="N114" s="6" t="str">
        <x:v>&lt;p&gt;A principal contractor for a construction project faces various penalties for failing to comply with the specified duties in Parts 3.2 and 4.4 of the harmonised WHS Regulations. The maximum penalties stipulated in the WHS Regulations are $30,000 for an organisation and $6,000 for an individual (reg&amp;nbsp;314). Further details on penalties are outlined in the relevant sub-obligations in this module.&lt;/p&gt;&lt;p&gt;Penalties also apply if a principal contractor for a construction project fails to put up appropriate signage at the workplace. The maximum penalties are $18,000 for an organisation and $3,600 for an individual (reg 308).&lt;/p&gt;</x:v>
      </x:c>
      <x:c r="O114" s="6" t="n">
        <x:f>=HYPERLINK("#O114","Consequence")</x:f>
      </x:c>
      <x:c r="P114" s="6" t="str">
        <x:v>&lt;p&gt;&lt;a href="https://www.legislation.gov.au/Details/C2011A00137" target="_blank" &gt;Work Health and Safety Act 2011 (Cth)&lt;/a&gt; s 20 (see also corresponding Acts in ACT, NSW, NT, QLD, SA and TAS)&lt;/p&gt;&lt;p&gt;&lt;a href="https://www.legislation.gov.au/Details/F2011L02664" target="_blank" &gt;Work Health and Safety Regulations 2011 (Cth)&lt;/a&gt; (regs 307&amp;ndash;315) (see also corresponding regulations in ACT, NSW, NT, QLD, SA and TAS)&lt;/p&gt;&lt;p&gt;Model Code of Practice &amp;ndash; Preventing Falls in Housing Construction, July 2012 (Safe Work Australia)&lt;/p&gt;&lt;p&gt;Model Code of Practice &amp;ndash; Construction Work, November 2013 (Safe Work Australia)&lt;/p&gt;</x:v>
      </x:c>
      <x:c r="Q114" s="6" t="n">
        <x:f>=HYPERLINK("#Q114","Source")</x:f>
      </x:c>
      <x:c r="R114"/>
      <x:c r="S114"/>
      <x:c r="T114"/>
    </x:row>
    <x:row r="115" spans="1:20" ht="15.75" x14ac:dyDescent="0.25">
      <x:c r="A115" t="n">
        <x:v>11451</x:v>
      </x:c>
      <x:c r="B115" t="str">
        <x:v>NSW,NT,QLD,SA,TAS,ACT,COMMONWEALTH</x:v>
      </x:c>
      <x:c r="C115" t="inlineStr">
        <x:is>
          <x:t xml:space="preserve">  Subobligation</x:t>
        </x:is>
      </x:c>
      <x:c r="D115" t="inlineStr">
        <x:is>
          <x:t xml:space="preserve">  WHS Management Plans for Construction Projects</x:t>
        </x:is>
      </x:c>
      <x:c r="E115" s="31" t="n">
        <x:v>15.05</x:v>
      </x:c>
      <x:c r="F115" s="8" t="n">
        <x:f>=HYPERLINK("#Obligation()","Workplace Management—Construction Work")</x:f>
      </x:c>
      <x:c r="G115" s="8" t="n">
        <x:f>=HYPERLINK("#SubObligation()","WHS Management Plans for Construction Projects")</x:f>
      </x:c>
      <x:c r="H115" s="6" t="n">
        <x:f>=HYPERLINK("#H115","Tools")</x:f>
      </x:c>
      <x:c r="I115" s="27" t="str">
        <x:v>&lt;b&gt;&lt;p&gt;WHS Management Plans for Construction Projects&lt;/p&gt;Does the principal contractor prepare a WHS management plan for a construction project, and keep the plan up to date for the duration of the project?&lt;/b&gt;</x:v>
      </x:c>
      <x:c r="J115" s="6" t="str">
        <x:v>&lt;p&gt;The principal contractor for a construction project costing $250,000 or more ($450,000 or more in South Australia) must prepare a written work health and safety (WHS) management plan for the workplace before work on the project commences. The aim of a WHS management plan is to ensure that processes are in place to manage the risks associated with a complex construction project, as there are usually many contractors and subcontractors involved and circumstances can change over the life of the project.&lt;/p&gt;&lt;p&gt;A WHS management plan must include the following:&lt;/p&gt;&lt;ul&gt;&lt;li&gt;the names, positions and health and safety responsibilities of all people at the workplace whose positions or roles involve specific health and safety responsibilities in connection with the project&lt;/li&gt;&lt;li&gt;the arrangements in place, between any organisations at the workplace where the construction project is being undertaken, for consultation, cooperation and the coordination of activities in relation to compliance with their work health and safety duties&lt;/li&gt;&lt;li&gt;the arrangements in place for managing any work health and safety incidents that occur&lt;/li&gt;&lt;li&gt;any site-specific health and safety rules, and the arrangements for ensuring that all people at the workplace are informed of these rules&lt;/li&gt;&lt;li&gt;the arrangements for the collection and any assessment, monitoring and review of safe work method statements at the workplace.&lt;/li&gt;&lt;/ul&gt;&lt;p&gt;The principal contractor for the construction project must ensure, so far as is reasonably practicable, that each organisation or individual who is to carry out construction work for the project is, before commencing work, made aware of the content of the WHS management plan and their right to inspect the plan.&lt;/p&gt;&lt;p&gt;The principal contractor for the construction project must review and, as necessary, revise the WHS management plan to ensure that it remains up to date. The principal contractor must also ensure, so far as is reasonably practicable, that each organisation or individual carrying out construction work for the project is made aware of any revision to the plan.&lt;/p&gt;&lt;p&gt;The principal contractor for the construction project must ensure that a copy of the WHS management plan for the project is kept until the project is completed. However, if a notifiable incident occurs in relation to the project, the principal contractor must keep a copy of the plan for at least 2 years after the incident occurs.&lt;/p&gt;&lt;p&gt;The principal contractor must ensure that a copy of the WHS management plan is readily accessible to anyone who is to carry out construction work for the project, and available for inspection under the relevant Work Health and Safety Act. The plan must be readily accessible, or available for inspection, throughout the period that the principal contractor is required to keep the statement.&lt;/p&gt;&lt;p&gt;The principal contractor should allocate sufficient time and resources to preparing and maintaining the WHS management plan. The principal contractor may prepare a generic plan that applies to several construction projects if the arrangements to manage work health and safety are the same for each project. However, the principal contractor must review and revise the plan for each new project to ensure that it addresses the specific risks of the actual workplace.&lt;/p&gt;&lt;p&gt;The WHS management plan should be written in a way that is easily understood by workers, including contractors and subcontractors. The principal contractor can inform people about the plan by:&lt;/p&gt;&lt;ul&gt;&lt;li&gt;giving subcontractors a copy of the plan with a requirement to communicate the relevant contents to their workers before they begin work (the principal contractor should check that this is done)&lt;/li&gt;&lt;li&gt;displaying the plan on a sign at the workplace&lt;/li&gt;&lt;li&gt;giving each worker a copy of the plan directly.&lt;/li&gt;&lt;/ul&gt;&lt;p&gt;The principal contractor may not need to communicate the entire plan to all workers; however, they must be made aware of the parts that apply to the work that they are carrying out.&lt;/p&gt;&lt;p&gt;In addition to the mandatory content described above, the principal contractor may choose to include the following information in the WHS management plan, where applicable:&lt;/p&gt;&lt;ul&gt;&lt;li&gt;the provision and maintenance of a hazardous chemicals register, safety data sheets and hazardous chemicals storage&lt;/li&gt;&lt;li&gt;the safe use and storage of plant&lt;/li&gt;&lt;li&gt;the development of a traffic management plan&lt;/li&gt;&lt;li&gt;obtaining and providing essential services information&lt;/li&gt;&lt;li&gt;workplace security and public safety&lt;/li&gt;&lt;li&gt;ensuring workers have appropriate licences and training to undertake the construction work.&lt;/li&gt;&lt;/ul&gt;&lt;p&gt;The principal contractor should ensure that it reviews the WHS management plan as soon as possible after becoming aware of any significant changes at the construction site. For example, changes in site conditions may affect safety rules, and the people who have health and safety responsibilities may change. The principal contractor should revise the WHS management plan to reflect such changes, and make the relevant people aware of the changes to the plan.&lt;/p&gt;&lt;p&gt;Further guidance on WHS management plans, see Tool &amp;ndash; Model code of practice &amp;ndash; Construction work, November 2013 (Safe Work Australia). Appendix F of the code provides advice on preparing WHS management plans. Appendix G provides a template for a WHS management plan, while Appendix H provides an example of a completed WHS management plan.&lt;/p&gt;</x:v>
      </x:c>
      <x:c r="K115" s="6" t="n">
        <x:f>=HYPERLINK("#K115","Guidance Notes")</x:f>
      </x:c>
      <x:c r="L115" s="6" t="str">
        <x:v>&lt;p&gt;Prepare a WHS management plan for the construction project, and keep the plan up to date for the duration of the project.&lt;/p&gt;</x:v>
      </x:c>
      <x:c r="M115" s="6" t="n">
        <x:f>=HYPERLINK("#M115","Remediation")</x:f>
      </x:c>
      <x:c r="N115" s="6" t="str">
        <x:v>&lt;p&gt;Penalties apply if a principal contractor fails to prepare a WHS management plan for a construction project before the project starts. The maximum penalties are $30,000 for an organisation and $6,000 for an individual (reg&amp;nbsp;309).&lt;/p&gt;&lt;p&gt;Penalties also apply if a principal contractor fails to make relevant people aware of the content of the WHS management plan and their right to inspect the plan. The maximum penalties are $18,000 for an organisation and $3,600 for an individual (reg 310). The same maximum penalties apply for failing to:&lt;/p&gt;&lt;ul&gt;&lt;li&gt;review and, as necessary, revise a WHS management plan (reg 311)&lt;/li&gt;&lt;li&gt;make relevant people aware of revisions to the plan (reg 311)&lt;/li&gt;&lt;li&gt;make a copy of the plan readily accessible to anyone carrying out construction work for the project (reg 313).&lt;/li&gt;&lt;/ul&gt;&lt;p&gt;In addition, penalties apply if a principal contractor fails to keep a copy of the WHS management plan for the required period, or fails to keep a copy available for inspection. The maximum penalties are $6,000 for an organisation and $1,250 for an individual (reg 313).&lt;/p&gt;</x:v>
      </x:c>
      <x:c r="O115" s="6" t="n">
        <x:f>=HYPERLINK("#O115","Consequence")</x:f>
      </x:c>
      <x:c r="P115" s="6" t="str">
        <x:v>&lt;p&gt;&lt;a href="https://www.legislation.gov.au/Details/F2011L02664" target="_blank" &gt;Work Health and Safety Regulations 2011 (Cth)&lt;/a&gt; (regs 299, 309&amp;ndash;313) (see also corresponding regulations in ACT, NSW, NT, QLD, SA and TAS)&lt;/p&gt;&lt;p&gt;Model Code of Practice &amp;ndash; Construction Work, November 2013 (Safe Work Australia)&lt;/p&gt;</x:v>
      </x:c>
      <x:c r="Q115" s="6" t="n">
        <x:f>=HYPERLINK("#Q115","Source")</x:f>
      </x:c>
      <x:c r="R115"/>
      <x:c r="S115"/>
      <x:c r="T115"/>
    </x:row>
    <x:row r="116" spans="1:20" ht="15.75" x14ac:dyDescent="0.25">
      <x:c r="A116" t="n">
        <x:v>11463</x:v>
      </x:c>
      <x:c r="B116" t="str">
        <x:v>NSW,NT,QLD,SA,TAS,ACT,COMMONWEALTH</x:v>
      </x:c>
      <x:c r="C116" t="inlineStr">
        <x:is>
          <x:t xml:space="preserve">  Subobligation</x:t>
        </x:is>
      </x:c>
      <x:c r="D116" t="inlineStr">
        <x:is>
          <x:t xml:space="preserve">  Induction Training for Construction Workers</x:t>
        </x:is>
      </x:c>
      <x:c r="E116" s="31" t="n">
        <x:v>15.06</x:v>
      </x:c>
      <x:c r="F116" s="8" t="n">
        <x:f>=HYPERLINK("#Obligation()","Workplace Management—Construction Work")</x:f>
      </x:c>
      <x:c r="G116" s="8" t="n">
        <x:f>=HYPERLINK("#SubObligation()","Induction Training for Construction Workers")</x:f>
      </x:c>
      <x:c r="H116" s="6" t="n">
        <x:f>=HYPERLINK("#H116","Tools")</x:f>
      </x:c>
      <x:c r="I116" s="27" t="str">
        <x:v>&lt;b&gt;&lt;p&gt;Induction Training for Construction Workers&lt;/p&gt;Does the organisation ensure that workers who it engages to carry out construction work hold a general construction induction training card, and are also provided with workplace-specific induction training?&lt;/b&gt;</x:v>
      </x:c>
      <x:c r="J116" s="6" t="str">
        <x:v>&lt;p&gt;General construction induction training provides workers with a basic knowledge of:&lt;/p&gt;&lt;ul&gt;&lt;li&gt;construction work&lt;/li&gt;&lt;li&gt;work health and safety laws that apply&lt;/li&gt;&lt;li&gt;common hazards likely to be encountered in construction work&lt;/li&gt;&lt;li&gt;how the associated risks can be controlled.&lt;/li&gt;&lt;/ul&gt;&lt;p&gt;General construction induction training must be delivered in Australia by a registered training organisation and cover the content set out in the specified vocational education and training course.&lt;/p&gt;&lt;p&gt;An organisation must ensure that all workers who it engages to carry out construction work are provided with general construction induction training if:&lt;/p&gt;&lt;ul&gt;&lt;li&gt;they have not already successfully completed the training, or&lt;/li&gt;&lt;li&gt;they successfully completed the training more than 2 years previously and have not carried out construction work in the preceding 2 years.&lt;/li&gt;&lt;/ul&gt;&lt;p&gt;In addition, an organisation must not direct or allow a worker to carry out construction work unless:&lt;/p&gt;&lt;ul&gt;&lt;li&gt;the worker has successfully completed general construction induction training, or&lt;/li&gt;&lt;li&gt;if the worker completed the training more than 2 years previously&amp;mdash;the worker has carried out construction work in the preceding 2 years.&lt;/li&gt;&lt;/ul&gt;&lt;p&gt;Once a person has successfully competed general construction induction training, they can apply to the regulator for a general construction induction training card (commonly known as a white card within the industry). Workers must keep their card available for inspection by a work health and safety inspector, and must provide their card to the organisation that engages them to carry out construction work.&lt;/p&gt;&lt;p&gt;An organisation must ensure that the worker holds a general construction induction training card. If the worker has applied for but not yet been issued with a card, the organisation must ensure that the worker holds a general construction induction training certification, issued within the preceding 60 days.&lt;/p&gt;&lt;p&gt;Where a worker holds a card that is issued by a regulator in a different jurisdiction to where the construction work is being carried out, then the card is recognised as valid as long as it is used in accordance with the terms and conditions under which it was granted. The card will not be valid if the regulator has suspended or cancelled the card.&lt;/p&gt;&lt;p&gt;The organisation should have a process for checking that the workers who it engages to carry out construction work hold a valid general construction induction training card (or a training certificate if they are still waiting to be issued with their card). If the worker completed the training more than 2&amp;nbsp;years previously, the organisation should have a process for checking that the worker has carried out construction work in the preceding 2 years. See Tools &amp;ndash; Comcare (Commonwealth regulator), &amp;lsquo;General Construction Induction Training&amp;rsquo;, WorkCover NSW, &amp;lsquo;White Cards (CIC)&amp;rsquo;, WorkCover Queensland, &amp;lsquo;General Construction Induction&amp;rsquo;, SafeWork SA, &amp;lsquo;White Card&amp;rsquo;, SafeWork Tasmania, &amp;lsquo;Construction&amp;rsquo;, SafeWork ACT, &amp;lsquo;General Construction Induction (White Card)&amp;rsquo; and NT WorkSafe, &amp;lsquo;White Card&amp;rsquo;.&lt;/p&gt;&lt;p&gt;The organisation may decide to keep a copy of each worker&amp;rsquo;s card on file; it may also keep a training register that records the names of workers who have successfully completed the general construction induction training. Significant penalties apply for directing or allowing a worker to carry out construction work if the worker has not completed the mandatory training, or has completed the training but not had any construction work experience in the preceding 2 years.&lt;/p&gt;&lt;p&gt;If the organisation wishes to place a worker on a general construction induction training course, it may wish to contact the regulator to find out which registered training organisations in the local area are authorised to deliver the training.&lt;/p&gt;&lt;p&gt;While general construction induction training provides workers with a basic knowledge of work health and safety requirements, the organisation will need to supplement this training with workplace-specific induction training and task-specific training. Workplace induction training should cover topics such as hazards and control measures relevant to the site, the location of essential services, supervision arrangements, site safety rules, first aid and emergency procedures. Where possible, the organisation should keep a record of this induction training in a training register.&lt;/p&gt;&lt;p&gt;The organisation should also consider what type of induction training is required for visitors to the construction site. The information provided to site visitors should include topics such as emergency evacuation procedures, the correct use of personal protective equipment (e.g. hard hats, safety goggles), and major hazards and no-go zones.&lt;/p&gt;&lt;p&gt;The organisation should also be aware that workers require a high-risk work licence to carry out particular classes of high-risk work, including scaffolding, dogging and rigging work, and crane and hoist operation.&lt;/p&gt;&lt;p&gt;Further information on induction training for construction workers, see Tool &amp;ndash; Model code of practice &amp;ndash; Construction work, November 2013 (Safe Work Australia) and Workplace induction for construction workplaces, November 2014 (Safe Work Australia information sheet). The information sheet includes induction checklists and a training register template.&lt;/p&gt;</x:v>
      </x:c>
      <x:c r="K116" s="6" t="n">
        <x:f>=HYPERLINK("#K116","Guidance Notes")</x:f>
      </x:c>
      <x:c r="L116" s="6" t="str">
        <x:v>&lt;p&gt;Put in place a procedure for ensuring that workers who carry out construction work are provided with general construction induction training (if not already completed) and workplace-specific induction training.&lt;/p&gt;</x:v>
      </x:c>
      <x:c r="M116" s="6" t="n">
        <x:f>=HYPERLINK("#M116","Remediation")</x:f>
      </x:c>
      <x:c r="N116" s="6" t="str">
        <x:v>&lt;p&gt;Under the harmonised Work Health and Safety (WHS) Acts, penalties apply if an organisation directs or allows a worker to carry out work and the worker does not have the prescribed qualifications or experience (for example, general construction induction training) required for that work. The maximum penalties are $100,000 for an organisation and $20,000 for an individual (s 44).&lt;/p&gt;&lt;p&gt;Under the harmonised WHS Regulations, penalties apply if an organisation fails to ensure that the workers it engages to carry out construction work are provided with general construction induction training as required. The maximum penalties are $18,000 for an organisation and $3,600 for an individual (reg 316). The same maximum penalties apply for directing or allowing a worker to carry out construction work if the worker has not successfully completed the training, or if the worker has completed the training more than 2&amp;nbsp;years previously but has not carried out construction work in the preceding 2 years (reg&amp;nbsp;317).&lt;/p&gt;</x:v>
      </x:c>
      <x:c r="O116" s="6" t="n">
        <x:f>=HYPERLINK("#O116","Consequence")</x:f>
      </x:c>
      <x:c r="P116" s="6" t="str">
        <x:v>&lt;p&gt;&lt;a href="https://www.legislation.gov.au/Details/C2011A00137" target="_blank" &gt;Work Health and Safety Act 2011 (Cth)&lt;/a&gt; s 44 (see also corresponding Acts in ACT, NSW, NT, QLD, SA and TAS)&lt;/p&gt;&lt;p&gt;&lt;a href="https://www.legislation.gov.au/Details/F2011L02664" target="_blank" &gt;Work Health and Safety Regulations 2011 (Cth)&lt;/a&gt; regs 316&amp;ndash;327 (see also corresponding regulations in ACT, NSW, NT, QLD, SA and TAS)&lt;/p&gt;&lt;p&gt;Model Code of Practice &amp;ndash; Construction Work, November 2013 (Safe Work Australia)&lt;/p&gt;</x:v>
      </x:c>
      <x:c r="Q116" s="6" t="n">
        <x:f>=HYPERLINK("#Q116","Source")</x:f>
      </x:c>
      <x:c r="R116"/>
      <x:c r="S116"/>
      <x:c r="T116"/>
    </x:row>
    <x:row r="117" spans="1:20" ht="15.75" x14ac:dyDescent="0.25">
      <x:c r="A117" t="n">
        <x:v>11529</x:v>
      </x:c>
      <x:c r="B117" t="str">
        <x:v>NSW,NT,QLD,SA,TAS,ACT,COMMONWEALTH</x:v>
      </x:c>
      <x:c r="C117" t="inlineStr">
        <x:is>
          <x:t xml:space="preserve">  Subobligation</x:t>
        </x:is>
      </x:c>
      <x:c r="D117" t="inlineStr">
        <x:is>
          <x:t xml:space="preserve">  Electrical Risks in Construction and Demolition Work</x:t>
        </x:is>
      </x:c>
      <x:c r="E117" s="31" t="n">
        <x:v>15.07</x:v>
      </x:c>
      <x:c r="F117" s="8" t="n">
        <x:f>=HYPERLINK("#Obligation()","Workplace Management—Construction Work")</x:f>
      </x:c>
      <x:c r="G117" s="8" t="n">
        <x:f>=HYPERLINK("#SubObligation()","Electrical Risks in Construction and Demolition Work")</x:f>
      </x:c>
      <x:c r="H117" s="6" t="n">
        <x:f>=HYPERLINK("#H117","Tools")</x:f>
      </x:c>
      <x:c r="I117" s="27" t="str">
        <x:v>&lt;b&gt;&lt;p&gt;Electrical Risks in Construction and Demolition Work&lt;/p&gt;Does the organisation have a structured, documented and effective process for managing electrical risks associated with construction and demolition work?&lt;/b&gt;</x:v>
      </x:c>
      <x:c r="J117" s="6" t="str">
        <x:v>&lt;p&gt;An organisation must have an effective process for managing electrical risks associated with construction work. Any construction work that is carried out on or near energised electrical installations or services is classified as high-risk construction work, and the organisation that commissions the work will need to ensure that a safe work method statement is prepared before the work begins.&lt;/p&gt;&lt;p&gt;The requirement to prepare a safe work method statement also applies to demolition work carried out on or near energised electrical installations or services, as demolition is included in the definition of construction work in the harmonised Work Health and Safety (WHS) Regulations.&lt;/p&gt;&lt;p&gt;Construction and demolition work will often expose electrical equipment to conditions that are likely to result in damage to the equipment or a reduction in its expected life span. As a general rule, electrical equipment connected by a plug and socket that is used on construction and demolition sites should be inspected and tested at least once every 3 months. More frequent testing may be required if a site-specific risk assessment indicates a high risk of potential damage to electrical equipment (see sub-obligation &amp;lsquo;Inspection and Testing of Electrical Equipment&amp;mdash;Higher-Risk Workplaces&amp;rsquo; in this module).&lt;/p&gt;&lt;p&gt;When carrying out construction and demolition work, special consideration needs to be given to underground and overhead electricity lines (see sub-obligation &amp;lsquo;Working Near Overhead and Underground Electric Lines&amp;rsquo; in this module). If the construction work involves excavation work, the organisation that manages or controls the workplace must obtain current underground essential services information for the site, including electrical cables, and provide this information to organisations carrying out the excavation work (see sub-obligation &amp;lsquo;Excavation Work&amp;rsquo; in this section of the module).&lt;/p&gt;&lt;p&gt;Under the WHS Regulations (except in Queensland&amp;mdash;see below), an organisation that carries out construction or demolition work must comply with Australian/New Zealand Standard (AS/NZS) 3012:2010 Electrical installations&amp;mdash;Construction and demolition sites. If any requirement in AS/NZS 3012:2010 deals with the same matter as a requirement under the WHS Regulations, then it is sufficient for the organisation to comply with the requirement in AS/NZS 3012:2010.&lt;/p&gt;&lt;p&gt;The code of practice Managing Electrical Risks in the Workplace applies to construction and demolition sites, except if a requirement of the code is dealt with in AS/NZS 3012:2010 Electrical installations&amp;mdash;Construction and demolition sites. In that case, an organisation must comply with AS/NZS 3012:2010. For example, AS/NZS 3012:2010 includes specific requirements for the use and testing of residual current devices (safety switches) at construction and demolition sites.&lt;/p&gt;&lt;p&gt;Queensland has omitted the specific provisions on electrical safety and electrical work from its WHS Regulation 2011, instead making separate provisions under its Electrical Safety Act 2002 and the Electrical Safety Regulation 2013. Like the harmonised WHS Regulations, Queensland&amp;rsquo;s Electrical Safety Regulation also includes requirements to comply with AS/NZS 3012:2010. The broader duties in Queensland&amp;rsquo;s work health and safety legislation, such as an organisation&amp;rsquo;s primary duty of care or an officer&amp;rsquo;s duty to exercise due diligence, remain applicable to managing electrical risks associated with construction and demolition work.&lt;/p&gt;&lt;p&gt;The organisation that commissions construction or demolition work, and the principal contractor (if applicable), should consider the potential for electrical shock and other electrical risks when identifying hazards and assessing risks at the construction or demolition site. If the work is high-risk construction work (e.g. drilling into a wall where live electrical wiring may be present or working near overhead or underground power lines), the safe work method statement for the work should describe the measures to be implemented to control the electrical risks, and how the measures will be implemented, monitored and reviewed.&lt;/p&gt;&lt;p&gt;Consultation, cooperation and coordination is an important aspect of managing electrical risks at construction and demolition sites. The principal contractor and subcontractors working on the same site should discuss their activities with each other directly. For example, if an electrician needs to isolate the electricity supply in order to carry out his or her work safely, he or she should communicate with other contractors at the site, such as a carpenter, who may need electricity for powered equipment. Other contractors should check with the electrician whether it is safe to use the electricity supply.&lt;/p&gt;&lt;p&gt;Each organisation carrying out construction or demolition work should consult with its workers about electrical hazards and risks in general, and the particular hazards and risks at a specific workplace. The organisation should take workers&amp;rsquo; views into account when making decisions on how to manage those risks.&lt;/p&gt;&lt;p&gt;If the organisation uses electrical equipment as part of the construction or demolition work, it should put in place a process for testing the equipment on a regular basis, and recording the results of tests. Unsafe equipment should be removed from use permanently, or removed from use until it is repaired, tested and found to be safe. See Tools &amp;ndash; Model code of practice &amp;ndash; Demolition work, March 2015 (Safe Work Australia), Model code of practice &amp;ndash; Managing electrical risks in the workplace, March 2015 (Safe Work Australia) and Electrical risks at the workplace (Safe Work Australia fact sheet, August 2012).&lt;/p&gt;&lt;p&gt;Temporary electrical supply cables should be positioned so as not to present tripping hazards (off the floor or away from access routes as far as is reasonably practicable).&lt;/p&gt;</x:v>
      </x:c>
      <x:c r="K117" s="6" t="n">
        <x:f>=HYPERLINK("#K117","Guidance Notes")</x:f>
      </x:c>
      <x:c r="L117" s="6" t="str">
        <x:v>&lt;p&gt;Put in place a process to manage electrical risks associated with construction and demolition work.&lt;/p&gt;</x:v>
      </x:c>
      <x:c r="M117" s="6" t="n">
        <x:f>=HYPERLINK("#M117","Remediation")</x:f>
      </x:c>
      <x:c r="N117" s="6" t="str">
        <x:v>&lt;p&gt;Failure to comply with AS/NZS 3012:2010 Electrical installations&amp;mdash;Construction and demolition sites attracts maximum penalties of $30,000 for an organisation and $6,000 for an individual (reg 163). The same maximum penalties apply for failing to ensure that a safe work method statement is prepared for high-risk construction work (reg 299).&lt;/p&gt;&lt;p&gt;Various other penalties apply for failing to manage electrical risks at a workplace. Further information on these penalties is provided in the Electrical Risks section of this module.&lt;/p&gt;</x:v>
      </x:c>
      <x:c r="O117" s="6" t="n">
        <x:f>=HYPERLINK("#O117","Consequence")</x:f>
      </x:c>
      <x:c r="P117" s="6" t="str">
        <x:v>&lt;p&gt;&lt;a href="https://www.legislation.gov.au/Details/F2011L02664" target="_blank" &gt;Work Health and Safety Regulations 2011 (Cth)&lt;/a&gt; regs 147, 163, 289&amp;ndash;291, 299&amp;ndash;303 (see also corresponding regulations in ACT, NSW, NT, QLD, SA and TAS)&lt;/p&gt;&lt;p&gt;Model Code Of Practice &amp;ndash; Managing Electrical Risks in the Workplace, March 2015 (Safe Work Australia)&lt;/p&gt;&lt;p&gt;Model Code of Practice &amp;ndash; Construction Work, November 2013 (Safe Work Australia)&lt;/p&gt;&lt;p&gt;Model Code of Practice &amp;ndash; Excavation Work, March 2015 (Safe Work Australia)&lt;/p&gt;&lt;p&gt;Model Code of Practice &amp;ndash; Demolition Work, March 2015 (Safe Work Australia)&lt;/p&gt;&lt;p&gt;AS/NZS 3012:2010 Electrical installations&amp;mdash;Construction and Demolition Sites&lt;/p&gt;&lt;p&gt;AS/NZS 3760:2010 In-service Safety Inspection and Testing of Electrical Equipment&lt;/p&gt;</x:v>
      </x:c>
      <x:c r="Q117" s="6" t="n">
        <x:f>=HYPERLINK("#Q117","Source")</x:f>
      </x:c>
      <x:c r="R117"/>
      <x:c r="S117"/>
      <x:c r="T117"/>
    </x:row>
    <x:row r="118" spans="1:20" ht="15.75" x14ac:dyDescent="0.25">
      <x:c r="A118" t="n">
        <x:v>11537</x:v>
      </x:c>
      <x:c r="B118" t="str">
        <x:v>NSW,NT,QLD,SA,TAS,ACT,COMMONWEALTH</x:v>
      </x:c>
      <x:c r="C118" t="str">
        <x:v>Obligation</x:v>
      </x:c>
      <x:c r="D118" t="str">
        <x:v>Workplace Management—Hazardous Chemicals</x:v>
      </x:c>
      <x:c r="E118" s="31" t="n">
        <x:v>16.00</x:v>
      </x:c>
      <x:c r="F118" s="8" t="n">
        <x:f>=HYPERLINK("#Obligation()","Workplace Management—Hazardous Chemicals")</x:f>
      </x:c>
      <x:c r="G118" s="8"/>
      <x:c r="H118" s="6" t="n">
        <x:f>=HYPERLINK("#H118","Tools")</x:f>
      </x:c>
      <x:c r="I118" s="27" t="str">
        <x:v>&lt;b&gt;&lt;p&gt;Workplace Management—Hazardous Chemicals&lt;/p&gt;Does the organisation have a structured, documented and effective process for managing the risks of hazardous chemicals and substances at work?&lt;/b&gt;</x:v>
      </x:c>
      <x:c r="J118" s="6" t="str">
        <x:v>&lt;p&gt;Exposure to hazardous chemicals&amp;mdash;usually through inhalation, skin contact or ingestion&amp;mdash;can cause acute and chronic health conditions, while physicochemical hazards from flammable, corrosive, explosive or chemically reactive substances can pose serious safety risks to workers. Accordingly, in addition to the general duties under the harmonised Work Health and Safety (WHS) Acts relating to managing risks associated with &amp;lsquo;substances&amp;rsquo; generally, the harmonised WHS Regulations (except in the ACT) place specific duties on organisations to manage the risks associated with those substances that are classified as hazardous chemicals.&lt;/p&gt;&lt;p&gt;The harmonised legislation bases its classification system for hazardous chemicals on the Globally Harmonised System of Classification and Labelling of Chemicals(the GHS) (although the tables in Schedule 6 of the WHS Regulations replace some of the tables in the GHS). The GHS also forms the basis for the information on hazardous chemical labels and safety data sheets. A five-year transitional period for moving to the GHS-based system concludes on 31 December 2016, after which all organisations must comply with the new system. Transitional provisions enable existing hazardous substances and dangerous goods classification systems prescribed in the relevant jurisdiction to be used in the meantime.&lt;/p&gt;&lt;p&gt;The harmonised WHS Regulations impose specific duties to ensure that hazardous chemicals are correctly classified, labelled and packaged. The WHS Regulations also prohibit and restrict the use of certain types of hazardous chemicals and require organisations to implement particular controls to manage the relevant safety hazards.&lt;/p&gt;&lt;p&gt;An organisation must identify which substances are classified as hazardous chemicals and manage risks to health and safety associated with using, handling, generating and storing those chemicals at a workplace in accordance with the general risk management requirements in Chapter 3 of the WHS Regulations. This includes identifying and controlling risks in accordance with the hierarchy of controls, and reviewing and revising, as necessary, any control measures implemented.&lt;/p&gt;&lt;p&gt;In addition to those general requirements, Chapter 7 of the WHS Regulations prescribes additional controls for the effective management of risks associated with hazardous chemicals.&lt;/p&gt;&lt;p&gt;The organisation must ensure that hazardous chemicals are packed and labelled correctly, and that all containers and storage and handling systems comply with the regulations so as to avoid the risk of spills or contamination. The organisation must obtain a safety data sheet for hazardous chemicals at the workplace, and also must provide health monitoring to workers who may be exposed to health and safety risks as a result of using, handling, generating or storing the chemicals.&lt;/p&gt;&lt;p&gt;The organisation must keep a register of hazardous chemicals at the workplace, as well as a manifest of specific types of hazardous chemicals with physiochemical hazards and acute toxicity. In some instances, placards will need to be displayed at the workplace as well.&lt;/p&gt;&lt;p&gt;The organisation must also have appropriate emergency procedures and equipment in place in the event of an emergency involving hazardous chemicals.&lt;/p&gt;&lt;p&gt;Particular hazardous chemicals, such as lead and certain carcinogens, have specific requirements that organisations must comply with. For example, the organisation will need to apply for the regulator&amp;rsquo;s authorisation to conduct research or analysis with, or to use, handle or store, prohibited or restricted carcinogens and it will need to notify the regulator of any lead-risk work that is being carried out.&lt;/p&gt;&lt;p&gt;There are also requirements relating to pipelines used to transfer hazardous chemicals, and pipeline operators, owners and builders must ensure that they comply with these requirements. Pipelines regulated under local gas, petroleum or pipeline safety legislation may attract duties under those local laws. If so, organisations will need to take any necessary steps to ensure the relevant requirements are complied with.&lt;/p&gt;&lt;p&gt;The organisation must ensure that no person at a workplace is exposed to a substance or mixture in an airborne concentration that exceeds the exposure standard for that substance or mixture. If the organisation is unsure about whether the exposure standard is exceeded at the workplace, or whether there is a risk to health arising from any such exposure, air monitoring will need to be carried out. The organisation will also need to manage risks to health and safety associated with a hazardous atmosphere at the workplace and the storage of flammable and combustible substances in accordance with relevant minimum requirements.&lt;/p&gt;&lt;p&gt;Under the harmonised WHS Acts, designers, manufacturers, importers and suppliers of a substance for a workplace have a general duty to ensure, so far as is reasonably practicable, that the substance is without health and safety risks. Manufacturers, importers and suppliers of substances have specific duties under the WHS Regulations in relation to hazardous chemicals, including correct classification, disclosure of ingredients, proper packing and labelling, and the preparation, updating and provision of safety data sheets.&lt;/p&gt;&lt;p&gt;An organisation must comply with any relevant state and territory transport laws for the safe transport of dangerous goods and explosives (which may also be classified as hazardous chemicals under the WHS Regulations) by road and rail. Local laws generally adopt the Australian Code for the Transport of Dangerous Goods by Road and Rail (commonly known as the ADG Code). When in the workplace, however, the use, handling, storage and disposal of hazardous chemicals (including dangerous goods) must meet the requirements prescribed under the WHS Regulations.&lt;/p&gt;&lt;p&gt;If local transport laws do not apply to a particular hazardous chemical, the WHS Regulations may extend to the transport of that chemical because the definition of &amp;lsquo;handling&amp;rsquo; under the WHS Acts includes transport. In addition, the minimum safety requirements prescribed under the harmonised WHS Regulations (except under the Commonwealth jurisdiction) will also apply to certain dangerous goods outside the workplace if they are above a prescribed quantity.&lt;/p&gt;&lt;p&gt;The hazardous chemicals provisions of the WHS Regulations will not apply to hazardous chemicals in the circumstances set out in regulation 328 (e.g. hazardous chemicals in batteries when incorporated in plant; tobacco or tobacco products; regulated food or beverages that are packaged and intended for human consumption; regulated therapeutic goods, and regulated veterinary products). Further, only certain requirements under the WHS Regulations will apply to those substances that are categorised only as &amp;lsquo;explosives&amp;rsquo; under the GHS.&lt;/p&gt;&lt;p&gt;The ACT has omitted the chapter and schedules on hazardous chemicals from its WHS Regulation 2011, instead preserving the provisions of the &lt;em&gt;Dangerous Substances Act 2004&lt;/em&gt; and Dangerous Substances (General) Regulation 2004. The duties in the ACT&amp;rsquo;s work health and safety legislation, such as an organisation&amp;rsquo;s primary duty of care, remain applicable to a workplace that uses, handles, generates or stores hazardous chemicals. The general duties under the ACT&amp;rsquo;s WHS Act will also apply to designers, manufacturers, importers and suppliers of substances.&lt;/p&gt;&lt;p&gt;If large quantities of certain hazardous chemicals are stored, handled or processed at a workplace, then the workplace may be classified as a &amp;lsquo;major hazard facility&amp;rsquo; under the WHS Regulations. The operators of major hazard facilities have additional work health and safety obligations, and these obligations are described in a separate section of this module.&lt;/p&gt;&lt;p&gt;Asbestos is a hazardous substance but is treated separately in the WHS Regulations. As a result, asbestos-related work is covered in a separate section of this module.&lt;/p&gt;&lt;p&gt;The same five-step process used for managing general risks and hazards in the workplace should also be applied to hazardous chemicals. These steps are:&lt;/p&gt;&lt;ol&gt;&lt;li&gt;hazard identification&lt;/li&gt;&lt;li&gt;risk assessment&lt;/li&gt;&lt;li&gt;implementation of risk control measures&lt;/li&gt;&lt;li&gt;maintenance of risk control measures&lt;/li&gt;&lt;li&gt;review of risk controls.&lt;/li&gt;&lt;/ol&gt;&lt;p&gt;The organisation will need to consider a range of factors when developing its risk management process for hazardous chemicals, including the size of the workplace and the number of workers, the type and quantity of hazardous chemicals, and the nature of the work being carried out. The organisation should have a process for ensuring that it implements mandatory risk control measures where applicable, including the mandatory control measures for lead processes at the workplace.&lt;/p&gt;&lt;p&gt;The organisation should ensure that consultation with workers is integrated into all steps of its risk management process. It should also ensure that workers who use, handle, generate or store hazardous chemicals receive the necessary supervision, information, training and instruction to carry out their work safely.&lt;/p&gt;&lt;p&gt;It is very important that the organisation provides adequate health monitoring for workers who are exposed to hazardous chemicals, and discusses the monitoring with affected workers. A registered medical practitioner will need to carry out the health monitoring, and the organisation should obtain a report as soon as possible after the monitoring has occurred. Where applicable, the organisation should ensure that it complies with the specific requirement to provide health monitoring to workers involved in lead-risk work.&lt;/p&gt;&lt;p&gt;The organisation may share responsibility for managing the risks associated with hazardous chemicals with other duty holders who are involved in the same work activities or share the same workplace. If this is the case, the organisation should put in place a process for consulting, cooperating and coordinating with those duty holders, so far as is reasonably practicable.&lt;/p&gt;&lt;p&gt;The organisation should ensure that its emergency procedures and safety equipment for emergencies involving hazardous chemicals meet the specific requirements in the WHS Regulations. The organisation should also implement a documented spill containment plan, which should describe how to contain, clean up and dispose of the spill, leak or resulting effluent.&lt;/p&gt;&lt;p&gt;The organisation will need to ensure that it understands the requirements for correctly packing and labelling hazardous chemicals. Labels must include information such as the product identifier, hazard pictograms or statements, and details of the manufacturer or importer.&lt;/p&gt;&lt;p&gt;The organisation will need to obtain a safety data sheet from the manufacturer, importer or supplier of the hazardous chemical and should check that it contains all the necessary information, such as product, chemical and hazard identification, safe handling and storage practices, and disposal considerations.&lt;/p&gt;&lt;p&gt;The organisation should ensure that its register of hazardous chemicals is kept up to date and remains easily accessible to workers, whether electronically or in hard copy.&lt;/p&gt;&lt;p&gt;If the quantity of certain types of hazardous chemicals exceeds prescribed threshold amounts, the organisation will also be required to notify the regulator before use of those chemicals and prepare a manifest which must be kept at the workplace and be readily accessible to the primary emergency services agency. The requirements for notification are different in South Australia, which uses its own dangerous substances licensing system.&lt;/p&gt;&lt;p&gt;The manifest will need to include detailed information of the hazardous chemicals, and any placards that must be displayed at the workplace should be clearly legible and located near the chemical.&lt;/p&gt;&lt;p&gt;When an organisation wishes to seek authorisation from the regulator to use certain prohibited and restricted carcinogens for genuine research or analysis, it should ensure that it includes all necessary information in the application, such as its name and business address, details about the carcinogen, and how many workers will use, handle or store the carcinogen.&lt;/p&gt;&lt;p&gt;Operators of pipelines that transfer hazardous chemicals should use identification methods such as putting up signs adjacent to the pipeline, drawing markings on the pipeline (like colour coding), or displaying schematic layouts prominently.&lt;/p&gt;&lt;p&gt;The organisation should seek to eliminate or minimise, so far as is reasonably practicable, any risks from airborne contaminants, as well as from hazardous atmospheres and flammable or combustible substances, by conducting a risk assessment and implementing appropriate control measures.&lt;/p&gt;&lt;p&gt;If the organisation designs, manufactures, imports or supplies substances for a workplace, then it should establish and implement processes to ensure that it consistently meets its specific duties. If the organisation has not yet transitioned to the GHS-based system for classifying and labelling hazardous chemicals and preparing safety data sheets, it should have a timetable in place for completing its transition to the new system by 31 December 2016.&lt;/p&gt;</x:v>
      </x:c>
      <x:c r="K118" s="6" t="n">
        <x:f>=HYPERLINK("#K118","Guidance Notes")</x:f>
      </x:c>
      <x:c r="L118" s="6" t="str">
        <x:v>&lt;p&gt;Put in place a structured, documented and effective process for managing the risks associated with hazardous chemicals and substances that are used, handled, generated or stored at the workplace.&lt;/p&gt;</x:v>
      </x:c>
      <x:c r="M118" s="6" t="n">
        <x:f>=HYPERLINK("#M118","Remediation")</x:f>
      </x:c>
      <x:c r="N118" s="6" t="str">
        <x:v>&lt;p&gt;An organisation&amp;rsquo;s failure to manage risks associated with hazardous chemicals and substances may be regarded as reckless conduct if the organisation does not have a reasonable excuse for engaging in conduct that exposes someone to the risk of death or serious injury or illness, and the organisation is reckless as to the risk to that individual. The maximum penalties for reckless conduct are:&lt;/p&gt;&lt;ul&gt;&lt;li&gt;$3 million for a body corporate&lt;/li&gt;&lt;li&gt;$600,000 and/or 5 years&amp;rsquo; imprisonment for an individual person conducting a business or undertaking or an officer of a business or undertaking&lt;/li&gt;&lt;li&gt;$300,000 and/or 5 years&amp;rsquo; imprisonment for other individuals (s 31).&lt;/li&gt;&lt;/ul&gt;&lt;p&gt;Lesser penalties apply where the failure to comply with a duty does not involve reckless conduct, or amounts to a breach of the duty but that breach does not create a risk of death or serious injury (ss&amp;nbsp;32&amp;ndash;33).&lt;/p&gt;&lt;p&gt;A range of penalties apply if an organisation does not comply with the hazardous chemical and lead provisions in the WHS Regulations and fails to do what is reasonably practicable to manage risks from hazardous chemicals and substances. The maximum penalties are $30,000 for an organisation and $6,000 for an individual (Chapter 7).&lt;/p&gt;&lt;p&gt;In addition, under the harmonised WHS Acts, the maximum penalties for using a substance at a workplace without the necessary authorisation (or directing or allowing a worker to use the substance) are $100,000 for an organisation and $20,000 for an individual (s 42). The same maximum penalties apply for carrying out work at a workplace (or directing or allowing a worker to carry out the work) if the organisation has not obtained the necessary authorisation for that type of work (s 43), and failing to comply with the conditions of an authorisation (s 45).&lt;/p&gt;</x:v>
      </x:c>
      <x:c r="O118" s="6" t="n">
        <x:f>=HYPERLINK("#O118","Consequence")</x:f>
      </x:c>
      <x:c r="P118" s="6" t="str">
        <x:v>&lt;p&gt;&lt;a href="https://www.legislation.gov.au/Details/C2011A00137" target="_blank" &gt;Work Health and Safety Act 2011 (Cth)&lt;/a&gt; ss 19, 22&amp;ndash;25, 42&amp;ndash;43, 45 (see also corresponding Acts in ACT, NSW, NT, QLD, SA and TAS)&lt;/p&gt;&lt;p&gt;&lt;a href="https://www.legislation.gov.au/Details/F2011L02664" target="_blank" &gt;Work Health and Safety Regulations 2011 (Cth)&lt;/a&gt; Ch&amp;nbsp;7, Schedules 6&amp;ndash;14 (see also corresponding regulations in NSW, NT, QLD, SA and TAS)&lt;/p&gt;&lt;p&gt;Managing Risks of Hazardous Chemicals in the Workplace Code of Practice&amp;mdash;July 2012&lt;/p&gt;&lt;p&gt;Labelling of Workplace Hazardous Chemicals Code of Practice&amp;mdash;March 2015&lt;/p&gt;&lt;p&gt;Preparation of Safety Data Sheets for Hazardous Chemicals Code of Practice&amp;mdash;December 2011&lt;/p&gt;</x:v>
      </x:c>
      <x:c r="Q118" s="6" t="n">
        <x:f>=HYPERLINK("#Q118","Source")</x:f>
      </x:c>
      <x:c r="R118"/>
      <x:c r="S118"/>
      <x:c r="T118"/>
    </x:row>
    <x:row r="119" spans="1:20" ht="15.75" x14ac:dyDescent="0.25">
      <x:c r="A119" t="n">
        <x:v>11547</x:v>
      </x:c>
      <x:c r="B119" t="str">
        <x:v>NSW,NT,QLD,SA,TAS,ACT,COMMONWEALTH</x:v>
      </x:c>
      <x:c r="C119" t="inlineStr">
        <x:is>
          <x:t xml:space="preserve">  Subobligation</x:t>
        </x:is>
      </x:c>
      <x:c r="D119" t="inlineStr">
        <x:is>
          <x:t xml:space="preserve">  Design, Manufacture, Import and Supply of Substances</x:t>
        </x:is>
      </x:c>
      <x:c r="E119" s="31" t="n">
        <x:v>16.01</x:v>
      </x:c>
      <x:c r="F119" s="8" t="n">
        <x:f>=HYPERLINK("#Obligation()","Workplace Management—Hazardous Chemicals")</x:f>
      </x:c>
      <x:c r="G119" s="8" t="n">
        <x:f>=HYPERLINK("#SubObligation()","Design, Manufacture, Import and Supply of Substances")</x:f>
      </x:c>
      <x:c r="H119" s="6" t="n">
        <x:f>=HYPERLINK("#H119","Tools")</x:f>
      </x:c>
      <x:c r="I119" s="27" t="str">
        <x:v>&lt;b&gt;&lt;p&gt;Design, Manufacture, Import and Supply of Substances&lt;/p&gt;Does the organisation that designs, manufactures, imports or supplies a substance for a workplace ensure, so far as is reasonably practicable, that the substance is without health and safety risks?&lt;/b&gt;</x:v>
      </x:c>
      <x:c r="J119" s="6" t="str">
        <x:v>&lt;p&gt;In addition to imposing a primary duty of care on businesses or undertakings, the harmonised Work Health and Safety (WHS) Acts place specific duties on organisations that design, manufacture, import or supply substances to be used at a workplace.&lt;/p&gt;&lt;p&gt;An organisation must ensure, so far as is reasonably practicable, that the substance that it designs, manufactures, imports or supplies is without risks to the health and safety of people who:&lt;/p&gt;&lt;ul&gt;&lt;li&gt;use or manufacture the substance for its intended purpose at a workplace&lt;/li&gt;&lt;li&gt;handle the substance at a workplace&lt;/li&gt;&lt;li&gt;store the substance at a workplace&lt;/li&gt;&lt;li&gt;properly dispose of the substance&lt;/li&gt;&lt;li&gt;are in the vicinity of the workplace and are exposed to the substance or whose health and safety may be affected by any of the above activities (for example, visitors).&lt;/li&gt;&lt;/ul&gt;&lt;p&gt;See Tools &amp;ndash; How to determine what is reasonably practicable to meet a health and safety duty, May 2013 (Safe Work Australia guide) and Interpretive guideline&amp;mdash;model Work Health and Safety Act&amp;mdash;the meaning of &amp;lsquo;reasonably practicable&amp;rsquo;, September 2011 (Safe Work Australia).&lt;/p&gt;&lt;p&gt;Designers and manufacturers must carry out or arrange calculations, analysis, testing or examination to ensure that the substance is without health and safety risks. Importers and suppliers must either carry out or arrange such calculations, analysis, testing or examination themselves, or ensure that somebody else has carried out these tasks.&lt;/p&gt;&lt;p&gt;Designers, manufacturers, importers and suppliers must also ensure that people who use the substance at a workplace receive adequate information about:&lt;/p&gt;&lt;ul&gt;&lt;li&gt;the intended purpose of the substance&lt;/li&gt;&lt;li&gt;the results of any calculations, analysis, testing or examination, including any information on hazardous properties of a substance&lt;/li&gt;&lt;li&gt;any conditions necessary to ensure that the substance is without health and safety risks when used for its intended purpose.&lt;/li&gt;&lt;/ul&gt;&lt;p&gt;Designers, manufacturers, importers and suppliers must also, on request and so far as is reasonably practicable, give current relevant information about these matters to people who use the substance at a workplace.&lt;/p&gt;&lt;p&gt;The harmonised WHS Regulations (except in the ACT, where the particular requirements relating to hazardous substances and dangerous goods are regulated under separate legislation) impose specific duties on manufacturers, importers and suppliers of substances classified as &amp;lsquo;hazardous chemicals&amp;rsquo;. These duties are covered separately in this module.&lt;/p&gt;&lt;p&gt;If the organisation designs, manufactures, imports or supplies substances for a workplace, then it should establish and implement processes to ensure that it consistently meets its specific duties under the harmonised WHS Acts. The organisation should be familiar with the types of substances that it designs, manufactures, imports or supplies for which particular duties apply. It should also develop a procedure for liaising with customers and other relevant people about the features and proper uses of the substance, including the results of testing and analysis, and for providing any updated information as required.&lt;/p&gt;&lt;p&gt;For further information on the requirements for the safe design, manufacture, import and supply of hazardous chemicals to be used at a workplace see Tools &amp;shy;&amp;mdash; Managing Risks of Hazardous Chemicals in the Workplace Code of Practice, July 2012 (Safe Work Australia).&lt;/p&gt;</x:v>
      </x:c>
      <x:c r="K119" s="6" t="n">
        <x:f>=HYPERLINK("#K119","Guidance Notes")</x:f>
      </x:c>
      <x:c r="L119" s="6" t="str">
        <x:v>&lt;p&gt;Put in place processes to ensure that a substance for use at a workplace is without health and safety risks, and develop procedures for obtaining and disseminating health and safety information about the substance.&lt;/p&gt;</x:v>
      </x:c>
      <x:c r="M119" s="6" t="n">
        <x:f>=HYPERLINK("#M119","Remediation")</x:f>
      </x:c>
      <x:c r="N119" s="6" t="str">
        <x:v>&lt;p&gt;An organisation that fails to properly manage risks associated with substances at the workplace (including hazardous substances and chemicals) may be in breach of its general duties under the WHS Acts. The maximum penalties for breaching the general duties under the WHS Acts are:&lt;/p&gt;&lt;ul&gt;&lt;li&gt;$500,000 for a body corporate&lt;/li&gt;&lt;li&gt;$100,000 for an individual person conducting a business or undertaking or an officer of a business or undertaking&lt;/li&gt;&lt;li&gt;$50,000 for other individuals (s 33).&lt;/li&gt;&lt;/ul&gt;&lt;p&gt;An organisation will face the following maximum penalties if the failure by the organisation to comply with its health and safety duty is found to expose an individual to a risk of death or serious injury or illness:&lt;/p&gt;&lt;ul&gt;&lt;li&gt;$1.5 million for a body corporate&lt;/li&gt;&lt;li&gt;$300,000 for an individual person conducting a business or undertaking or an officer of a business or undertaking&lt;/li&gt;&lt;li&gt;$150,000 for other individuals (s 32).&lt;/li&gt;&lt;/ul&gt;&lt;p&gt;The most severe penalties apply if the failure by the organisation to comply with its duty creates a risk of death or serious injury or illness (without reasonable excuse) and the organisation is reckless as to that risk. The maximum penalties for reckless conduct are:&lt;/p&gt;&lt;ul&gt;&lt;li&gt;$3 million for a body corporate&lt;/li&gt;&lt;li&gt;$600,000 and/or 5 years&amp;rsquo; imprisonment for an individual person conducting a business or undertaking or an officer of a business or undertaking&lt;/li&gt;&lt;li&gt;$300,000 and/or 5 years&amp;rsquo; imprisonment for other individuals (s 31).&lt;/li&gt;&lt;/ul&gt;</x:v>
      </x:c>
      <x:c r="O119" s="6" t="n">
        <x:f>=HYPERLINK("#O119","Consequence")</x:f>
      </x:c>
      <x:c r="P119" s="6" t="str">
        <x:v>&lt;p&gt;&lt;a href="https://www.legislation.gov.au/Details/C2011A00137" target="_blank" &gt;Work Health and Safety Act 2011 (Cth)&lt;/a&gt; ss 22&amp;ndash;25 (see also corresponding Acts in ACT, NSW, NT, QLD, SA and TAS)&lt;/p&gt;&lt;p&gt;&lt;a href="https://www.legislation.gov.au/Details/F2011L02664" target="_blank" &gt;Work Health and Safety Regulations 2011 (Cth)&lt;/a&gt; regs 329&amp;ndash;340 (see also corresponding regulations in NSW, NT, QLD, SA and TAS)&lt;/p&gt;</x:v>
      </x:c>
      <x:c r="Q119" s="6" t="n">
        <x:f>=HYPERLINK("#Q119","Source")</x:f>
      </x:c>
      <x:c r="R119"/>
      <x:c r="S119"/>
      <x:c r="T119"/>
    </x:row>
    <x:row r="120" spans="1:20" ht="15.75" x14ac:dyDescent="0.25">
      <x:c r="A120" t="n">
        <x:v>11554</x:v>
      </x:c>
      <x:c r="B120" t="str">
        <x:v>NSW,NT,QLD,SA,TAS,ACT,COMMONWEALTH</x:v>
      </x:c>
      <x:c r="C120" t="inlineStr">
        <x:is>
          <x:t xml:space="preserve">  Subobligation</x:t>
        </x:is>
      </x:c>
      <x:c r="D120" t="inlineStr">
        <x:is>
          <x:t xml:space="preserve">  Specific Duties of Manufacturers and Importers of Hazardous Chemicals</x:t>
        </x:is>
      </x:c>
      <x:c r="E120" s="31" t="n">
        <x:v>16.02</x:v>
      </x:c>
      <x:c r="F120" s="8" t="n">
        <x:f>=HYPERLINK("#Obligation()","Workplace Management—Hazardous Chemicals")</x:f>
      </x:c>
      <x:c r="G120" s="8" t="n">
        <x:f>=HYPERLINK("#SubObligation()","Specific Duties of Manufacturers and Importers of Hazardous Chemicals")</x:f>
      </x:c>
      <x:c r="H120" s="6" t="n">
        <x:f>=HYPERLINK("#H120","Tools")</x:f>
      </x:c>
      <x:c r="I120" s="27" t="str">
        <x:v>&lt;b&gt;&lt;p&gt;Specific Duties of Manufacturers and Importers of Hazardous Chemicals&lt;/p&gt;Does the manufacturer or importer of hazardous chemicals comply with its work health and safety duties, including classification of the chemicals, the preparation of safety data sheets and correct packing and labelling?&lt;/b&gt;</x:v>
      </x:c>
      <x:c r="J120" s="6" t="str">
        <x:v>&lt;p&gt;In addition to the duties that the harmonised Work Health and Safety (WHS) Acts impose on designers, manufacturers, importers and suppliers of substances, the harmonised WHS Regulations place specific duties on manufacturers and importers of hazardous chemicals.&lt;/p&gt;&lt;p&gt;When manufacturing or importing a substance, mixture or article, manufacturers and importers must determine whether the item is a hazardous chemical before supplying it to a workplace. If the item is a hazardous chemical, they must ensure that it is correctly classified.&lt;/p&gt;&lt;p&gt;Manufacturers and importers must also prepare a safety data sheet for the chemical before manufacturing or importing the chemical. If it is not possible to prepare the safety data sheet beforehand, they must do so as soon as possible after manufacturing or importing the chemical, and before supplying it to a workplace. They must review the safety data sheet at least once every 5&amp;nbsp;years and amend it whenever needed so that it contains correct and current information. They must provide the safety data sheet to anyone who asks for it if the person is likely to be affected by the chemical. However, these rules do not apply to anyone who has not manufactured or imported the relevant chemical in the past 5 years. If the hazardous chemical is a research chemical, waste product or sample for analysis, manufacturers and importers must also prepare a safety data sheet for the chemical in accordance with the regulations.&lt;/p&gt;&lt;p&gt;Manufacturers and importers can only change the safety data sheet if the change is consistent with their work health and safety duties or if the change is only the attachment of a translation of the safety data sheet and states that it is not part of the original safety data sheet.&lt;/p&gt;&lt;p&gt;Manufacturers and importers must also give a registered medical practitioner the chemical identity of a hazardous chemical&amp;rsquo;s ingredient if the practitioner has reason to believe that it will help a patient, and the medical practitioner provides an undertaking that the information will only be used for that purpose. The medical practitioner will need to give a written statement about the need for obtaining the ingredient. Manufacturers and importers also have a duty to give an emergency service worker the chemical identity of an ingredient if the worker asks for it.&lt;/p&gt;&lt;p&gt;Manufacturers and importers must ensure that hazardous chemicals are correctly packed and labelled as soon as possible after manufacturing or importing the chemical. However, the obligation to correctly label the chemicals will not apply to manufacturers and importers in certain circumstances&amp;mdash;for example, with consumer products, chemicals that are in transit or therapeutic goods.&lt;/p&gt;&lt;p&gt;Organisations that manufacture and import hazardous chemicals should also be aware of duties that will apply to them when using, handling, storing and disposing of hazardous chemicals. These additional duties are covered separately in this module.&lt;/p&gt;&lt;p&gt;It is important for manufacturers and importers to understand their obligations when manufacturing and importing hazardous chemicals for workplaces, so as to avoid causing any harm to those using, handling or storing the chemicals. They should carry out all necessary calculations, analysis, tests and examinations to check that the chemicals will not give rise to any work health and safety risks when the chemicals are used for their intended purpose and in accordance with safety instructions and regulations.&lt;/p&gt;&lt;p&gt;Under the harmonised WHS Regulations, by 1 January 2017, manufacturers and importers must classify hazardous chemicals according to a classification system based on the Globally Harmonised System of Classification and Labelling of Chemicals (the GHS). The classification tables in Schedule 6 of the WHS Regulations replace some of the tables in the GHS. Manufacturers and importers should consult the Safe Work Australia publication Guidance on the Classification of Hazardous Chemicals under the WHS Regulations for further information on classification rules and arrangements for transitioning to the GHS-based system. See Tools - Guidance on the classification of hazardous chemicals under the WHS Regulations, April 2012 (Safe Work Australia).&lt;/p&gt;&lt;p&gt;Safety data sheets must be prepared in accordance with the particular requirements in Schedule 7 of the WHS Regulations. In particular, manufacturers and importers must include the following information (in English) when preparing a safety data sheet:&lt;/p&gt;&lt;ul type="disc"&gt;&lt;li&gt;product, chemical and hazard identification&lt;/li&gt;&lt;li&gt;composition and information on ingredients&lt;/li&gt;&lt;li&gt;first aid, firefighting and accidental release measures&lt;/li&gt;&lt;li&gt;safe use, handling and storage practices&lt;/li&gt;&lt;li&gt;exposure controls and personal protection&lt;/li&gt;&lt;li&gt;physical and chemical properties, and stability and reactivity information of the chemical&lt;/li&gt;&lt;li&gt;toxicological and ecological information&lt;/li&gt;&lt;li&gt;disposal considerations&lt;/li&gt;&lt;li&gt;transport, regulatory and any other relevant information&lt;/li&gt;&lt;li&gt;unit measures expressed in Australian legal units of measurement&lt;/li&gt;&lt;li&gt;the date it was last reviewed, or if it has not been reviewed, the date it was prepared&lt;/li&gt;&lt;li&gt;the name, Australian address and business telephone number of the manufacturer or importer&lt;/li&gt;&lt;li&gt;an Australian business telephone number from which information about the chemical can be obtained in an emergency.&lt;/li&gt;&lt;/ul&gt;&lt;p&gt;If a hazardous chemical is a research chemical, waste product or sample for analysis, and it is not reasonably practicable for a manufacturer or importer to comply with the above requirements, the safety data sheet must be in English and state:&lt;/p&gt;&lt;ul type="disc"&gt;&lt;li&gt;the name, Australian address and business telephone number of the manufacturer or importer&lt;/li&gt;&lt;li&gt;that the full identification or hazard information is not available for the chemical and that a precautionary approach must be taken with the chemical&lt;/li&gt;&lt;li&gt;the chemical identity or structure of the chemical&lt;/li&gt;&lt;li&gt;any known or suspected hazards&lt;/li&gt;&lt;li&gt;any precautions that must be taken to the extent they have been identified.&lt;/li&gt;&lt;/ul&gt;&lt;p&gt;Manufacturers and importers must label hazardous chemicals in accordance with the requirements of Schedule 9 of the WHS Regulations. In particular, the information on the label must be in English and include the following details:&lt;/p&gt;&lt;ul type="disc"&gt;&lt;li&gt;the product identifier&lt;/li&gt;&lt;li&gt;the name, Australian address and business telephone number of the manufacturer or importer&lt;/li&gt;&lt;li&gt;the identity and proportion of each chemical ingredient, in accordance with Schedule 8 of the WHS Regulations&lt;/li&gt;&lt;li&gt;any hazard pictogram as per the correct chemical classification&lt;/li&gt;&lt;li&gt;any hazard statement, signal word or precautionary statement as per the correct chemical classification&lt;/li&gt;&lt;li&gt;any information about the hazards, first aid and emergency procedures relevant to the chemical&lt;/li&gt;&lt;li&gt;the expiry date of the chemical, if applicable&lt;/li&gt;&lt;li&gt;the emergency phone number for specific poisons or treatment advice&lt;/li&gt;&lt;li&gt;the overseas name, address and telephone number of the manufacturer or supplier, if applicable&lt;/li&gt;&lt;li&gt;a valid website or internet address&lt;/li&gt;&lt;li&gt;a reference to the safety data sheet, such as &amp;lsquo;Additional information is listed in the safety data sheet&amp;rsquo;.&lt;/li&gt;&lt;/ul&gt;&lt;p&gt;Manufacturers and importers should consult Schedule 9 of the WHS Regulations for the special provisions that apply to the labelling of:&lt;/p&gt;&lt;ul type="disc"&gt;&lt;li&gt;chemicals packed in small containers&lt;/li&gt;&lt;li&gt;research chemicals or samples for analysis&lt;/li&gt;&lt;li&gt;decanted or transferred chemicals&lt;/li&gt;&lt;li&gt;a chemical that is not being supplied to another workplace, where the hazards relating to the chemical are known to the workers involved in using, handling or storing it&lt;/li&gt;&lt;li&gt;waste products&lt;/li&gt;&lt;li&gt;explosives&lt;/li&gt;&lt;li&gt;agricultural and veterinary chemicals.&lt;/li&gt;&lt;/ul&gt;&lt;p&gt;In addition, the Model code of practice - Labelling of workplace hazardous chemicals, March 2015 (Safe Work Australia) sets out recommended labelling for chemicals containing engineered or manufactured nanomaterials. The organisation should refer to any approved code of practice relating to the labelling of hazardous chemicals that has been adopted in the jurisdiction in which it manufactures or imports chemicals to ensure that the organisation complies with any particular state or territory requirements.&lt;/p&gt;&lt;p&gt;Manufacturers and importers should ensure that hazardous chemicals are correctly packed in accordance with Schedule 9 of the WHS Regulations by making sure that the container:&lt;/p&gt;&lt;ul type="disc"&gt;&lt;li&gt;is in sound condition&lt;/li&gt;&lt;li&gt;will safely contain the chemical for the time the chemical is likely to be packed&lt;/li&gt;&lt;li&gt;is made of material that is compatible with, and will not be adversely affected by, the chemical&lt;/li&gt;&lt;li&gt;does not usually contain food or beverages and cannot be mistakenly identified as containing food or beverages.&lt;/li&gt;&lt;/ul&gt;&lt;p&gt;For further guidance on the duties of manufacturers and importers, see Tools - Model code of practice - Labelling of workplace hazardous chemicals, March 2015 (Safe Work Australia), Model code of practice - Preparation of Safety Data Sheets for Hazardous Chemicals, December 2011 (Safe Work Australia) and Model code of practice - Managing risks of hazardous chemicals in the workplace, July 2012 (Safe Work Australia).&lt;/p&gt;</x:v>
      </x:c>
      <x:c r="K120" s="6" t="n">
        <x:f>=HYPERLINK("#K120","Guidance Notes")</x:f>
      </x:c>
      <x:c r="L120" s="6" t="str">
        <x:v>&lt;p&gt;Put in place procedures and resources to ensure compliance with work health and safety duties when manufacturing or importing hazardous chemicals.&lt;/p&gt;</x:v>
      </x:c>
      <x:c r="M120" s="6" t="n">
        <x:f>=HYPERLINK("#M120","Remediation")</x:f>
      </x:c>
      <x:c r="N120" s="6" t="str">
        <x:v>&lt;p&gt;The harmonised WHS Regulations impose penalties on manufacturers and importers for failing to comply with their duties. Maximum penalties of $30,000 (for an organisation) and $6,000 (for an individual) apply for failing to:&lt;/p&gt;&lt;ul&gt;&lt;li&gt;classify a hazardous chemical correctly (reg 329)&lt;/li&gt;&lt;li&gt;prepare, review, amend and provide a safety data sheet where necessary (reg 330)&lt;/li&gt;&lt;li&gt;prepare a safety data sheet for a research chemical, waste product or sample for analysis (reg 331)&lt;/li&gt;&lt;li&gt;disclose chemical identities to registered medical practitioners or emergency service workers (regs 332&amp;ndash;333)&lt;/li&gt;&lt;li&gt;pack and label hazardous chemicals correctly (regs 334&amp;ndash;335)&lt;/li&gt;&lt;li&gt;change a safety data sheet correctly (reg 345).&lt;/li&gt;&lt;/ul&gt;</x:v>
      </x:c>
      <x:c r="O120" s="6" t="n">
        <x:f>=HYPERLINK("#O120","Consequence")</x:f>
      </x:c>
      <x:c r="P120" s="6" t="str">
        <x:v>&lt;p&gt;&lt;a href="https://www.legislation.gov.au/Details/C2011A00137" target="_blank" &gt;Work Health and Safety Act 2011 (Cth)&lt;/a&gt; ss 23&amp;ndash;24 (see also corresponding Acts in ACT, NSW, NT, QLD, SA and TAS)&lt;/p&gt;&lt;p&gt;&lt;a href="https://www.legislation.gov.au/Details/F2011L02664" target="_blank" &gt;Work Health and Safety Regulations 2011 (Cth)&lt;/a&gt; (regs 329&amp;ndash;335, 345, Schedules 6&amp;ndash;9) (see also corresponding regulations in NSW, NT, QLD, SA and TAS)&lt;/p&gt;&lt;p&gt;Labelling of Workplace Hazardous Chemicals Code of Practice&amp;mdash;March 2015&lt;/p&gt;&lt;p&gt;Preparation of Safety Data Sheets for Hazardous Chemicals Code of Practice&amp;mdash;December 2011&lt;/p&gt;&lt;p&gt;Managing Risks of Hazardous Chemicals in the Workplace Code of Practice&amp;mdash;July 2012&lt;/p&gt;</x:v>
      </x:c>
      <x:c r="Q120" s="6" t="n">
        <x:f>=HYPERLINK("#Q120","Source")</x:f>
      </x:c>
      <x:c r="R120"/>
      <x:c r="S120"/>
      <x:c r="T120"/>
    </x:row>
    <x:row r="121" spans="1:20" ht="15.75" x14ac:dyDescent="0.25">
      <x:c r="A121" t="n">
        <x:v>11564</x:v>
      </x:c>
      <x:c r="B121" t="str">
        <x:v>NSW,NT,QLD,SA,TAS,COMMONWEALTH</x:v>
      </x:c>
      <x:c r="C121" t="inlineStr">
        <x:is>
          <x:t xml:space="preserve">  Subobligation</x:t>
        </x:is>
      </x:c>
      <x:c r="D121" t="inlineStr">
        <x:is>
          <x:t xml:space="preserve">  Specific Duties of Suppliers of Hazardous Chemicals</x:t>
        </x:is>
      </x:c>
      <x:c r="E121" s="31" t="n">
        <x:v>16.03</x:v>
      </x:c>
      <x:c r="F121" s="8" t="n">
        <x:f>=HYPERLINK("#Obligation()","Workplace Management—Hazardous Chemicals")</x:f>
      </x:c>
      <x:c r="G121" s="8" t="n">
        <x:f>=HYPERLINK("#SubObligation()","Specific Duties of Suppliers of Hazardous Chemicals")</x:f>
      </x:c>
      <x:c r="H121" s="6" t="n">
        <x:f>=HYPERLINK("#H121","Tools")</x:f>
      </x:c>
      <x:c r="I121" s="27" t="str">
        <x:v>&lt;b&gt;&lt;p&gt;Specific Duties of Suppliers of Hazardous Chemicals&lt;/p&gt;Does the supplier of hazardous chemicals comply with its work health and safety duties, including the provision of safety data sheets and ensuring correct packing and labelling?&lt;/b&gt;</x:v>
      </x:c>
      <x:c r="J121" s="6" t="str">
        <x:v>&lt;p&gt;In addition to the duties that the harmonised Work Health and Safety (WHS) Acts impose on designers, manufacturers, importers and suppliers of substances, the harmonised WHS Regulations place specific duties on suppliers of hazardous chemicals.&lt;/p&gt;&lt;p&gt;An organisation must not direct or allow a worker who is less than 16 years old to supply a hazardous chemical that is a flammable gas or liquid to another person in that person&amp;rsquo;s container or vehicle.&lt;/p&gt;&lt;p&gt;Suppliers cannot supply a hazardous chemical for use at another workplace if they know (or ought reasonably to know) that the chemical has not been properly packed. When a retailer supplies a hazardous chemical in a container provided by the person receiving the chemical, the retailer needs to ensure that the chemical is correctly packed. Suppliers also need to make sure that they do not supply the chemical if they know that it is not correctly labelled.&lt;/p&gt;&lt;p&gt;Suppliers need to provide a current safety data sheet with the hazardous chemical when it is first supplied to the workplace. If the safety data sheet has been amended, the supplier must provide the amended safety data sheet when the chemical is first supplied after the amendment. The chemical is considered to be &amp;lsquo;first supplied&amp;rsquo; if it is the first supply to the workplace in 5 years. Suppliers also need to make sure that the current safety data sheet is provided to anyone at the workplace who asks for it. However, these rules do not apply to suppliers of consumer products or to retail suppliers.&lt;/p&gt;&lt;p&gt;Suppliers can only supply certain prohibited and restricted carcinogens (which are listed in Schedule 10 of the WHS Regulations) if the person receiving them gives evidence that:&lt;/p&gt;&lt;ul&gt;&lt;li&gt;they will be used, handled or stored for genuine research or analysis, or&lt;/li&gt;&lt;li&gt;the regulator has either authorised the person to use, handle or store them, or has granted the person an exemption to do so.&lt;/li&gt;&lt;/ul&gt;&lt;p&gt;Further information on prohibited and restricted carcinogens is available in the sub-obligation &amp;lsquo;Prohibited and Restricted Carcinogens and Restricted Hazardous Chemicals&amp;rsquo; in this module.&lt;/p&gt;&lt;p&gt;Suppliers will need to keep a record of the receiver&amp;rsquo;s name and the name and quantity of the substance supplied. The supplier must keep the record for 5 years after the substance was last supplied.&lt;/p&gt;&lt;p&gt;It is important for suppliers to understand their obligations when supplying hazardous chemicals to workplaces, so as to avoid causing any harm to those using, handling or storing the chemicals. Suppliers should confirm that all necessary calculations, analysis, tests and examinations have been carried out to check that the chemicals will not give rise to any work health and safety risks when the chemicals are used for their intended purpose and in accordance with safety instructions and regulations. If these activities have not been carried out, the supplier will need to undertake these tasks themselves or arrange for these tasks to be carried out.&lt;/p&gt;&lt;p&gt;Suppliers should have a procedure for ensuring that they provide a current safety data sheet with a hazardous chemical.&lt;/p&gt;&lt;p&gt;Suppliers should implement procedures for checking that every hazardous chemical is correctly packed and labelled. They should make sure that the following elements are included on hazardous chemical labels:&lt;/p&gt;&lt;ul&gt;&lt;li&gt;the product identifier&lt;/li&gt;&lt;li&gt;the name, Australian address and business telephone number of the manufacturer or importer&lt;/li&gt;&lt;li&gt;the identity and proportion of each chemical ingredient, in accordance with Schedule 8 of the WHS Regulations&lt;/li&gt;&lt;li&gt;any hazard pictogram as per the correct chemical classification&lt;/li&gt;&lt;li&gt;any hazard statement, signal word or precautionary statement as per the correct chemical classification&lt;/li&gt;&lt;li&gt;any information about the hazards, first aid and emergency procedures relevant to the chemical&lt;/li&gt;&lt;li&gt;the expiry date of the chemical, if applicable&lt;/li&gt;&lt;li&gt;the emergency phone number for specific poisons or treatment advice&lt;/li&gt;&lt;li&gt;the overseas name, address and telephone number of the manufacturer or supplier, if applicable&lt;/li&gt;&lt;li&gt;a valid website or internet address&lt;/li&gt;&lt;li&gt;a reference to the safety data sheet, such as &amp;lsquo;Additional information is listed in the safety data sheet&amp;rsquo;.&lt;/li&gt;&lt;/ul&gt;&lt;p&gt;Suppliers should consult Schedule 9 of the WHS Regulations for the special provisions that apply to the labelling of:&lt;/p&gt;&lt;ul&gt;&lt;li&gt;chemicals packed in small containers&lt;/li&gt;&lt;li&gt;research chemicals or samples for analysis&lt;/li&gt;&lt;li&gt;decanted or transferred chemicals&lt;/li&gt;&lt;li&gt;a chemical that is not being supplied to another workplace, where the hazards relating to the chemical are known to the workers involved in using, handling or storing it&lt;/li&gt;&lt;li&gt;waste products&lt;/li&gt;&lt;li&gt;explosives&lt;/li&gt;&lt;li&gt;agricultural and veterinary chemicals.&lt;/li&gt;&lt;/ul&gt;&lt;p&gt;In addition, the Model code of practice - Labelling of workplace hazardous chemicals, March 2015 (Safe Work Australia) sets out recommended labelling for chemicals containing engineered or manufactured nanomaterials. The organisation should refer to any approved code of practice relating to the labelling of hazardous chemicals that has been adopted in the jurisdiction in which it supplies chemicals to ensure that the organisation complies with any particular state or territory requirements.&lt;/p&gt;&lt;p&gt;For a hazardous chemical to be correctly packed, it must be in a container that:&lt;/p&gt;&lt;ul&gt;&lt;li&gt;is in sound condition&lt;/li&gt;&lt;li&gt;will safely contain the chemical for the time the chemical is likely to be packed&lt;/li&gt;&lt;li&gt;is made of material that is compatible with, and will not be adversely affected by, the chemical&lt;/li&gt;&lt;li&gt;does not usually contain food or beverages and cannot be mistakenly identified as containing food or beverages.&lt;/li&gt;&lt;/ul&gt;&lt;p&gt;Suppliers should consult Schedule 9 of the WHS Regulations for special packing rules that apply to a hazardous chemical supplied by a retailer in non-bulk quantities to a person who provides their own container.&lt;/p&gt;&lt;p&gt;Further guidance on the duties of suppliers, see Tools - Model code of practice - Labelling of workplace hazardous chemicals, March 2015 (Safe Work Australia), Model code of practice - Preparation of Safety Data Sheets for Hazardous Chemicals, December 2011 (Safe Work Australia) and Model code of practice - Managing risks of hazardous chemicals in the workplace, July 2012 (Safe Work Australia).&lt;/p&gt;</x:v>
      </x:c>
      <x:c r="K121" s="6" t="n">
        <x:f>=HYPERLINK("#K121","Guidance Notes")</x:f>
      </x:c>
      <x:c r="L121" s="6" t="str">
        <x:v>&lt;p&gt;Put in place procedures and resources to ensure compliance with work health and safety duties when supplying hazardous chemicals.&lt;/p&gt;</x:v>
      </x:c>
      <x:c r="M121" s="6" t="n">
        <x:f>=HYPERLINK("#M121","Remediation")</x:f>
      </x:c>
      <x:c r="N121" s="6" t="str">
        <x:v>&lt;p&gt;The harmonised WHS Regulations impose penalties on suppliers for failing to comply with their duties. The maximum penalties for allowing a worker under 16 years old to supply a flammable gas or liquid to another person are $18,000 for an organisation and $6,000 for an individual (reg 336). The same maximum penalties apply to suppliers and retailers for failing to ensure that a hazardous chemical is correctly packed (reg 337), as well as to suppliers for failing to ensure that the chemicals are correctly labelled (reg 338).&lt;/p&gt;&lt;p&gt;The maximum penalties for failing to provide a current safety data sheet to a workplace are $30,000 for an organisation and $6,000 for an individual (reg 339). The same maximum penalties apply for failing to provide the safety data sheet to anyone at the workplace who asks for it (reg 339) and failing to receive evidence of authorisation before supplying a prohibited or restricted carcinogen to a person (reg 340).&lt;/p&gt;&lt;p&gt;The maximum penalties for failing to keep a record of the receiver&amp;rsquo;s name, and the name and quantity of the prohibited or restricted substance supplied, are $6,000 for an organisation and $1,250 for an individual (reg 340). The same maximum penalties apply for failing to keep this record for 5 years (reg 340).&lt;/p&gt;</x:v>
      </x:c>
      <x:c r="O121" s="6" t="n">
        <x:f>=HYPERLINK("#O121","Consequence")</x:f>
      </x:c>
      <x:c r="P121" s="6" t="str">
        <x:v>&lt;p&gt;&lt;a href="https://www.legislation.gov.au/Details/C2011A00137" target="_blank" &gt;Work Health and Safety Act 2011 (Cth)&lt;/a&gt; s 25 (see also corresponding Acts in ACT, NSW, NT, QLD, SA and TAS)&lt;/p&gt;&lt;p&gt;&lt;a href="https://www.legislation.gov.au/Details/F2011L02664" target="_blank" &gt;Work Health and Safety Regulations 2011 (Cth)&lt;/a&gt; regs 336&amp;ndash;340, Schedules 6&amp;ndash;9 (see also corresponding regulations in NSW, NT, QLD, SA and TAS)&lt;/p&gt;&lt;p&gt;Labelling of Workplace Hazardous Chemicals Code of Practice&amp;mdash;March 2015&lt;/p&gt;&lt;p&gt;Preparation of Safety Data Sheets for Hazardous Chemicals Code of Practice&amp;mdash;December 2011&lt;/p&gt;&lt;p&gt;Managing Risks of Hazardous Chemicals in the Workplace Code of Practice&amp;mdash;July 2012&lt;/p&gt;</x:v>
      </x:c>
      <x:c r="Q121" s="6" t="n">
        <x:f>=HYPERLINK("#Q121","Source")</x:f>
      </x:c>
      <x:c r="R121"/>
      <x:c r="S121"/>
      <x:c r="T121"/>
    </x:row>
    <x:row r="122" spans="1:20" ht="15.75" x14ac:dyDescent="0.25">
      <x:c r="A122" t="n">
        <x:v>11570</x:v>
      </x:c>
      <x:c r="B122" t="str">
        <x:v>NSW,NT,QLD,SA,TAS,COMMONWEALTH</x:v>
      </x:c>
      <x:c r="C122" t="inlineStr">
        <x:is>
          <x:t xml:space="preserve">  Subobligation</x:t>
        </x:is>
      </x:c>
      <x:c r="D122" t="inlineStr">
        <x:is>
          <x:t xml:space="preserve">  Packing and Labelling Hazardous Chemicals</x:t>
        </x:is>
      </x:c>
      <x:c r="E122" s="31" t="n">
        <x:v>16.04</x:v>
      </x:c>
      <x:c r="F122" s="8" t="n">
        <x:f>=HYPERLINK("#Obligation()","Workplace Management—Hazardous Chemicals")</x:f>
      </x:c>
      <x:c r="G122" s="8" t="n">
        <x:f>=HYPERLINK("#SubObligation()","Packing and Labelling Hazardous Chemicals")</x:f>
      </x:c>
      <x:c r="H122" s="6" t="n">
        <x:f>=HYPERLINK("#H122","Tools")</x:f>
      </x:c>
      <x:c r="I122" s="27" t="str">
        <x:v>&lt;b&gt;&lt;p&gt;Packing and Labelling Hazardous Chemicals&lt;/p&gt;Does the organisation ensure that hazardous chemicals at the workplace are correctly packed and labelled?&lt;/b&gt;</x:v>
      </x:c>
      <x:c r="J122" s="6" t="str">
        <x:v>&lt;p&gt;An organisation needs to make sure that any hazardous chemicals used, handled or stored at the workplace are correctly labelled by the manufacturer or importer. If the organisation manufactures a hazardous chemical at the workplace, it will need to ensure that the chemical is also correctly labelled.&lt;/p&gt;&lt;p&gt;If a chemical is transferred or decanted from its original container at the workplace, the organisation will need to make sure that the container storing the chemical is correctly labelled and is only used for that chemical. However, these rules do not apply if the chemical is used immediately after it is put in the container and the container is then thoroughly cleaned so it contains no traces of the chemical. The organisation also needs to make sure that any hazardous chemicals in pipework are identified by a label or sign, or some other way, either on or near the pipework.&lt;/p&gt;&lt;p&gt;Special labelling rules apply to pipelines that transfer hazardous chemicals (see sub-obligation &amp;lsquo;Pipelines&amp;rsquo; in this module).&lt;/p&gt;&lt;p&gt;If an organisation puts a hazardous chemical in a storage container at the workplace, it should ensure that the chemical is correctly packed.&lt;/p&gt;&lt;p&gt;Further information on packing and labelling is available in the sub-obligations &amp;lsquo;Specific Duties of Manufacturers and Importers of Hazardous Chemicals&amp;rsquo; and &amp;lsquo;Specific Duties of Suppliers of Hazardous Chemicals&amp;rsquo; in this module.&lt;/p&gt;&lt;p&gt;The organisation should ensure that all relevant managers, supervisors and workers understand the organisation&amp;rsquo;s obligation to ensure correct labelling on hazardous chemicals that are used, handled, generated or stored at the workplace. See Tools &amp;ndash; Guidance on the classification of hazardous chemicals under the WHS Regulations, April 2012 (Safe Work Australia), Understanding hazardous chemical labels, August 2012 (Safe Work Australia fact sheet), Information sheet for businesses using, handling or storing agricultural and veterinary (AgVet) chemicals, February 2016 (Safe Work Australia) and Changes to labelling for agricultural and veterinary (AgVet) chemicals, February 2016 (Safe Work Australia policy statement).&lt;/p&gt;&lt;p&gt;For a hazardous chemical to be labelled correctly, the selection and use of the label elements must be in accordance with the Globally Harmonised System of Classification and Labelling of Chemicals and comply with the requirements of Schedule 9 of the WHS Regulations. Generally, the label must be in English and include:&lt;/p&gt;&lt;ul&gt;&lt;li&gt;the product identifier&lt;/li&gt;&lt;li&gt;the name, Australian address and business telephone number of the manufacturer or importer&lt;/li&gt;&lt;li&gt;the identity and proportion of each chemical ingredient, in accordance with Schedule 8 of the harmonised Work Health and Safety (WHS) Regulations&lt;/li&gt;&lt;li&gt;any hazard pictogram as per the correct chemical classification&lt;/li&gt;&lt;li&gt;any hazard statement, signal word or precautionary statement as per the correct chemical classification&lt;/li&gt;&lt;li&gt;any information about the hazards, first aid and emergency procedures relevant to the chemical&lt;/li&gt;&lt;li&gt;the expiry date of the chemical, if applicable&lt;/li&gt;&lt;li&gt;the emergency phone number for specific poisons or treatment advice&lt;/li&gt;&lt;li&gt;the overseas name, address and telephone number of the manufacturer or supplier, if applicable&lt;/li&gt;&lt;li&gt;a valid website or internet address&lt;/li&gt;&lt;li&gt;a reference to the safety data sheet, such as &amp;lsquo;Additional information is listed in the safety data sheet&amp;rsquo;.&lt;/li&gt;&lt;/ul&gt;&lt;p&gt;The organisation should consult Schedule 9 of the WHS Regulations for the special provisions that apply to the labelling of:&lt;/p&gt;&lt;ul&gt;&lt;li&gt;chemicals packed in small containers&lt;/li&gt;&lt;li&gt;research chemicals or samples for analysis&lt;/li&gt;&lt;li&gt;decanted or transferred chemicals&lt;/li&gt;&lt;li&gt;a chemical that is not being supplied to another workplace, where the hazards relating to the chemical are known to the workers involved in using, handling or storing it&lt;/li&gt;&lt;li&gt;waste products&lt;/li&gt;&lt;li&gt;explosives&lt;/li&gt;&lt;li&gt;agricultural and veterinary chemicals (see links to guidance material in Tools section).&lt;/li&gt;&lt;/ul&gt;&lt;p&gt;In addition, the Model code of practice - Labelling of workplace hazardous chemicals, March 2015 (Safe Work Australia) sets out recommended labelling for chemicals containing engineered or manufactured nanomaterials. The organisation should refer to any approved code of practice relating to the labelling of hazardous chemicals that has been adopted in the jurisdiction in which it supplies chemicals to ensure that the organisation complies with any particular state or territory requirements.&lt;/p&gt;&lt;p&gt;If a label is found to be incorrect, a product identifier should be attached to the container. If the contents of the container are unknown, it should be labelled &amp;lsquo;Caution&amp;mdash;Do Not Use&amp;mdash;Unknown Substance&amp;rsquo;.&lt;/p&gt;&lt;p&gt;For a hazardous chemical to be correctly packed, it must be in a container that:&lt;/p&gt;&lt;ul&gt;&lt;li&gt;is in sound condition&lt;/li&gt;&lt;li&gt;will safely contain the chemical for the time the chemical is likely to be packed&lt;/li&gt;&lt;li&gt;is made of material that is compatible with, and will not be adversely affected by, the chemical&lt;/li&gt;&lt;li&gt;does not usually contain food or beverages and cannot be mistakenly identified as containing food or beverages.&lt;/li&gt;&lt;/ul&gt;&lt;p&gt;The organisation should consult Schedule 9 of the WHS Regulations for special packing rules that apply to a hazardous chemical supplied by a retailer in non-bulk quantities to a person who provides their own container.&lt;/p&gt;&lt;p&gt;Further information on labelling and packing hazardous chemicals, see Tools - Model code of practice - Labelling of workplace hazardous chemicals, March 2015 (Safe Work Australia) and Model code of practice - Managing risks of hazardous chemicals in the workplace, July 2012 (Safe Work Australia).&lt;/p&gt;</x:v>
      </x:c>
      <x:c r="K122" s="6" t="n">
        <x:f>=HYPERLINK("#K122","Guidance Notes")</x:f>
      </x:c>
      <x:c r="L122" s="6" t="str">
        <x:v>&lt;p&gt;Put in place procedures and resources to ensure that hazardous chemicals at the workplace are correctly packed and labelled.&lt;/p&gt;</x:v>
      </x:c>
      <x:c r="M122" s="6" t="n">
        <x:f>=HYPERLINK("#M122","Remediation")</x:f>
      </x:c>
      <x:c r="N122" s="6" t="str">
        <x:v>&lt;p&gt;Failure to ensure that a hazardous chemical is correctly labelled attracts maximum penalties of $30,000 for an organisation and $6,000 for an individual (reg 341). The same maximum penalties apply for failing to:&lt;/p&gt;&lt;ul&gt;&lt;li&gt;label a container correctly if the organisation manufactures the chemical at the workplace or transfers the chemical from its original container (reg 342)&lt;/li&gt;&lt;li&gt;use a labelled container only for the chemical indicated on the label (reg 342)&lt;/li&gt;&lt;li&gt;identify a hazardous chemical in pipework with a label or sign (reg 343).&lt;/li&gt;&lt;/ul&gt;&lt;p&gt;Manufacturers, importers and suppliers of hazardous chemicals also face penalties for noncompliance with their duties in relation to packing and labelling (see separate sub-obligations).&lt;/p&gt;</x:v>
      </x:c>
      <x:c r="O122" s="6" t="n">
        <x:f>=HYPERLINK("#O122","Consequence")</x:f>
      </x:c>
      <x:c r="P122" s="6" t="str">
        <x:v>&lt;p&gt;&lt;a href="https://www.legislation.gov.au/Details/F2011L02664" target="_blank" &gt;Work Health and Safety Regulations 2011 (Cth)&lt;/a&gt; regs 334&amp;ndash;335, 337&amp;ndash;338, 341&amp;ndash;343, 365, 391, Schedules 8&amp;ndash;9 (see also corresponding regulations in NSW, NT, QLD, SA and TAS)&lt;/p&gt;&lt;p&gt;Labelling of Workplace Hazardous Chemicals Code of Practice&amp;mdash;March 2015&lt;/p&gt;&lt;p&gt;Managing Risks of Hazardous Chemicals in the Workplace Code of Practice&amp;mdash;July 2012&lt;/p&gt;</x:v>
      </x:c>
      <x:c r="Q122" s="6" t="n">
        <x:f>=HYPERLINK("#Q122","Source")</x:f>
      </x:c>
      <x:c r="R122"/>
      <x:c r="S122"/>
      <x:c r="T122"/>
    </x:row>
    <x:row r="123" spans="1:20" ht="15.75" x14ac:dyDescent="0.25">
      <x:c r="A123" t="n">
        <x:v>11579</x:v>
      </x:c>
      <x:c r="B123" t="str">
        <x:v>NSW,NT,QLD,SA,TAS,COMMONWEALTH</x:v>
      </x:c>
      <x:c r="C123" t="inlineStr">
        <x:is>
          <x:t xml:space="preserve">  Subobligation</x:t>
        </x:is>
      </x:c>
      <x:c r="D123" t="inlineStr">
        <x:is>
          <x:t xml:space="preserve">  Safety Data Sheets</x:t>
        </x:is>
      </x:c>
      <x:c r="E123" s="31" t="n">
        <x:v>16.05</x:v>
      </x:c>
      <x:c r="F123" s="8" t="n">
        <x:f>=HYPERLINK("#Obligation()","Workplace Management—Hazardous Chemicals")</x:f>
      </x:c>
      <x:c r="G123" s="8" t="n">
        <x:f>=HYPERLINK("#SubObligation()","Safety Data Sheets")</x:f>
      </x:c>
      <x:c r="H123" s="6" t="n">
        <x:f>=HYPERLINK("#H123","Tools")</x:f>
      </x:c>
      <x:c r="I123" s="27" t="str">
        <x:v>&lt;b&gt;&lt;p&gt;Safety Data Sheets&lt;/p&gt;Does the organisation obtain a safety data sheet for hazardous chemicals used at the workplace, and make it readily accessible to relevant workers and others?&lt;/b&gt;</x:v>
      </x:c>
      <x:c r="J123" s="6" t="str">
        <x:v>&lt;p&gt;A safety data sheet is a document that provides information on the properties of hazardous chemicals, how they affect health and safety in the workplace, and how associated risks can be managed.&lt;/p&gt;&lt;p&gt;An organisation needs to obtain the current safety data sheet for a hazardous chemical from the manufacturer, importer or supplier not later than when the chemical is first supplied for use at the workplace. If this is not possible, the organisation must obtain the safety data sheet as soon as possible after the chemical is first supplied and before the supplied chemical is used at the workplace. The chemical is considered to be &amp;lsquo;first supplied&amp;rsquo; if it is the first supply to the workplace in 5 years.&lt;/p&gt;&lt;p&gt;If the safety data sheet is amended, the organisation must obtain the amended safety data sheet not later than when the chemical is first supplied after the amendment to the safety data sheet. If this is not possible, the organisation will need to obtain the amended safety data sheet as soon as possible after the chemical is first supplied after the amendment, and before the chemical is used at the workplace.&lt;/p&gt;&lt;p&gt;The organisation must ensure that the current safety data sheet is easily accessible to any worker dealing with the chemical and to any emergency service worker (or anyone else) who is likely to be exposed to the chemical.&lt;/p&gt;&lt;p&gt;However, the above rules relating to safety data sheets do not apply if the chemical:&lt;/p&gt;&lt;ul&gt;&lt;li&gt;is in transit&lt;/li&gt;&lt;li&gt;(in the case of retailers) is a consumer product, is intended for supply to other premises and is not intended to be opened on the retailer&amp;rsquo;s premises, or&lt;/li&gt;&lt;li&gt;is a consumer product and it is likely that it will only be used in quantities and ways that are consistent with household use.&lt;/li&gt;&lt;/ul&gt;&lt;p&gt;In the circumstances listed in the bullet points above, an organisation must ensure that sufficient information about the safe use, handling and storage of the chemical is readily accessible to workers, as well as emergency service workers (or anyone else) who are likely to be exposed to the chemical.&lt;/p&gt;&lt;p&gt;If a person is likely to be affected by a hazardous chemical and asks for the safety data sheet, the organisation must ensure that the current safety data sheet is readily accessible to that person.&lt;/p&gt;&lt;p&gt;An organisation can only change a safety data sheet if:&lt;/p&gt;&lt;ul&gt;&lt;li&gt;it is an importer or manufacturer of the chemical and if it changes the safety data sheet in a way that is consistent with the duties of an importer or manufacturer, or&lt;/li&gt;&lt;li&gt;the change is simply an attachment of a translation of the safety data sheet and it states that the translation is not part of the original safety data sheet.&lt;/li&gt;&lt;/ul&gt;&lt;p&gt;The organisation should ensure that all relevant managers, supervisors and workers understand the organisation&amp;rsquo;s obligations in relation to safety data sheets for hazardous chemicals at the workplace, and the important role that safety data sheets play in managing risks associated with the use, handling or storage of hazardous chemicals. See Tools &amp;ndash; Understanding safety data sheets for hazardous chemicals, April 2012 (Safe Work Australia fact sheet).&lt;/p&gt;&lt;p&gt;The organisation should place the current safety data sheet in a prominent place near where the hazardous chemical is used. It also needs to make sure that all workers who are likely to be exposed to the chemical know how to find the safety data sheet. The organisation can provide the safety data sheet in an electronic form; however, it will need to ensure that the safety data sheet is readily available to the workers before they start working with the chemical and that the workers know how to use it in this form. The organisation should also have a backup method for providing the safety data sheet to workers and others, such as keeping hard copies in a central filing cabinet.&lt;/p&gt;&lt;p&gt;The organisation should maintain communication with the manufacturer, importer or supplier of the hazardous chemical to ensure that the organisation has the most recent safety data sheet available for that chemical.&lt;/p&gt;&lt;p&gt;Further information on safety data sheets is available, see Tools &amp;ndash; Model code of practice - Preparation of Safety Data Sheets for Hazardous Chemicals, December 2011 (Safe Work Australia) and Model code of practice - Managing risks of hazardous chemicals in the workplace, July 2012 (Safe Work Australia).&lt;/p&gt;</x:v>
      </x:c>
      <x:c r="K123" s="6" t="n">
        <x:f>=HYPERLINK("#K123","Guidance Notes")</x:f>
      </x:c>
      <x:c r="L123" s="6" t="str">
        <x:v>&lt;p&gt;Put in place procedures to ensure compliance with requirements in relation to safety data sheets.&lt;/p&gt;</x:v>
      </x:c>
      <x:c r="M123" s="6" t="n">
        <x:f>=HYPERLINK("#M123","Remediation")</x:f>
      </x:c>
      <x:c r="N123" s="6" t="str">
        <x:v>&lt;p&gt;Failure to obtain a safety data sheet in the required timeframe attracts maximum penalties of $30,000 for an organisation and $6,000 for an individual (reg 344). The same maximum penalties apply if an organisation makes changes to a safety data sheet that are not permitted by the WHS Regulations (reg 345).&lt;/p&gt;&lt;p&gt;The maximum penalties for failing to make a safety data sheet available to workers or emergency service workers are $18,000 for an organisation and $6,000 for an individual (reg 344). The same maximum penalties apply for failing to provide information about the safe use, handling and storage of a chemical that is in transit or is a consumer product, and failing to make a safety data sheet available to anyone likely to be affected by the chemical and who asks for the safety data sheet (reg&amp;nbsp;344).&lt;/p&gt;&lt;p&gt;Manufacturers, importers and suppliers of hazardous chemicals also face penalties for noncompliance with their duties in relation to safety data sheets (see separate sub-obligations).&lt;/p&gt;</x:v>
      </x:c>
      <x:c r="O123" s="6" t="n">
        <x:f>=HYPERLINK("#O123","Consequence")</x:f>
      </x:c>
      <x:c r="P123" s="6" t="str">
        <x:v>&lt;p&gt;&lt;a href="https://www.legislation.gov.au/Details/F2011L02664" target="_blank" &gt;Work Health and Safety Regulations 2011 (Cth)&lt;/a&gt; regs 330&amp;ndash;331, 339, 345&amp;ndash;345, 352, 356, Schedules 6&amp;ndash;9 (see also corresponding regulations in NSW, NT, QLD, SA and TAS)&lt;/p&gt;&lt;p&gt;Preparation of Safety Data Sheets for Hazardous Chemicals Code of Practice&amp;mdash;December 2011&lt;/p&gt;&lt;p&gt;Managing Risks of Hazardous Chemicals in the Workplace Code of Practice&amp;mdash;July 2012&lt;/p&gt;</x:v>
      </x:c>
      <x:c r="Q123" s="6" t="n">
        <x:f>=HYPERLINK("#Q123","Source")</x:f>
      </x:c>
      <x:c r="R123"/>
      <x:c r="S123"/>
      <x:c r="T123"/>
    </x:row>
    <x:row r="124" spans="1:20" ht="15.75" x14ac:dyDescent="0.25">
      <x:c r="A124" t="n">
        <x:v>11585</x:v>
      </x:c>
      <x:c r="B124" t="str">
        <x:v>NSW,NT,QLD,SA,TAS,COMMONWEALTH</x:v>
      </x:c>
      <x:c r="C124" t="inlineStr">
        <x:is>
          <x:t xml:space="preserve">  Subobligation</x:t>
        </x:is>
      </x:c>
      <x:c r="D124" t="inlineStr">
        <x:is>
          <x:t xml:space="preserve">  Hazardous Chemicals Register, Manifest and Placards</x:t>
        </x:is>
      </x:c>
      <x:c r="E124" s="31" t="n">
        <x:v>16.06</x:v>
      </x:c>
      <x:c r="F124" s="8" t="n">
        <x:f>=HYPERLINK("#Obligation()","Workplace Management—Hazardous Chemicals")</x:f>
      </x:c>
      <x:c r="G124" s="8" t="n">
        <x:f>=HYPERLINK("#SubObligation()","Hazardous Chemicals Register, Manifest and Placards")</x:f>
      </x:c>
      <x:c r="H124" s="6" t="n">
        <x:f>=HYPERLINK("#H124","Tools")</x:f>
      </x:c>
      <x:c r="I124" s="27" t="str">
        <x:v>&lt;b&gt;&lt;p&gt;Hazardous Chemicals Register, Manifest and Placards&lt;/p&gt;Does the organisation prepare and maintain a register and manifest of hazardous chemicals and display placards where necessary?&lt;/b&gt;</x:v>
      </x:c>
      <x:c r="J124" s="6" t="str">
        <x:v>&lt;p&gt;An organisation has a duty to prepare and maintain a register of hazardous chemicals at the workplace. A register is a list of all hazardous chemicals used, handled or stored at the workplace. The register must be kept at the workplace and must be maintained to ensure that the information is up to date.&lt;/p&gt;&lt;p&gt;The register must include:&lt;/p&gt;&lt;ul type="disc"&gt;&lt;li&gt;a list of hazardous chemicals used, handled and stored at the workplace&lt;/li&gt;&lt;li&gt;the current safety data sheet for each hazardous chemical listed.&lt;/li&gt;&lt;/ul&gt;&lt;p&gt;The organisation needs to make the register readily accessible to:&lt;/p&gt;&lt;ul type="disc"&gt;&lt;li&gt;any worker who may use, handle or store a hazardous chemical listed in the register&lt;/li&gt;&lt;li&gt;anyone else at the workplace who may be affected by a hazardous chemical listed in the register.&lt;/li&gt;&lt;/ul&gt;&lt;p&gt;If the hazardous chemical is in transit (and there is not a significant or frequent presence of it at the workplace), or if the chemical is a consumer product that does not require a safety data sheet, then the obligation to prepare a register does not apply.&lt;/p&gt;&lt;p&gt;In addition to requiring the preparation of a register, the harmonised Work Health and Safety (WHS) Regulations list certain chemicals that need to be included on a manifest if they exceed prescribed quantity limits. A manifest is a summary of specific types of hazardous chemicals with physiochemical hazards and acute toxicity. The organisation must also amend the manifest as soon as possible if the type or quantity of chemical changes or if there is a significant change in the information required for the manifest. The specific requirements for the manifest are listed in Schedule 12 of the WHS Regulations and are also discussed below.&lt;/p&gt;&lt;p&gt;The organisation must keep the manifest in a place that the primary emergency service organisation has also agreed upon, and it must be readily accessible to the emergency service organisation. The manifest must also be available for inspection under the relevant WHS Act.&lt;/p&gt;&lt;p&gt;If the manifest quantity of a hazardous chemical (or group of chemicals) is exceeded, the organisation must notify the regulator in writing:&lt;/p&gt;&lt;ul type="disc"&gt;&lt;li&gt;immediately after knowing that the chemical will be first used, handled or stored at the workplace, or at least 14 days before the first use, handling or storage&amp;mdash;whichever is earlier&lt;/li&gt;&lt;li&gt;immediately after realising that there will be a significant change in the risk of using, handling or storing the chemical or at least 14 days before that change&amp;mdash;whichever is earlier.&lt;/li&gt;&lt;/ul&gt;&lt;p&gt;The written notification needs to include:&lt;/p&gt;&lt;ul type="disc"&gt;&lt;li&gt;the name and ABN of the organisation&lt;/li&gt;&lt;li&gt;the type of work conducted&lt;/li&gt;&lt;li&gt;if the workplace was previously occupied by someone else, the name of that person&lt;/li&gt;&lt;li&gt;the activities that involve using, handling or storing the chemicals&lt;/li&gt;&lt;li&gt;the manifest prepared by the organisation&lt;/li&gt;&lt;li&gt;details of any changes to the manifest.&lt;/li&gt;&lt;/ul&gt;&lt;p&gt;Note that South Australia has a different licensing system for certain quantities of hazardous chemicals. See Tools - SafeWork SA, &amp;lsquo;Hazardous chemicals&amp;rsquo;.&lt;/p&gt;&lt;p&gt;The organisation must also notify the regulator in writing as soon as practicable after the chemical that exceeded the manifest quantity is no longer used, handled or stored at the workplace and is not likely to be used, handled or stored there in the future. The written notification needs to include:&lt;/p&gt;&lt;ul type="disc"&gt;&lt;li&gt;the name and ABN of the organisation&lt;/li&gt;&lt;li&gt;the type of work conducted&lt;/li&gt;&lt;li&gt;the activities that involve using, handling or storing the chemicals.&lt;/li&gt;&lt;/ul&gt;&lt;p&gt;If the regulator asks for further information about the manifest quantity of the Schedule 11 chemicals, the organisation must give this information to the regulator.&lt;/p&gt;&lt;p&gt;Schedule 11 also lists thresholds for certain chemicals that, if met, require placards to be displayed. If the quantity of Schedule 11 chemicals used, handled or stored at the workplace exceeds these thresholds, the organisation must prominently display an outer warning placard at the workplace. Outer warning placards must comply with the requirements listed in Schedule 13 of the WHS Regulations. However, the requirement to display outer warning placards does not apply if the workplace is a retail outlet and the chemical is a flammable gas or liquid used to refuel a vehicle.&lt;/p&gt;&lt;p&gt;The organisation must also prominently display a placard at the workplace if the total quantity of chemicals stored at the workplace exceeds the placard threshold listed in Schedule 11. Again, this placard must comply with the Schedule 13 requirements. However, these rules will not apply if the chemicals are in bulk in a container intended for transport and a placard is displayed on the container in accordance with relevant transport safety requirements, or if the chemical is a flammable liquid stored in an underground tank at a retail outlet and is used to refuel a vehicle.&lt;/p&gt;&lt;p&gt;The register of hazardous chemicals is vital for informing all relevant people of the hazardous chemicals present at the workplace. In order for the organisation to make the register easily accessible, it can keep the register electronically (e.g. on an organisation&amp;rsquo;s intranet) if the relevant workers have access to computers. If not, the organisation should keep the register in hard copy where the chemicals are most frequently used. See Tool &amp;ndash; Hazardous chemicals register, April 2012 (Safe Work Australia information sheet).&lt;/p&gt;&lt;p&gt;A manifest is mainly intended for emergency services personnel to use when they need to respond to a workplace emergency. The organisation should include more information on the manifest than on the register. To prepare the manifest correctly, it should follow the requirements set out in Schedule 12 by including:&lt;/p&gt;&lt;ul type="disc"&gt;&lt;li&gt;general information about the organisation and the manifest&lt;/li&gt;&lt;li&gt;whether the chemicals are stored in bulk or in a container&lt;/li&gt;&lt;li&gt;the identification of the chemical&lt;/li&gt;&lt;li&gt;whether a storage area contains a packaged hazardous chemical&lt;/li&gt;&lt;li&gt;information regarding areas in which the chemicals are manufactured&lt;/li&gt;&lt;li&gt;information regarding chemicals in transit&lt;/li&gt;&lt;li&gt;a scale plan of the workplace where the chemicals are kept.&lt;/li&gt;&lt;/ul&gt;&lt;p&gt;In order to display a placard correctly, the organisation should make sure that the placard is clearly legible and separate from other signs and, if applicable:&lt;/p&gt;&lt;ul type="disc"&gt;&lt;li&gt;located close to the main entrance of the building and at the entrance to each room in which the chemical is present&lt;/li&gt;&lt;li&gt;located next to a container or outside storage area&lt;/li&gt;&lt;li&gt;located at each entrance where an emergency service organisation may enter&lt;/li&gt;&lt;li&gt;located on or next to each container or storage area in which chemicals are stored&lt;/li&gt;&lt;li&gt;located at the entrance to a storage area.&lt;/li&gt;&lt;/ul&gt;&lt;p&gt;The organisation will need to refer to Schedule 13 to determine the specific placard requirements that apply to different classes of hazardous chemicals and types of storage arrangements.&lt;/p&gt;&lt;p&gt;The organisation is required to amend the placard if there are any changes, and also keep it clean, maintained and uncovered.&lt;/p&gt;&lt;p&gt;An outer warning placard must contain the word &amp;lsquo;HAZCHEM&amp;rsquo; in red letters on a white or silver background.&lt;/p&gt;&lt;p&gt;The organisation should carefully monitor the quantity of Schedule 11 hazardous chemicals at the workplace and have a process for notifying the regulator if the manifest quantities for those chemicals are exceeded (different provisions apply in South Australia).&lt;/p&gt;&lt;p&gt;Further guidance on hazardous chemical registers, manifests and placards, see Tools &amp;ndash; Model code of practice - Managing risks of hazardous chemicals in the workplace, July 2012 (Safe Work Australia).&lt;/p&gt;</x:v>
      </x:c>
      <x:c r="K124" s="6" t="n">
        <x:f>=HYPERLINK("#K124","Guidance Notes")</x:f>
      </x:c>
      <x:c r="L124" s="6" t="str">
        <x:v>&lt;p&gt;Put in place procedures and resources to ensure that a hazardous chemicals register and manifest are prepared and maintained when required, and placards are prominently and correctly displayed at the workplace.&lt;/p&gt;</x:v>
      </x:c>
      <x:c r="M124" s="6" t="n">
        <x:f>=HYPERLINK("#M124","Remediation")</x:f>
      </x:c>
      <x:c r="N124" s="6" t="str">
        <x:v>&lt;p&gt;Maximum penalties of $30,000 (for an organisation) and $6,000 (for an individual) apply for failing to:&lt;/p&gt;&lt;ul&gt;&lt;li&gt;prepare a manifest of hazardous chemicals and amend it as needed (reg 347)&lt;/li&gt;&lt;li&gt;notify the regulator if manifest quantities of Schedule 11 chemicals are exceeded (reg 348), or if the chemicals later cease to be used at the workplace and are unlikely to be used in the future (reg 348)&lt;/li&gt;&lt;li&gt;give further information to the regulator about manifest quantities of Schedule 11 chemicals if required (reg 348)&lt;/li&gt;&lt;li&gt;prominently display an outer warning placard (reg 349)&lt;/li&gt;&lt;li&gt;prominently display a placard (reg 350).&lt;/li&gt;&lt;/ul&gt;&lt;p&gt;The maximum penalties for failing to prepare and maintain a register of hazardous chemicals and make it readily accessible are $18,000 for an organisation and $3,600 for an individual (reg 346). The same maximum penalties apply for failing to keep a manifest readily accessible and available for inspection (reg 347).&lt;/p&gt;</x:v>
      </x:c>
      <x:c r="O124" s="6" t="n">
        <x:f>=HYPERLINK("#O124","Consequence")</x:f>
      </x:c>
      <x:c r="P124" s="6" t="str">
        <x:v>&lt;p&gt;&lt;a href="https://www.legislation.gov.au/Details/F2011L02664" target="_blank" &gt;Work Health and Safety Regulations 2011 (Cth)&lt;/a&gt; regs 346&amp;ndash;350, Schedules 11&amp;ndash;13 (see also corresponding regulations in NSW, NT, QLD, SA and TAS)&lt;/p&gt;&lt;p&gt;Managing Risks of Hazardous Chemicals in the Workplace Code of Practice&amp;mdash;July 2012&lt;/p&gt;</x:v>
      </x:c>
      <x:c r="Q124" s="6" t="n">
        <x:f>=HYPERLINK("#Q124","Source")</x:f>
      </x:c>
      <x:c r="R124"/>
      <x:c r="S124"/>
      <x:c r="T124"/>
    </x:row>
    <x:row r="125" spans="1:20" ht="15.75" x14ac:dyDescent="0.25">
      <x:c r="A125" t="n">
        <x:v>11596</x:v>
      </x:c>
      <x:c r="B125" t="str">
        <x:v>NSW,NT,QLD,SA,TAS,COMMONWEALTH</x:v>
      </x:c>
      <x:c r="C125" t="inlineStr">
        <x:is>
          <x:t xml:space="preserve">  Subobligation</x:t>
        </x:is>
      </x:c>
      <x:c r="D125" t="inlineStr">
        <x:is>
          <x:t xml:space="preserve">  Managing the Risks of Hazardous Chemicals</x:t>
        </x:is>
      </x:c>
      <x:c r="E125" s="31" t="n">
        <x:v>16.07</x:v>
      </x:c>
      <x:c r="F125" s="8" t="n">
        <x:f>=HYPERLINK("#Obligation()","Workplace Management—Hazardous Chemicals")</x:f>
      </x:c>
      <x:c r="G125" s="8" t="n">
        <x:f>=HYPERLINK("#SubObligation()","Managing the Risks of Hazardous Chemicals")</x:f>
      </x:c>
      <x:c r="H125" s="6" t="n">
        <x:f>=HYPERLINK("#H125","Tools")</x:f>
      </x:c>
      <x:c r="I125" s="27" t="str">
        <x:v>&lt;b&gt;&lt;p&gt;Managing the Risks of Hazardous Chemicals&lt;/p&gt;Does the organisation have a structured, documented and effective process for managing the risks of hazardous chemicals and implementing mandatory risk controls where applicable?&lt;/b&gt;</x:v>
      </x:c>
      <x:c r="J125" s="6" t="str">
        <x:v>&lt;p&gt;An organisation has a responsibility to manage risks to health and safety when dealing with a hazardous chemical at a workplace. In doing so, it must consider factors such as the chemical&amp;rsquo;s properties and potential reaction with other substances, the work that will be carried out with the chemical, and anything that could interact with the chemical.&lt;/p&gt;&lt;p&gt;The organisation will need to make sure that its risk control measures are reviewed at least once every 5 years, and revised as necessary. In addition to the usual circumstances in which control measures must be reviewed, the organisation must review and, if necessary, revise control measures associated with hazardous chemicals if:&lt;/p&gt;&lt;ul type="disc"&gt;&lt;li&gt;there is a change to any safety data sheets&lt;/li&gt;&lt;li&gt;a health monitoring report obtained for a worker contains adverse test results, advice or recommendations (as specified in the harmonised Work Health and Safety (WHS) Regulations)&lt;/li&gt;&lt;li&gt;if monitoring carried out determines that a chemical&amp;rsquo;s airborne concentration exceeds its exposure standard.&lt;/li&gt;&lt;/ul&gt;&lt;p&gt;The organisation also needs to display a safety sign at the workplace that warns others about hazards and states a person&amp;rsquo;s responsibilities relating to a hazardous chemical. This sign must be located near the hazard and be clearly visible. It is important to note that a safety sign is different to a placard.&lt;/p&gt;&lt;p&gt;The organisation must identify any risk of physical or chemical reactions relating to a hazardous chemical that is used, handled, generated or stored at the workplace. However, this requirement does not apply if the reaction occurs in a manufacturing process or other deliberate process or activity. The organisation must also take all reasonable steps to ensure that the chemical does not contaminate any food, food packaging or personal use products such as cosmetics or face washers, unless the chemical is used only for agricultural purposes in accordance with relevant local laws.&lt;/p&gt;&lt;p&gt;If there is any possibility of fire or explosion from an ignition source, the organisation will need to ensure that the source is not brought into a hazardous area. It will also need to ensure that hazardous chemicals do not become unstable, decompose or change so as to create a new hazard or increase the risk associated with a hazard. The organisation must maintain stable ingredient proportions and safe temperature levels for the use, handling and storage of hazardous chemicals where applicable. However, these obligations do not apply if the chemical is deliberately changed in a way that does not create health or safety risks, or if the chemical undergoes a reaction as part of a manufacturing or other deliberate process.&lt;/p&gt;&lt;p&gt;The organisation should check the regulator&amp;rsquo;s website in the relevant state or territory for any applicable compliance codes and other guidance material that may assist it to meet its responsibilities relating to hazardous chemicals under the WHS Regulations.&lt;/p&gt;&lt;p&gt;The harmonised WHS Regulations require an organisation to manage the risks associated with hazardous chemicals in accordance with the risk management process outlined in Part 3.1 of the regulations. This means that the organisation must first seek to eliminate the risks so far as is reasonably practicable. If it is not reasonably practicable to eliminate the risks, the organisation must do what is reasonably practicable to minimise them, having regard to the hierarchy of controls.&lt;/p&gt;&lt;p&gt;The organisation should undertake the following steps:&lt;/p&gt;&lt;ol start="1" type="1"&gt;&lt;li&gt;identify hazards associated with the use, handling or storage of chemicals&lt;/li&gt;&lt;li&gt;assess the risks that arise from those hazards&lt;/li&gt;&lt;li&gt;implement control measures to eliminate or minimise the risks&lt;/li&gt;&lt;li&gt;maintain the control measures to ensure their ongoing effectiveness&lt;/li&gt;&lt;li&gt;regularly review the control measures.&lt;/li&gt;&lt;/ol&gt;&lt;p&gt;The organisation should identify all chemicals that are used, handled, stored or generated at the workplace through:&lt;/p&gt;&lt;ul type="disc"&gt;&lt;li&gt;site inspections, including examining work processes and checking unlabelled chemicals (e.g. fumes generated by welding or truck engines), labels of chemicals and chemical pipework in the workplace, ignition and fuel sources, or compressed gases&lt;/li&gt;&lt;li&gt;a review of available information, including internal records (e.g. the hazardous chemicals register or manifest, incident reports, risk assessments), records of consultations (around risks of exposure, the hazardous chemicals register and monitoring data), and external information from regulators, manufacturers, suppliers or chemical pipeline builders, including exposure standards, safety data sheets and chemical databases.&lt;/li&gt;&lt;/ul&gt;&lt;p&gt;If required, a risk assessment should be carried out by a competent person to help determine:&lt;/p&gt;&lt;ul type="disc"&gt;&lt;li&gt;the severity of risk (e.g. the hazardous properties, the quantity and concentration of the chemical, the potential for hazardous chemical interactions, the nature of the work, the people, the plant and processes)&lt;/li&gt;&lt;li&gt;whether existing control measures are effective&lt;/li&gt;&lt;li&gt;what action needs to be taken to control the risk (e.g. an air monitoring strategy)&lt;/li&gt;&lt;li&gt;how urgently the action needs to be taken.&lt;/li&gt;&lt;/ul&gt;&lt;p&gt;When implementing risk controls, the organisation should investigate whether it can eliminate the chemical hazard by avoiding use of the chemical (e.g. using nails instead of glues, or avoiding exposure by purchasing pre-mixed or pre-diluted chemicals). If it is not reasonably practicable to eliminate the risks, the organisation should seek to minimise the risks by:&lt;/p&gt;&lt;ul type="disc"&gt;&lt;li&gt;substituting the hazardous chemical or work method with something safer (e.g. using a less volatile or flammable material, or using pellet rather than dust form)&lt;/li&gt;&lt;li&gt;using engineering controls (e.g. fume cupboards, mechanical ventilation system)&lt;/li&gt;&lt;li&gt;isolating the hazard from people (e.g. restricted access areas).&lt;/li&gt;&lt;/ul&gt;&lt;p&gt;If a residual risk remains, the organisation should implement administrative controls (e.g. safety signs, procedures, rostering to reduce exposure, &amp;lsquo;just in time&amp;rsquo; ordering of hazardous chemicals, emergency preparedness, the hazardous chemicals register and manifest) and by providing suitable personal protective equipment to people at the workplace (e.g. gloves, goggles or respirators).&lt;/p&gt;&lt;p&gt;If a single control measure does not adequately protect people from the risks, the organisation should implement a combination of controls.&lt;/p&gt;&lt;p&gt;The organisation should ensure that it has a process for implementing the mandatory control measures specified in the WHS Regulations, where applicable (e.g. for fire and explosion risks).&lt;/p&gt;&lt;p&gt;Once control measures have been implemented, they need to be monitored to ensure that their effectiveness is maintained. The process should include:&lt;/p&gt;&lt;ul type="disc"&gt;&lt;li&gt;accountability and supervision to ensure procedures (including emergency procedures) are followed and maintained&lt;/li&gt;&lt;li&gt;regular inspection, testing and maintenance of emergency and safety equipment, air monitoring, and chemical storage and handling systems to identify and rectify safety issues in a timely manner&lt;/li&gt;&lt;li&gt;up-to-date training and competency to improve compliance and hazard reporting&lt;/li&gt;&lt;li&gt;up-to-date hazard information&amp;mdash;check the availability of new plant or processes to reduce risk of chemical hazards&lt;/li&gt;&lt;li&gt;regular review and consultation on risk control measures and health monitoring if required.&lt;/li&gt;&lt;/ul&gt;&lt;p&gt;The organisation should consult with workers at every stage of the risk management process, and give workers a reasonable opportunity to express their views. The organisation should take those views into account before making decisions on the safe use, handling or storing of hazardous chemicals.&lt;/p&gt;&lt;p&gt;An organisation will sometimes share responsibility for a work health and safety matter with other duty holders who are involved in the same work activities or share the same workplace. The organisation should consult, cooperate and coordinate with other duty holders to eliminate or minimise risks associated with hazardous chemicals, so far as is reasonably practicable. For example, if the organisation engages a cleaning contractor that uses hazardous chemicals for cleaning the workplace, the organisation may decide to exchange information with the contractor and jointly prepare a risk assessment for the chemicals being used.&lt;/p&gt;&lt;p&gt;Further information on risk management is available, see Tool - Model code of practice - Managing risks of hazardous chemicals in the workplace, July 2012 (Safe Work Australia).&lt;/p&gt;</x:v>
      </x:c>
      <x:c r="K125" s="6" t="n">
        <x:f>=HYPERLINK("#K125","Guidance Notes")</x:f>
      </x:c>
      <x:c r="L125" s="6" t="str">
        <x:v>&lt;p&gt;Put in place a documented and effective process for managing the risks of hazardous chemicals in the workplace and implementing the mandatory risk control measures where applicable.&lt;/p&gt;</x:v>
      </x:c>
      <x:c r="M125" s="6" t="n">
        <x:f>=HYPERLINK("#M125","Remediation")</x:f>
      </x:c>
      <x:c r="N125" s="6" t="str">
        <x:v>&lt;p&gt;Maximum penalties of $30,000 (for an organisation) and $6,000 (for an individual) apply for failing to:&lt;/p&gt;&lt;ul&gt;&lt;li&gt;review and revise (as necessary) control measures relating to a hazardous chemical (reg 352)&lt;/li&gt;&lt;li&gt;correctly display a safety sign at the workplace when required (reg 353)&lt;/li&gt;&lt;li&gt;identify any physical or chemical reaction risks (reg 354)&lt;/li&gt;&lt;li&gt;ensure that the chemical does not contaminate food or personal use products (reg 354)&lt;/li&gt;&lt;li&gt;prevent an ignition source from being introduced to a hazardous area at the workplace (reg&amp;nbsp;355)&lt;/li&gt;&lt;li&gt;keep hazardous chemicals stable (reg 356).&lt;/li&gt;&lt;/ul&gt;</x:v>
      </x:c>
      <x:c r="O125" s="6" t="n">
        <x:f>=HYPERLINK("#O125","Consequence")</x:f>
      </x:c>
      <x:c r="P125" s="6" t="str">
        <x:v>&lt;p&gt;&lt;a href="https://www.legislation.gov.au/Details/F2011L02664" target="_blank" &gt;Work Health and Safety Regulations 2011 (Cth)&lt;/a&gt; regs 351&amp;ndash;356 (see also corresponding regulations in NSW, NT, QLD, SA and TAS)&lt;/p&gt;&lt;p&gt;Managing Risks of Hazardous Chemicals in the Workplace Code of Practice&amp;mdash;July 2012&lt;/p&gt;&lt;p&gt;Abrasive Blasting Code of Practice&amp;mdash;October 2012&lt;/p&gt;&lt;p&gt;Spray Painting and Powder Coating Code of Practice&amp;mdash;March 2015&lt;/p&gt;&lt;p&gt;Welding Processes Code of Practice&amp;mdash;July 2012&lt;/p&gt;&lt;p&gt;AS 1674.1&amp;ndash;1997 Safety in welding and allied processes&amp;mdash;Fire precautions&lt;/p&gt;&lt;p&gt;AS 4839&amp;ndash;2001 The safe use of portable and mobile oxy-fuel gas systems for welding, cutting, heating and allied processes&lt;/p&gt;&lt;p&gt;AS 4289&amp;ndash;1995 Oxygen and acetylene gas reticulation systems&lt;/p&gt;&lt;p&gt;AS/NZS 4114.1:2003 Spray painting booths, designated spray painting areas and paint mixing rooms&amp;mdash;Design, construction and testing&lt;/p&gt;&lt;p&gt;AS/NZS 4114.2:2003 Spray painting booths, designated spray painting areas and paint mixing rooms&amp;mdash;Installation and maintenance&lt;/p&gt;</x:v>
      </x:c>
      <x:c r="Q125" s="6" t="n">
        <x:f>=HYPERLINK("#Q125","Source")</x:f>
      </x:c>
      <x:c r="R125"/>
      <x:c r="S125"/>
      <x:c r="T125"/>
    </x:row>
    <x:row r="126" spans="1:20" ht="15.75" x14ac:dyDescent="0.25">
      <x:c r="A126" t="n">
        <x:v>11618</x:v>
      </x:c>
      <x:c r="B126" t="str">
        <x:v>NSW,NT,QLD,SA,TAS,COMMONWEALTH</x:v>
      </x:c>
      <x:c r="C126" t="inlineStr">
        <x:is>
          <x:t xml:space="preserve">  Subobligation</x:t>
        </x:is>
      </x:c>
      <x:c r="D126" t="inlineStr">
        <x:is>
          <x:t xml:space="preserve">  Storage and Handling Systems and Spill Containment</x:t>
        </x:is>
      </x:c>
      <x:c r="E126" s="31" t="n">
        <x:v>16.08</x:v>
      </x:c>
      <x:c r="F126" s="8" t="n">
        <x:f>=HYPERLINK("#Obligation()","Workplace Management—Hazardous Chemicals")</x:f>
      </x:c>
      <x:c r="G126" s="8" t="n">
        <x:f>=HYPERLINK("#SubObligation()","Storage and Handling Systems and Spill Containment")</x:f>
      </x:c>
      <x:c r="H126" s="6" t="n">
        <x:f>=HYPERLINK("#H126","Tools")</x:f>
      </x:c>
      <x:c r="I126" s="27" t="str">
        <x:v>&lt;b&gt;&lt;p&gt;Storage and Handling Systems and Spill Containment&lt;/p&gt;Does the organisation store and handle hazardous chemicals correctly and manage the risk of spills?&lt;/b&gt;</x:v>
      </x:c>
      <x:c r="J126" s="6" t="str">
        <x:v>&lt;p&gt;Organisations have a duty to ensure that all hazardous chemicals at the workplace are stored, handled and disposed of safely and that any risk of a spill is controlled.&lt;/p&gt;&lt;p&gt;Where there is any risk of a hazardous chemical spilling or leaking from a container or pipework, an organisation must ensure that each part of the workplace where the chemical is present has a spill containment system that contains any spills, leaks or resulting effluent. The system must not create a hazard by bringing together incompatible chemicals and it must provide for the cleanup and disposal of any spills or leaks.&lt;/p&gt;&lt;p&gt;An organisation must ensure that any flammable or combustible substances kept at the workplace are at the lowest practicable quantity for the workplace.&lt;/p&gt;&lt;p&gt;An organisation needs to protect containers of hazardous chemicals and any associated pipework against damage from an impact or from excessive loads.&lt;/p&gt;&lt;p&gt;An organisation must ensure that any system used for handling or storing hazardous chemicals is only used for its intended purpose and is operated, tested, maintained, installed, repaired and decommissioned with the health and safety of workers and others at the workplace in mind. Sufficient information, training and instruction must be given to anyone who operates, tests, maintains or decommissions the system.&lt;/p&gt;&lt;p&gt;Any containers in which a hazardous chemical is used, handled or stored in bulk, and any associated pipework and attachments, must be secured to stable foundations and supports to prevent any damage or incidents from occurring.&lt;/p&gt;&lt;p&gt;If an organisation decides to stop using a handling or storage system for hazardous chemicals, it must ensure, so far as is reasonably practicable, that the system is free of chemicals when the system if disposed of or is no longer used. If it is not possible to remove the chemicals from the system, the organisation will need to label the system to reflect this. If the system is an underground storage or handling system, it will need to be removed. If removal is not reasonably practicable, the organisation must ensure, so far as is reasonably practicable, that the system is without risks to health and safety.&lt;/p&gt;&lt;p&gt;If an organisation controls or manages a tank used to store flammable gases or liquids, and has abandoned the tank (that is, the organisation has not used it for 2 years and does not intend to reuse it), then the organisation must notify the regulator as soon as possible after the tank is abandoned.&lt;/p&gt;&lt;p&gt;The organisation should implement a spill containment system to safely contain, clean up and dispose of a hazardous chemical spill or leak, or resulting effluent. When designing a spill containment system, the organisation should consider:&lt;/p&gt;&lt;ul&gt;&lt;li&gt;the nature and quantity of the hazardous chemicals (whether liquid or solid)&lt;/li&gt;&lt;li&gt;the size of the largest container or the largest reasonably foreseeable spill&lt;/li&gt;&lt;li&gt;the potential impact if the chemicals escape into the environment&lt;/li&gt;&lt;li&gt;whether firewater management is needed&lt;/li&gt;&lt;li&gt;providing separate spill containment for incompatible substances&lt;/li&gt;&lt;li&gt;using construction materials that are compatible with the chemicals&lt;/li&gt;&lt;li&gt;using other materials that will prevent contamination&lt;/li&gt;&lt;li&gt;whether the system&amp;rsquo;s integrity will be maintained in any incident.&lt;/li&gt;&lt;/ul&gt;&lt;p&gt;One of the main causes of spills is from containers left open when not in use, so it is important that the organisation provides its workers with training and instruction to ensure that containers are sealed when not in use.&lt;/p&gt;&lt;p&gt;The organisation should have in place a process for ensuring that its storage and handling systems meet the requirements set out in the harmonised Work Health and Safety Regulations and the Model code of practice - Managing risks of hazardous chemicals in the workplace, July 2012 (Safe Work Australia) (e.g. by engaging a qualified engineer to inspect the system and advise on any necessary improvements). These requirements extend to when a storage or handling system is no longer in use or disposed of. The organisation should also have a process for notifying the regulator if it abandons use of a storage tank for flammable gases or liquids, as well as a documentation system that records the last time a storage tank was used.&lt;/p&gt;&lt;p&gt;Further information on storage and handling systems and spill containment, see Tool - Model code of practice - Managing risks of hazardous chemicals in the workplace, July 2012 (Safe Work Australia).&lt;/p&gt;</x:v>
      </x:c>
      <x:c r="K126" s="6" t="n">
        <x:f>=HYPERLINK("#K126","Guidance Notes")</x:f>
      </x:c>
      <x:c r="L126" s="6" t="str">
        <x:v>&lt;p&gt;Put in place procedures to correctly store and handle hazardous chemicals and manage the risk of chemical spills at the workplace.&lt;/p&gt;</x:v>
      </x:c>
      <x:c r="M126" s="6" t="n">
        <x:f>=HYPERLINK("#M126","Remediation")</x:f>
      </x:c>
      <x:c r="N126" s="6" t="str">
        <x:v>&lt;p&gt;Maximum penalties of $30,000 (for an organisation) and $6,000 (for an individual) apply for failing to:&lt;/p&gt;&lt;ul&gt;&lt;li&gt;contain and manage spills (reg 357)&lt;/li&gt;&lt;li&gt;store flammable or combustible substances at the lowest practicable quantity (reg 53)&lt;/li&gt;&lt;li&gt;protect containers of hazardous chemicals against damage (reg 358)&lt;/li&gt;&lt;li&gt;ensure that storage or handling systems are only used for their intended purpose and with a regard for health and safety (reg 363)&lt;/li&gt;&lt;li&gt;provide sufficient information, training and instruction to a person who uses a storage or handling system (reg 363)&lt;/li&gt;&lt;li&gt;correctly dispose of a handling or storage system that is no longer in use (reg 365)&lt;/li&gt;&lt;li&gt;correctly label a handling or storage system that is no longer used but still contains a hazardous chemical (reg 365)&lt;/li&gt;&lt;li&gt;remove an underground storage or handling system that is no longer in use (reg 366)&lt;/li&gt;&lt;li&gt;notify the regulator of an abandoned storage tank (reg 367).&lt;/li&gt;&lt;/ul&gt;&lt;p&gt;The maximum penalties for failing to ensure that containers and pipework used for hazardous chemicals are secured to stable foundations and supports are $6,000 for an organisation and $1,250 for an individual (reg 364).&lt;/p&gt;</x:v>
      </x:c>
      <x:c r="O126" s="6" t="n">
        <x:f>=HYPERLINK("#O126","Consequence")</x:f>
      </x:c>
      <x:c r="P126" s="6" t="str">
        <x:v>&lt;p&gt;&lt;a href="https://www.legislation.gov.au/Details/F2011L02664" target="_blank" &gt;Work Health and Safety Regulations 2011 (Cth)&lt;/a&gt; regs 53, 357&amp;ndash;358, 363&amp;ndash;367, Schedules 11&amp;ndash;13 (see also corresponding regulations in NSW, NT, QLD, SA and TAS)&lt;/p&gt;&lt;p&gt;Managing Risks Of Hazardous Chemicals In The Workplace Code Of Practice&amp;mdash;July 2012&lt;/p&gt;&lt;p&gt;AS 4326&amp;ndash;2008 The Storage And Handling Of Oxidising Agents&lt;/p&gt;&lt;p&gt;AS/NZS 1596:2014 The Storage And Handling Of LP Gas&lt;/p&gt;&lt;p&gt;AS 4332&amp;ndash;2004 The Storage And Handling Of Gases In Cylinders&lt;/p&gt;&lt;p&gt;AS 2030.1&amp;ndash;2009 Gas Cylinders&amp;mdash;General Requirements&lt;/p&gt;&lt;p&gt;AS/NZS 2022:2003 Anhydrous Ammonia&amp;mdash;Storage And Handling&lt;/p&gt;&lt;p&gt;AS 1940&amp;ndash;2004 The Storage And Handling Of Flammable And Combustible Liquids&lt;/p&gt;&lt;p&gt;AS 1894&amp;ndash;1997 The Storage And Handling Of Non-Flammable Cryogenic And Refrigerated Liquids&lt;/p&gt;&lt;p&gt;AS/NZS 2927:2001 The Storage And Handling Of Liquefied Chlorine Gas&lt;/p&gt;&lt;p&gt;AS 3961&amp;ndash;2005 The Storage And Handling Of Liquefied Natural Gas&lt;/p&gt;&lt;p&gt;AS 3780&amp;ndash;2008 The Storage And Handling Of Corrosive Substances&lt;/p&gt;&lt;p&gt;AS/NZS 3833:2007 The Storage And Handling Of Mixed Classes Of Dangerous Goods, In Packages And Intermediate Bulk Containers&lt;/p&gt;&lt;p&gt;AS 4839&amp;ndash;2001 The Safe Use Of Portable And Mobile Oxy-Fuel Gas Systems For Welding, Cutting, Heating And Allied Processes&lt;/p&gt;&lt;p&gt;AS 4289&amp;ndash;1995 Oxygen And Acetylene Gas Reticulation Systems&lt;/p&gt;&lt;p&gt;AS 2714&amp;ndash;2008 The Storage And Handling Of Organic Peroxides&lt;/p&gt;&lt;p&gt;AS 4976&amp;ndash;2008 The Removal And Disposal Of Underground Petroleum Storage Tanks&lt;/p&gt;</x:v>
      </x:c>
      <x:c r="Q126" s="6" t="n">
        <x:f>=HYPERLINK("#Q126","Source")</x:f>
      </x:c>
      <x:c r="R126"/>
      <x:c r="S126"/>
      <x:c r="T126"/>
    </x:row>
    <x:row r="127" spans="1:20" ht="15.75" x14ac:dyDescent="0.25">
      <x:c r="A127" t="n">
        <x:v>11622</x:v>
      </x:c>
      <x:c r="B127" t="str">
        <x:v>NSW,NT,QLD,SA,TAS,COMMONWEALTH</x:v>
      </x:c>
      <x:c r="C127" t="inlineStr">
        <x:is>
          <x:t xml:space="preserve">  Subobligation</x:t>
        </x:is>
      </x:c>
      <x:c r="D127" t="inlineStr">
        <x:is>
          <x:t xml:space="preserve">  Emergency Plans and Safety Equipment</x:t>
        </x:is>
      </x:c>
      <x:c r="E127" s="31" t="n">
        <x:v>16.09</x:v>
      </x:c>
      <x:c r="F127" s="8" t="n">
        <x:f>=HYPERLINK("#Obligation()","Workplace Management—Hazardous Chemicals")</x:f>
      </x:c>
      <x:c r="G127" s="8" t="n">
        <x:f>=HYPERLINK("#SubObligation()","Emergency Plans and Safety Equipment")</x:f>
      </x:c>
      <x:c r="H127" s="6" t="n">
        <x:f>=HYPERLINK("#H127","Tools")</x:f>
      </x:c>
      <x:c r="I127" s="27" t="str">
        <x:v>&lt;b&gt;&lt;p&gt;Emergency Plans and Safety Equipment&lt;/p&gt;If the organisation uses, handles, generates or stores hazardous chemicals, does it have emergency and safety equipment available and (where applicable) provide a copy of its emergency plan to the emergency services organisation?&lt;/b&gt;</x:v>
      </x:c>
      <x:c r="J127" s="6" t="str">
        <x:v>&lt;p&gt;An organisation that uses, handles or stores hazardous chemicals at the workplace must ensure that emergency equipment is always available for use in the event of an emergency. The workplace must have fire protection and firefighting equipment that can withstand the fire load from hazardous chemicals and other sources, and that is compatible with the primary emergency services organisation&amp;rsquo;s fire equipment. The fire protection and firefighting equipment at the workplace must be properly installed, tested and maintained, and the organisation must keep a dated record of testing results and maintenance until the next test is conducted on the equipment.&lt;/p&gt;&lt;p&gt;If the fire protection or firefighting equipment at the workplace becomes unserviceable or stops working, the organisation must assess the implications and implement alternative measures to manage any risks. It must also fix the equipment as soon as practicable.&lt;/p&gt;&lt;p&gt;If the quantity of a Schedule 11 hazardous chemical used, handled, generated or stored at a workplace exceeds the manifest quantity for that chemical, the organisation must give a copy of its emergency plan for the workplace to the primary emergency services organisation. If the emergency services organisation recommends any changes to the emergency plan, the organisation that prepared the plan must revise it accordingly.&lt;/p&gt;&lt;p&gt;If safety equipment is required to manage the risks associated with hazardous chemicals, the organisation must ensure that the equipment is provided, maintained and readily accessible to people at the workplace.&lt;/p&gt;&lt;p&gt;When developing its emergency plan, the organisation should consider what dangerous incidents might occur as a result of using, handling, generating or storing hazardous chemicals at the workplace. An emergency plan should include details such as:&lt;/p&gt;&lt;ul&gt;&lt;li&gt;emergency procedures (e.g. evacuation, notification of emergency services organisations, spill containment, first aid)&lt;/li&gt;&lt;li&gt;testing procedures such as practice drills and simulated emergencies&lt;/li&gt;&lt;li&gt;information, training and instruction for workers in emergency procedures&lt;/li&gt;&lt;li&gt;a site map that indicates where hazardous chemicals are stored.&lt;/li&gt;&lt;/ul&gt;&lt;p&gt;The organisation&amp;rsquo;s emergency procedures will depend on the size and complexity of the workplace, the type and quantity of hazardous chemicals, and the work processes at the workplace. See Tools -Guide to handling isocyanates, July 2015 (Safe Work Australia), Guide for preventing and responding to cyanide poisoning in the workplace, April 2013 (Safe Work Australia) and Controlling risks associated with electroplating, April 2012 (Safe Work Australia).&lt;/p&gt;&lt;p&gt;The organisation must consult with workers and the emergency services organisation when developing the emergency plan, and should also consult with neighbouring premises where any foreseeable incident (such as a fire) may have effects beyond the boundaries of the workplace.&lt;/p&gt;&lt;p&gt;The organisation should have a process for monitoring the quantity of Schedule 11 hazardous chemicals present at the workplace, and a procedure for providing a copy of its emergency plan to the emergency services organisation if the manifest quantity for the hazardous chemicals is exceeded.&lt;/p&gt;&lt;p&gt;The organisation should review the emergency plan at least every 5 years. Triggers for more frequent reviews include a change in risks, the availability of new information, or the identification of possible deficiencies in the plan.&lt;/p&gt;&lt;p&gt;The organisation should ensure that its emergency equipment and fire protection system are suited to the type and quantity of hazardous chemicals at the workplace. Emergency and safety equipment must be readily accessible in the event of an emergency, and properly maintained. Effective monitors, alarms and automatic sprinklers can also play a critical role in an emergency situation. The organisation should also ensure that it has a reliable water supply and adequate water pressure at the workplace in the event of an emergency.&lt;/p&gt;&lt;p&gt;Further information on emergency preparedness is available in the Model code of practice - Managing risks of hazardous chemicals in the workplace, July 2012 (Safe Work Australia).&lt;/p&gt;</x:v>
      </x:c>
      <x:c r="K127" s="6" t="n">
        <x:f>=HYPERLINK("#K127","Guidance Notes")</x:f>
      </x:c>
      <x:c r="L127" s="6" t="str">
        <x:v>&lt;p&gt;Put in place an effective emergency plan, and provide and maintain suitable emergency and safety equipment (including fire protection and firefighting equipment) that has been properly implemented (including through training) and is readily accessible in an emergency.&lt;/p&gt;</x:v>
      </x:c>
      <x:c r="M127" s="6" t="n">
        <x:f>=HYPERLINK("#M127","Remediation")</x:f>
      </x:c>
      <x:c r="N127" s="6" t="str">
        <x:v>&lt;p&gt;Maximum penalties of $30,000 (for an organisation) and $6,000 (for an individual) apply for failing to:&lt;/p&gt;&lt;ul&gt;&lt;li&gt;provide and maintain fire protection and firefighting equipment (reg 359)&lt;/li&gt;&lt;li&gt;provide emergency equipment (reg 360)&lt;/li&gt;&lt;li&gt;give a copy of an emergency plan to the emergency services organisation or incorporate any changes recommended by the emergency services organisation (reg 361)&lt;/li&gt;&lt;li&gt;provide and maintain safety equipment (reg 362).&lt;/li&gt;&lt;/ul&gt;</x:v>
      </x:c>
      <x:c r="O127" s="6" t="n">
        <x:f>=HYPERLINK("#O127","Consequence")</x:f>
      </x:c>
      <x:c r="P127" s="6" t="str">
        <x:v>&lt;p&gt;&lt;a href="https://www.legislation.gov.au/Details/F2011L02664" target="_blank" &gt;Work Health and Safety Regulations 2011 (Cth)&lt;/a&gt; regs 43, 359&amp;ndash;362, Schedule 11(see also corresponding regulations in NSW, NT, QLD, SA and TAS)&lt;/p&gt;&lt;p&gt;Managing Risks of Hazardous Chemicals in the Workplace Code of Practice&amp;mdash;July 2012&lt;/p&gt;</x:v>
      </x:c>
      <x:c r="Q127" s="6" t="n">
        <x:f>=HYPERLINK("#Q127","Source")</x:f>
      </x:c>
      <x:c r="R127"/>
      <x:c r="S127"/>
      <x:c r="T127"/>
    </x:row>
    <x:row r="128" spans="1:20" ht="15.75" x14ac:dyDescent="0.25">
      <x:c r="A128" t="n">
        <x:v>11629</x:v>
      </x:c>
      <x:c r="B128" t="str">
        <x:v>NSW,NT,QLD,SA,TAS,COMMONWEALTH</x:v>
      </x:c>
      <x:c r="C128" t="inlineStr">
        <x:is>
          <x:t xml:space="preserve">  Subobligation</x:t>
        </x:is>
      </x:c>
      <x:c r="D128" t="inlineStr">
        <x:is>
          <x:t xml:space="preserve">  Hazardous Atmospheres and Storage of Flammable or Combustible Substances</x:t>
        </x:is>
      </x:c>
      <x:c r="E128" s="31" t="n">
        <x:v>16.10</x:v>
      </x:c>
      <x:c r="F128" s="8" t="n">
        <x:f>=HYPERLINK("#Obligation()","Workplace Management—Hazardous Chemicals")</x:f>
      </x:c>
      <x:c r="G128" s="8" t="n">
        <x:f>=HYPERLINK("#SubObligation()","Hazardous Atmospheres and Storage of Flammable or Combustible Substances")</x:f>
      </x:c>
      <x:c r="H128" s="6" t="n">
        <x:f>=HYPERLINK("#H128","Tools")</x:f>
      </x:c>
      <x:c r="I128" s="27" t="str">
        <x:v>&lt;b&gt;&lt;p&gt;Hazardous Atmospheres and Storage of Flammable or Combustible Substances&lt;/p&gt;Does the organisation ensure that risks associated with hazardous atmospheres at the workplace are managed, and that flammable and combustible substances are kept at the lowest practicable quantity?&lt;/b&gt;</x:v>
      </x:c>
      <x:c r="J128" s="6" t="str">
        <x:v>&lt;p&gt;An organisation must manage risks to health and safety associated with a hazardous atmosphere at the workplace and the storage of flammable and combustible substances at the workplace.&lt;/p&gt;&lt;p&gt;The harmonised Work Health and Safety (WHS) Regulations define an atmosphere as hazardous if:&lt;/p&gt;&lt;ul&gt;&lt;li&gt;the atmosphere does not have a safe oxygen level, or&lt;/li&gt;&lt;li&gt;the concentration of oxygen in the atmosphere increases the fire risk, or&lt;/li&gt;&lt;li&gt;the concentration of flammable gas, vapour, mist or fumes exceeds 5 per cent of the lower explosive limit for the gas, vapour, mist or fumes, or&lt;/li&gt;&lt;li&gt;combustible dust is present in a quantity and form that would result in a hazardous area.&lt;/li&gt;&lt;/ul&gt;&lt;p&gt;Hazardous areas generally exist around flammable or combustible materials&amp;mdash;for example, those present in tanks, drums or containers. The organisation must manage risks to health and safety associated with an ignition source in a hazardous atmosphere at the workplace, unless the ignition source is part of a deliberate process or activity.&lt;/p&gt;&lt;p&gt;An organisation must also ensure that, if flammable or combustible substances are kept at the workplace, the substances are kept at the lowest practicable quantity. Flammable or combustible substances include:&lt;/p&gt;&lt;ul&gt;&lt;li&gt;flammable or combustible liquids, including waste liquids, in containers, whether empty or full&lt;/li&gt;&lt;li&gt;gas cylinders, whether empty or full.&lt;/li&gt;&lt;/ul&gt;&lt;p&gt;Specific control measures apply to oxygen levels, flammable gases and vapours, and ignition sources in confined spaces.&lt;/p&gt;&lt;p&gt;The WHS Regulations require the organisation to manage the risks of hazardous atmospheres in accordance with the risk management processes in Part 3.1 of the regulations. This involves identifying hazards, applying the hierarchy of control measures when implementing measures to eliminate or minimise the risks, and maintaining and reviewing the control measures.&lt;/p&gt;&lt;p&gt;As part of its risk management process, the organisation should assess whether ventilation or extraction is required to prevent the creation of a hazardous atmosphere, and whether engineering controls can reduce vapour emissions. It should also implement measures to control ignition sources and accumulation of flammable and combustible substances. The organisation should ensure that fire protection, fire-fighting equipment and emergency and safety equipment are available at the workplace.&lt;/p&gt;&lt;p&gt;The organisation should consult with workers throughout the risk management process, and ensure that workers receive appropriate training, instruction and supervision to manage the risks associated with hazardous atmospheres.&lt;/p&gt;&lt;p&gt;The organisation should ensure that its control measures comply with the relevant Australian standards on hazardous atmospheres and storage of flammable and combustible substances.&lt;/p&gt;&lt;p&gt;The organisation should ensure that it documents its risk management processes for hazardous atmospheres and storage of flammable or combustible substances, and keeps an up-to-date inventory of flammable or combustible substances stored at the workplace.&lt;/p&gt;&lt;p&gt;Further information on hazardous atmospheres and flammable and combustible substances is available in the Model code of practice - Managing risks of hazardous chemicals in the workplace, July 2012 (Safe Work Australia).&lt;/p&gt;</x:v>
      </x:c>
      <x:c r="K128" s="6" t="n">
        <x:f>=HYPERLINK("#K128","Guidance Notes")</x:f>
      </x:c>
      <x:c r="L128" s="6" t="str">
        <x:v>&lt;p&gt;Put in place control measures to ensure that risks associated with hazardous atmospheres are managed, and that flammable or combustible substances at the workplace are kept at the lowest practicable quantity.&lt;/p&gt;</x:v>
      </x:c>
      <x:c r="M128" s="6" t="n">
        <x:f>=HYPERLINK("#M128","Remediation")</x:f>
      </x:c>
      <x:c r="N128" s="6" t="str">
        <x:v>&lt;p&gt;Penalties apply for failing to keep flammable or combustible substances at the workplace at the lowest practicable quantity. The maximum penalties are $30,000 for an organisation and $6,000 for an individual (reg 53).&lt;/p&gt;</x:v>
      </x:c>
      <x:c r="O128" s="6" t="n">
        <x:f>=HYPERLINK("#O128","Consequence")</x:f>
      </x:c>
      <x:c r="P128" s="6" t="str">
        <x:v>&lt;p&gt;&lt;a href="https://www.legislation.gov.au/Details/F2011L02664" target="_blank" &gt;Work Health and Safety Regulations 2011 (Cth)&lt;/a&gt; regs 51&amp;ndash;53 (see also corresponding regulations in ACT, NSW, NT, QLD, SA and TAS)&lt;/p&gt;&lt;p&gt;Managing Risks of Hazardous Chemicals in the Workplace Code of Practice&amp;mdash;July 2012&lt;/p&gt;&lt;p&gt;AS/NZS 60079.10.1:2009 Explosive Atmospheres&amp;mdash;Classification Of Areas&amp;mdash;Explosive Gas Atmospheres&lt;/p&gt;&lt;p&gt;AS/NZS 60079.10.2:2011 Explosive Atmospheres&amp;mdash;Classification Of Areas&amp;mdash;Combustible Dust Atmospheres&lt;/p&gt;&lt;p&gt;AS/NZS 4745:2004 Code of practice for handling combustible dusts&lt;/p&gt;&lt;p&gt;AS 1940&amp;ndash;2004 The storage and handling of flammable and combustible liquids&lt;/p&gt;</x:v>
      </x:c>
      <x:c r="Q128" s="6" t="n">
        <x:f>=HYPERLINK("#Q128","Source")</x:f>
      </x:c>
      <x:c r="R128"/>
      <x:c r="S128"/>
      <x:c r="T128"/>
    </x:row>
    <x:row r="129" spans="1:20" ht="15.75" x14ac:dyDescent="0.25">
      <x:c r="A129" t="n">
        <x:v>11633</x:v>
      </x:c>
      <x:c r="B129" t="str">
        <x:v>NSW,NT,QLD,SA,TAS,COMMONWEALTH</x:v>
      </x:c>
      <x:c r="C129" t="inlineStr">
        <x:is>
          <x:t xml:space="preserve">  Subobligation</x:t>
        </x:is>
      </x:c>
      <x:c r="D129" t="inlineStr">
        <x:is>
          <x:t xml:space="preserve">  Managing Risks from Airborne Contaminants</x:t>
        </x:is>
      </x:c>
      <x:c r="E129" s="31" t="n">
        <x:v>16.11</x:v>
      </x:c>
      <x:c r="F129" s="8" t="n">
        <x:f>=HYPERLINK("#Obligation()","Workplace Management—Hazardous Chemicals")</x:f>
      </x:c>
      <x:c r="G129" s="8" t="n">
        <x:f>=HYPERLINK("#SubObligation()","Managing Risks from Airborne Contaminants")</x:f>
      </x:c>
      <x:c r="H129" s="6" t="n">
        <x:f>=HYPERLINK("#H129","Tools")</x:f>
      </x:c>
      <x:c r="I129" s="27" t="str">
        <x:v>&lt;b&gt;&lt;p&gt;Managing Risks from Airborne Contaminants&lt;/p&gt;Does the organisation ensure that exposure standards for airborne contaminants are not exceeded at the workplace?&lt;/b&gt;</x:v>
      </x:c>
      <x:c r="J129" s="6" t="str">
        <x:v>&lt;p&gt;An organisation must ensure that no person at a workplace is exposed to a substance or mixture in an airborne concentration that exceeds the exposure standard for the substance or mixture.&lt;/p&gt;&lt;p&gt;If the organisation is not certain on reasonable grounds whether the concentration exceeds the exposure standard, and monitoring is necessary to determine whether there is a risk to health, then the organisation must ensure that air monitoring is carried out to determine the concentration. The organisation must ensure that the results of the air monitoring are recorded and kept for 30 years. It must also ensure that the results are readily accessible to workers and other people at the workplace who may be exposed to the substance or mixture.&lt;/p&gt;&lt;p&gt;Specific control measures apply to risks of exposure to airborne contaminants in confined spaces.&lt;/p&gt;&lt;p&gt;The harmonised Work Health and Safety (WHS) Regulations have specific requirements relating to the risk of exposure to airborne asbestos. These requirements are covered separately in this module.&lt;/p&gt;&lt;p&gt;The organisation should seek to eliminate the risks from airborne contaminants, so far as is reasonably practicable. If it is not practicable to eliminate the risks, the organisation should do what is reasonably practicable to minimise the risks in accordance with the WHS Regulations.&lt;/p&gt;&lt;p&gt;The organisation should conduct a risk assessment to determine whether work processes that release harmful levels of airborne contaminants (e.g. lead fumes, acid mist or solvent vapour) will require specific control measures to remove them at the source, such as local exhaust ventilation. The work process, or part of it, may need to be placed within an enclosure fitted with an exhaust extraction, and plant operators may need to be placed in a positive pressure cabin that prevents airborne contaminants entering.&lt;/p&gt;&lt;p&gt;The organisation should ensure that regular checks of exhaust systems are included in planned maintenance schedules to ensure that vents remain unobstructed. The organisation should also implement administrative controls and provide workers with personal protective equipment where necessary.&lt;/p&gt;&lt;p&gt;If atmospheric monitoring indicates that the airborne concentration of a hazardous substance or mixture at the workplace is approaching or exceeding the relevant exposure standard, the organisation should immediately review its control measures and take any necessary corrective actions.&lt;/p&gt;&lt;p&gt;The organisation should consult with workers throughout the risk management process, and ensure that workers receive appropriate training, instruction and supervision to manage the risks associated with airborne contaminants.&lt;/p&gt;&lt;p&gt;The organisation should consult Guidance on the interpretation of workplace exposure standards for airborne contaminants, April 2013 (Safe Work Australia), which contains a complete list of all agreed exposure standards that are mandatory under the harmonised WHS Regulations, as well as critical information relating to their interpretation.&lt;/p&gt;&lt;p&gt;The organisation should ensure that it documents its risk management processes for airborne contaminants, and keeps air monitoring records relating to contaminants for a minimum of 30 years. The organisation should also have in place a procedure for giving workers access to the results of air monitoring.&lt;/p&gt;</x:v>
      </x:c>
      <x:c r="K129" s="6" t="n">
        <x:f>=HYPERLINK("#K129","Guidance Notes")</x:f>
      </x:c>
      <x:c r="L129" s="6" t="str">
        <x:v>&lt;p&gt;Put in place control measures to ensure that exposure standards for airborne contaminants are not exceeded at the workplace.&lt;/p&gt;</x:v>
      </x:c>
      <x:c r="M129" s="6" t="n">
        <x:f>=HYPERLINK("#M129","Remediation")</x:f>
      </x:c>
      <x:c r="N129" s="6" t="str">
        <x:v>&lt;p&gt;Penalties apply for failing to ensure that no person at a workplace is exposed to a substance or mixture in an airborne concentration that exceeds the relevant exposure standard. The maximum penalties are $30,000 for an organisation and $6,000 for an individual (reg 49). Failure to ensure that air monitoring is carried out when required also attracts the same maximum penalties (reg 50).&lt;/p&gt;&lt;p&gt;Failure to ensure that the results of air monitoring are readily accessible to people who may be exposed to the substance or mixture can attract maximum penalties of $18,000 for an organisation and $3,600 for an individual (reg 50). Failure to keep a record of air monitoring results for the required period can attract penalties of up to $6,000 for an organisation and $1,250 for an individual (reg 50).&lt;/p&gt;</x:v>
      </x:c>
      <x:c r="O129" s="6" t="n">
        <x:f>=HYPERLINK("#O129","Consequence")</x:f>
      </x:c>
      <x:c r="P129" s="6" t="str">
        <x:v>&lt;p&gt;&lt;a href="https://www.legislation.gov.au/Details/F2011L02664" target="_blank" &gt;Work Health and Safety Regulations 2011 (Cth)&lt;/a&gt; regs 49&amp;ndash;52, 420 (see also corresponding regulations in ACT, NSW, NT, QLD, SA and TAS)&lt;/p&gt;&lt;p&gt;Managing Risks of Hazardous Chemicals in the Workplace Code of Practice&amp;mdash;July 2012&lt;/p&gt;&lt;p&gt;Managing the Work Environment and Facilities Code of Practice&amp;mdash;December 2011&lt;/p&gt;</x:v>
      </x:c>
      <x:c r="Q129" s="6" t="n">
        <x:f>=HYPERLINK("#Q129","Source")</x:f>
      </x:c>
      <x:c r="R129"/>
      <x:c r="S129"/>
      <x:c r="T129"/>
    </x:row>
    <x:row r="130" spans="1:20" ht="15.75" x14ac:dyDescent="0.25">
      <x:c r="A130" t="n">
        <x:v>11640</x:v>
      </x:c>
      <x:c r="B130" t="str">
        <x:v>NSW,NT,QLD,SA,TAS,COMMONWEALTH</x:v>
      </x:c>
      <x:c r="C130" t="inlineStr">
        <x:is>
          <x:t xml:space="preserve">  Subobligation</x:t>
        </x:is>
      </x:c>
      <x:c r="D130" t="inlineStr">
        <x:is>
          <x:t xml:space="preserve">  Health Monitoring for Exposure to Hazardous Chemicals</x:t>
        </x:is>
      </x:c>
      <x:c r="E130" s="31" t="n">
        <x:v>16.12</x:v>
      </x:c>
      <x:c r="F130" s="8" t="n">
        <x:f>=HYPERLINK("#Obligation()","Workplace Management—Hazardous Chemicals")</x:f>
      </x:c>
      <x:c r="G130" s="8" t="n">
        <x:f>=HYPERLINK("#SubObligation()","Health Monitoring for Exposure to Hazardous Chemicals")</x:f>
      </x:c>
      <x:c r="H130" s="6" t="n">
        <x:f>=HYPERLINK("#H130","Tools")</x:f>
      </x:c>
      <x:c r="I130" s="27" t="str">
        <x:v>&lt;b&gt;&lt;p&gt;Health Monitoring for Exposure to Hazardous Chemicals&lt;/p&gt;Does the organisation provide health monitoring for workers who are exposed to a significant health risk from using hazardous chemicals at the workplace?&lt;/b&gt;</x:v>
      </x:c>
      <x:c r="J130" s="6" t="str">
        <x:v>&lt;p&gt;Under the harmonised Work Health and Safety (WHS) Acts, an organisation has a duty to monitor the health of workers and the conditions at the workplace to prevent illness or injury of workers. An organisation also has an obligation to consult with workers about health monitoring.&lt;/p&gt;&lt;p&gt;More specifically, the harmonised WHS Regulations require an organisation to monitor a worker&amp;rsquo;s health if the worker is carrying out ongoing work that involves using, handling, generating or storing hazardous chemicals at the workplace and they face a significant health risk from exposure to a chemical listed in Schedule 14 of the regulations.&lt;/p&gt;&lt;p&gt;Also, if the organisation believes that the worker is (or will be) exposed to a significant health risk from ongoing work using, handling, generating or storing a hazardous chemical that is not listed in Schedule 14, then the organisation must provide health monitoring if:&lt;/p&gt;&lt;ul type="disc"&gt;&lt;li&gt;valid techniques are available to detect the effect on the worker&amp;rsquo;s health&lt;/li&gt;&lt;li&gt;a valid way of determining biological exposure to the chemical is available and it is uncertain whether the biological exposure standard has been exceeded.&lt;/li&gt;&lt;/ul&gt;&lt;p&gt;An organisation must inform its workers about health monitoring requirements before they start using, handling, generating or storing a hazardous chemical. The organisation must also provide information about health monitoring requirements to any workers who it is likely to engage to carry out work with hazardous chemicals.&lt;/p&gt;&lt;p&gt;An organisation must ensure that it provides health monitoring of the type specified in Schedule 14, unless an equal or better type of monitoring is available and that type is recommended by an experienced registered medical practitioner. The organisation must pay for all expenses related to the health monitoring. Where the duty to provide health monitoring is shared with another organisation, the cost should be apportioned equally between the two organisations unless otherwise agreed.&lt;/p&gt;&lt;p&gt;An organisation must ensure that health monitoring is carried out under the supervision of a registered medical practitioner who has experience in health monitoring. The organisation must consult with the worker about the selection of the medical practitioner and it must provide the following information to the medical practitioner:&lt;/p&gt;&lt;ul type="disc"&gt;&lt;li&gt;the name and address of the organisation&lt;/li&gt;&lt;li&gt;the name and date of birth of the worker&lt;/li&gt;&lt;li&gt;the work being carried out that has triggered the requirement for health monitoring&lt;/li&gt;&lt;li&gt;how long the worker has been carrying out the work (if it has already started).&lt;/li&gt;&lt;/ul&gt;&lt;p&gt;An organisation must obtain a health monitoring report from the medical practitioner as soon as possible after the practitioner has carried out (or supervised) the monitoring. The report must include:&lt;/p&gt;&lt;ul type="disc"&gt;&lt;li&gt;the name and date of birth of the worker&lt;/li&gt;&lt;li&gt;the name and registration number of the medical practitioner&lt;/li&gt;&lt;li&gt;the name and address of the organisation that commissioned the monitoring&lt;/li&gt;&lt;li&gt;the date of the monitoring&lt;/li&gt;&lt;li&gt;any test results that indicate whether or not the worker has been exposed to a hazardous chemical&lt;/li&gt;&lt;li&gt;any advice that the results indicate that the worker may have contracted a disease, injury or illness from carrying out work that triggered the need for health monitoring&lt;/li&gt;&lt;li&gt;any recommendation that the organisation take remedial measures, including whether the worker can continue with the work that triggered the need for health monitoring&lt;/li&gt;&lt;li&gt;whether medical counselling is required for the worker.&lt;/li&gt;&lt;/ul&gt;&lt;p&gt;The organisation must give a copy of the health monitoring report to the worker as soon as possible after obtaining it. It must also give a copy to the regulator if it contains any advice that the worker may have contracted a disease, injury or illness, or any recommendation that the organisation take remedial measures. The organisation also needs to give a copy of the report to any other organisation that also has a duty to provide health monitoring for the worker, but any organisation that obtains the report must keep it confidential. The report and results can only be disclosed more broadly if the relevant organisation has the worker&amp;rsquo;s written consent. The organisation must ensure that the confidential record is identified as the worker&amp;rsquo;s record and kept for at least 30 years after the record is made (and at least 40 years for asbestos).&lt;/p&gt;&lt;p&gt;It is important that the organisation provides appropriate health monitoring to workers who deal with hazardous chemicals, so as to prevent death, illness or injury. Depending on the nature of the chemical exposure, the health monitoring process may be conducted through an interview, a medical examination, biological effect monitoring or biological exposure monitoring.&lt;/p&gt;&lt;p&gt;When deciding if there is a significant risk, the organisation should consider the hazards and their frequency, and the duration and amount of exposure to hazardous chemicals. If there is any uncertainty about the risks, health monitoring is generally required.&lt;/p&gt;&lt;p&gt;When informing workers about health monitoring requirements before they start work, the organisation should provide information about:&lt;/p&gt;&lt;ul type="disc"&gt;&lt;li&gt;the possible health effects from the exposure&lt;/li&gt;&lt;li&gt;the fact that health monitoring is a legal requirement&lt;/li&gt;&lt;li&gt;the health monitoring program&amp;rsquo;s aims and benefits&lt;/li&gt;&lt;li&gt;what is involved in the program&lt;/li&gt;&lt;li&gt;any requirement for the workers to see a doctor or specialist&lt;/li&gt;&lt;li&gt;how a medical practitioner is chosen&lt;/li&gt;&lt;li&gt;how to report symptoms&lt;/li&gt;&lt;li&gt;who pays for the health monitoring&lt;/li&gt;&lt;li&gt;how monitoring may affect their tasks&lt;/li&gt;&lt;li&gt;the record keeping and confidentiality requirements.&lt;/li&gt;&lt;/ul&gt;&lt;p&gt;The organisation should provide health monitoring before a worker commences work, during periods of exposure to the hazardous chemical, where a worker has concerns that may relate to exposure to the chemical, and at the termination of the work.&lt;/p&gt;&lt;p&gt;The report should only contain information relating to the health monitoring program for the chemicals being used&amp;mdash;it should not contain health information on workers unless there is an obligation that the organisation should know. The report must be identified as a confidential record in relation to the worker and should be kept separate from other information, so as to prevent the report being accessed inadvertently by unauthorised people.&lt;/p&gt;&lt;p&gt;For further information on health monitoring, see Tools - Health monitoring for exposure to hazardous chemicals&amp;mdash;guide for persons conducting a business or undertaking, February 2013 (Safe Work Australia).&lt;/p&gt;</x:v>
      </x:c>
      <x:c r="K130" s="6" t="n">
        <x:f>=HYPERLINK("#K130","Guidance Notes")</x:f>
      </x:c>
      <x:c r="L130" s="6" t="str">
        <x:v>&lt;p&gt;Put in place processes and resources for an effective health monitoring program where significant health risks arise from a worker&amp;rsquo;s exposure to hazardous chemicals.&lt;/p&gt;</x:v>
      </x:c>
      <x:c r="M130" s="6" t="n">
        <x:f>=HYPERLINK("#M130","Remediation")</x:f>
      </x:c>
      <x:c r="N130" s="6" t="str">
        <x:v>&lt;p&gt;Maximum penalties of $30,000 (for an organisation) and $6,000 (for an individual) apply for failing to:&lt;/p&gt;&lt;ul&gt;&lt;li&gt;provide health monitoring for workers where required (reg 368)&lt;/li&gt;&lt;li&gt;ensure that the appropriate type of health monitoring is provided (reg 370)&lt;/li&gt;&lt;li&gt;ensure that a registered medical practitioner supervises the monitoring (reg 371)&lt;/li&gt;&lt;li&gt;obtain a health monitoring report and give it to the worker, regulator or other relevant organisation (regs 374&amp;ndash;377).&lt;/li&gt;&lt;/ul&gt;&lt;p&gt;Maximum penalties of $18,000 (for an organisation) and $3,600 (for an individual) apply for failing to:&lt;/p&gt;&lt;ul&gt;&lt;li&gt;provide information to a worker about the health monitoring (reg 369)&lt;/li&gt;&lt;li&gt;consult with a worker about the selection of a medical practitioner (reg 371)&lt;/li&gt;&lt;li&gt;pay the costs of health monitoring (reg 372)&lt;/li&gt;&lt;li&gt;provide all relevant information to the medical practitioner (reg 373).&lt;/li&gt;&lt;/ul&gt;&lt;p&gt;The maximum penalties for failing to follow the correct record-keeping procedures for a worker&amp;rsquo;s confidential health monitoring records are $6,000 for an organisation and $1,250 for an individual (reg 378).&lt;/p&gt;</x:v>
      </x:c>
      <x:c r="O130" s="6" t="n">
        <x:f>=HYPERLINK("#O130","Consequence")</x:f>
      </x:c>
      <x:c r="P130" s="6" t="str">
        <x:v>&lt;p&gt;&lt;a href="https://www.legislation.gov.au/Details/C2011A00137" target="_blank" &gt;Work Health and Safety Act 2011 (Cth)&lt;/a&gt; ss 19, 49 (see also corresponding Acts in ACT, NSW, NT, QLD, SA and TAS)&lt;/p&gt;&lt;p&gt;&lt;a href="https://www.legislation.gov.au/Details/F2011L02664" target="_blank" &gt;Work Health and Safety Regulations 2011 (Cth)&lt;/a&gt; regs 368&amp;ndash;378, Schedule 14 (see also corresponding regulations in NSW, NT, QLD, SA and TAS)&lt;/p&gt;&lt;p&gt;Managing Risks of Hazardous Chemicals in the Workplace Code of Practice&amp;mdash;July 2012&lt;/p&gt;&lt;p&gt;Abrasive Blasting Code of Practice&amp;mdash;October 2012&lt;/p&gt;&lt;p&gt;Spray Painting and Powder Coating Code of Practice&amp;mdash;March 2015&lt;/p&gt;&lt;p&gt;Welding Processes Code of Practice&amp;mdash;July 2012&lt;/p&gt;</x:v>
      </x:c>
      <x:c r="Q130" s="6" t="n">
        <x:f>=HYPERLINK("#Q130","Source")</x:f>
      </x:c>
      <x:c r="R130"/>
      <x:c r="S130"/>
      <x:c r="T130"/>
    </x:row>
    <x:row r="131" spans="1:20" ht="15.75" x14ac:dyDescent="0.25">
      <x:c r="A131" t="n">
        <x:v>11650</x:v>
      </x:c>
      <x:c r="B131" t="str">
        <x:v>NSW,NT,QLD,SA,TAS,COMMONWEALTH</x:v>
      </x:c>
      <x:c r="C131" t="inlineStr">
        <x:is>
          <x:t xml:space="preserve">  Subobligation</x:t>
        </x:is>
      </x:c>
      <x:c r="D131" t="inlineStr">
        <x:is>
          <x:t xml:space="preserve">  Hazardous Chemicals—Supervision and Training for Workers</x:t>
        </x:is>
      </x:c>
      <x:c r="E131" s="31" t="n">
        <x:v>16.13</x:v>
      </x:c>
      <x:c r="F131" s="8" t="n">
        <x:f>=HYPERLINK("#Obligation()","Workplace Management—Hazardous Chemicals")</x:f>
      </x:c>
      <x:c r="G131" s="8" t="n">
        <x:f>=HYPERLINK("#SubObligation()","Hazardous Chemicals—Supervision and Training for Workers")</x:f>
      </x:c>
      <x:c r="H131" s="6" t="n">
        <x:f>=HYPERLINK("#H131","Tools")</x:f>
      </x:c>
      <x:c r="I131" s="27" t="str">
        <x:v>&lt;b&gt;&lt;p&gt;Hazardous Chemicals—Supervision and Training for Workers&lt;/p&gt;Does the organisation provide appropriate supervision and training to workers who deal with, or are likely to be exposed to, hazardous chemicals?&lt;/b&gt;</x:v>
      </x:c>
      <x:c r="J131" s="6" t="str">
        <x:v>&lt;p&gt;The harmonised Work Health and Safety (WHS) Acts imposes a general duty to provide, so far as is reasonably practicable, any information, instruction, training and supervision that is necessary to protect all people (which would include workers and visitors to the workplace) from health and safety risks associated with work carried out by the organisation (see &amp;lsquo;Training and Competency&amp;rsquo; in this module).&lt;/p&gt;&lt;p&gt;In addition to this general requirement, the WHS Regulations specify some particular circumstances in which supervision, information, instruction and training must be provided to workers to ensure that they are protected from risks associated with hazardous chemicals.&lt;/p&gt;&lt;p&gt;An organisation must provide appropriate supervision, information, training and instruction to workers to protect them from any risks to health and safety if the workers:&lt;/p&gt;&lt;ul&gt;&lt;li&gt;use, generate, handle or store hazardous chemicals, or&lt;/li&gt;&lt;li&gt;work with storage or handling systems for hazardous chemicals (including testing, maintaining and decommissioning), or&lt;/li&gt;&lt;li&gt;are likely to be exposed to hazardous chemicals.&lt;/li&gt;&lt;/ul&gt;&lt;p&gt;This supervision needs to be suitable and adequate for the risks associated with the chemicals. The information, training and instruction will need to cover the nature of the work to be carried out, the risks associated with the hazardous chemicals and the control measures implemented to manage those risks. Information, training and instruction must be provided in a way that workers can readily understand.&lt;/p&gt;&lt;p&gt;The organisation should provide appropriate supervision to workers to ensure that the correct work practices and procedures are followed for using, handling or storing hazardous chemicals. Supervisors should regularly check that workers are using control measures properly (e.g. sealing chemical containers when not in use).&lt;/p&gt;&lt;p&gt;The information, training and instruction that workers receive should include the following:&lt;/p&gt;&lt;ul&gt;&lt;li&gt;the nature of the hazardous chemicals and the risks to workers&lt;/li&gt;&lt;li&gt;the control measures implemented and how to use and maintain them&lt;/li&gt;&lt;li&gt;the arrangements that are in place to deal with emergencies (e.g. evacuations, spill containment and cleanup, first aid)&lt;/li&gt;&lt;li&gt;information regarding any personal protective equipment required to control risks&lt;/li&gt;&lt;li&gt;any health monitoring that may be required&lt;/li&gt;&lt;li&gt;information on the labels of hazardous chemical containers&lt;/li&gt;&lt;li&gt;information on the safety data sheets of hazardous chemicals&lt;/li&gt;&lt;li&gt;work practices and procedures to be followed in the use, handling, processing, storage, transportation, cleaning up and disposal of hazardous chemicals.&lt;/li&gt;&lt;/ul&gt;&lt;p&gt;The organisation should ensure that the content of training is easy to understand, taking into account the language, literacy and numeracy skills of workers. It may need to use resources such as subtitled audio-visual material and on-the-job demonstrations to maximise workers&amp;rsquo; understanding.&lt;/p&gt;&lt;p&gt;The organisation should have a method for testing workers&amp;rsquo; understanding and skills after they receive training, and should provide additional training where results are unsatisfactory.&lt;/p&gt;&lt;p&gt;The organisation should ensure that it keeps accurate and up-to-date records of its training activities, including the type of training delivered, the names of the managers, supervisors and workers who received the training, and the results of any competency assessments.&lt;/p&gt;&lt;p&gt;Further information on supervision and training, see Tools - Model code of practice - Managing risks of hazardous chemicals in the workplace, July 2012 (Safe Work Australia).&lt;/p&gt;</x:v>
      </x:c>
      <x:c r="K131" s="6" t="n">
        <x:f>=HYPERLINK("#K131","Guidance Notes")</x:f>
      </x:c>
      <x:c r="L131" s="6" t="str">
        <x:v>&lt;p&gt;Put in place procedures and resources to ensure that workers who deal with, or are exposed to, hazardous chemicals receive appropriate supervision and training to ensure they can undertake their work safely.&lt;/p&gt;</x:v>
      </x:c>
      <x:c r="M131" s="6" t="n">
        <x:f>=HYPERLINK("#M131","Remediation")</x:f>
      </x:c>
      <x:c r="N131" s="6" t="str">
        <x:v>&lt;p&gt;Failure to provide proper training and supervision to workers who deal with, or are likely to be exposed to, hazardous chemicals attracts maximum penalties of $30,000 for an organisation and $6,000 (reg 379).&lt;/p&gt;&lt;p&gt;In addition to the specific breach of the regulations relating to workers, a failure to provide adequate training, information, instruction and supervision can also amount to a breach of the organisation&amp;rsquo;s primary duty to those workers and also to others (i.e. visitors to the workplace) if the absence of that training, information, instruction or supervision creates a risk to their health and safety and it was reasonably practicable to provide it. In this case, the maximum penalties set out in sections 30 to 33 of the WHS Acts would apply.&lt;/p&gt;</x:v>
      </x:c>
      <x:c r="O131" s="6" t="n">
        <x:f>=HYPERLINK("#O131","Consequence")</x:f>
      </x:c>
      <x:c r="P131" s="6" t="str">
        <x:v>&lt;p&gt;&lt;a href="https://www.legislation.gov.au/Details/C2011A00137" target="_blank" &gt;Work Health and Safety Act 2011 (Cth)&lt;/a&gt; s 19 (see also corresponding Acts in ACT, NSW, NT, QLD, SA and TAS)&lt;/p&gt;&lt;p&gt;&lt;a href="https://www.legislation.gov.au/Details/F2011L02664" target="_blank" &gt;Work Health and Safety Regulations 2011 (Cth)&lt;/a&gt; regs 39, 379 (see also corresponding regulations in NSW, NT, QLD, SA and TAS)&lt;/p&gt;&lt;p&gt;Managing Risks of Hazardous Chemicals in the Workplace Code of Practice&amp;mdash;July 2012&lt;/p&gt;</x:v>
      </x:c>
      <x:c r="Q131" s="6" t="n">
        <x:f>=HYPERLINK("#Q131","Source")</x:f>
      </x:c>
      <x:c r="R131"/>
      <x:c r="S131"/>
      <x:c r="T131"/>
    </x:row>
    <x:row r="132" spans="1:20" ht="15.75" x14ac:dyDescent="0.25">
      <x:c r="A132" t="n">
        <x:v>11654</x:v>
      </x:c>
      <x:c r="B132" t="str">
        <x:v>NSW,NT,QLD,SA,TAS,COMMONWEALTH</x:v>
      </x:c>
      <x:c r="C132" t="inlineStr">
        <x:is>
          <x:t xml:space="preserve">  Subobligation</x:t>
        </x:is>
      </x:c>
      <x:c r="D132" t="inlineStr">
        <x:is>
          <x:t xml:space="preserve">  Prohibited and Restricted Carcinogens and Restricted Hazardous Chemicals</x:t>
        </x:is>
      </x:c>
      <x:c r="E132" s="31" t="n">
        <x:v>16.14</x:v>
      </x:c>
      <x:c r="F132" s="8" t="n">
        <x:f>=HYPERLINK("#Obligation()","Workplace Management—Hazardous Chemicals")</x:f>
      </x:c>
      <x:c r="G132" s="8" t="n">
        <x:f>=HYPERLINK("#SubObligation()","Prohibited and Restricted Carcinogens and Restricted Hazardous Chemicals")</x:f>
      </x:c>
      <x:c r="H132" s="6" t="n">
        <x:f>=HYPERLINK("#H132","Tools")</x:f>
      </x:c>
      <x:c r="I132" s="27" t="str">
        <x:v>&lt;b&gt;&lt;p&gt;Prohibited and Restricted Carcinogens and Restricted Hazardous Chemicals&lt;/p&gt;Does the organisation comply with prohibitions and restrictions in relation to specific carcinogens and hazardous chemicals, and obtain authorisation if it wishes to use prohibited or restricted carcinogens for research and analysis?&lt;/b&gt;</x:v>
      </x:c>
      <x:c r="J132" s="6" t="str">
        <x:v>&lt;p&gt;An organisation must comply with prohibitions and restrictions that apply to certain types of hazardous chemicals, and in some cases obtain authorisation before using that chemical at all, or for particular purposes.&lt;/p&gt;&lt;p&gt;Prohibited and restricted carcinogens (and other hazardous chemicals) are listed in Schedule 10 of the harmonised Work Health and Safety (WHS) Regulations.&lt;/p&gt;&lt;p&gt;An organisation must not use, handle or store a prohibited carcinogen at its workplace (or direct or allow a worker to do so) unless it is for genuine research or analysis and the regulator has given its authorisation. The organisation can only use, handle or store a restricted carcinogen at all, or for certain purposes, if the organisation has received the regulator&amp;rsquo;s authorisation.&lt;/p&gt;&lt;p&gt;Furthermore, an organisation cannot use, handle or store a restricted hazardous chemical at all or for certain purposes (as listed in Schedule 10) at its workplace, or direct or allow a worker to do so.&lt;/p&gt;&lt;p&gt;This restriction also applies to polychlorinated biphenyls (PCBs), unless they are being used for:&lt;/p&gt;&lt;ul&gt;&lt;li&gt;existing electrical equipment or construction material&lt;/li&gt;&lt;li&gt;disposal purposes&lt;/li&gt;&lt;li&gt;genuine research and analysis.&lt;/li&gt;&lt;/ul&gt;&lt;p&gt;An organisation can apply in writing to the regulator for authorisation to use, handle or store a prohibited or restricted carcinogen. The regulator may authorise an organisation to use a prohibited carcinogen, but only if it will be used for genuine research or analysis. It may also authorise an organisation to use a restricted carcinogen, but only if it is for one of the uses listed in Schedule 10 of the WHS Regulations. The regulator also has the power to impose conditions on an authorisation. If the regulator refuses an application to use, handle or store a prohibited or restricted carcinogen, the organisation can seek a review of the decision.&lt;/p&gt;&lt;p&gt;The organisation must notify the regulator in writing of any change to the information provided in the application, either before the change, or as soon as possible after becoming aware of the change. The regulator may cancel an authorisation if the organisation has not complied with a condition on the authorisation, or if the risk to a worker&amp;rsquo;s health and safety has changed since the authorisation was granted. The organisation can seek a review of the regulator&amp;rsquo;s decision to cancel an authorisation.&lt;/p&gt;&lt;p&gt;An organisation that is authorised to use, handle or store a prohibited or restricted carcinogen must give any worker who uses, handles or stores the carcinogen a written statement of exposure at the end of the worker&amp;rsquo;s engagement. The statement must contain the following information:&lt;/p&gt;&lt;ul&gt;&lt;li&gt;the name of the prohibited or restricted carcinogen to which the worker may have been exposed&lt;/li&gt;&lt;li&gt;the time the worker may have been exposed&lt;/li&gt;&lt;li&gt;how and where the worker may obtain records of the possible exposure&lt;/li&gt;&lt;li&gt;whether the worker should undertake regular health checks, and the relevant tests to undertake.&lt;/li&gt;&lt;/ul&gt;&lt;p&gt;The organisation must record the full name, date of birth and address of each worker likely to be exposed to the carcinogen during the period of authorisation. It must also keep a copy of each authorisation and any conditions imposed. The organisation must keep these records for 30 years after the authorisation ends.&lt;/p&gt;&lt;p&gt;Due to the dangerous nature of hazardous chemicals, it is important that the organisation is aware of its responsibilities in relation to prohibited and restricted carcinogens and restricted hazardous chemicals, and has processes and procedures in place to ensure compliance.&lt;/p&gt;&lt;p&gt;When the organisation applies to the regulator for an authorisation to use a prohibited or restricted carcinogen, it must ensure that it includes the following information:&lt;/p&gt;&lt;ul&gt;&lt;li&gt;its name and business address&lt;/li&gt;&lt;li&gt;its business name, if applicable&lt;/li&gt;&lt;li&gt;the name and address of the supplier of the carcinogen&lt;/li&gt;&lt;li&gt;the address where the carcinogen will be used, handled or stored&lt;/li&gt;&lt;li&gt;the name of the carcinogen&lt;/li&gt;&lt;li&gt;the quantity of the carcinogen to be used, handled or stored at the workplace each year&lt;/li&gt;&lt;li&gt;the purpose or activity for which it will be used, handled or stored&lt;/li&gt;&lt;li&gt;the number of workers who may be exposed to it&lt;/li&gt;&lt;li&gt;information about how the organisation will manage risks to health and safety (including hazard identification, control measures and any reasons why it may not be practicable to eliminate the need to use the carcinogen or substitute it for something safer)&lt;/li&gt;&lt;li&gt;any other information requested by the regulator.&lt;/li&gt;&lt;/ul&gt;&lt;p&gt;Further guidance on prohibitions, restrictions and authorisations relating to hazardous chemicals, see Tools - Model code of practice - Managing risks of hazardous chemicals in the workplace, July 2012 (Safe Work Australia).&lt;/p&gt;</x:v>
      </x:c>
      <x:c r="K132" s="6" t="n">
        <x:f>=HYPERLINK("#K132","Guidance Notes")</x:f>
      </x:c>
      <x:c r="L132" s="6" t="str">
        <x:v>&lt;p&gt;Put in place procedures to comply with any prohibitions or restrictions in relation to hazardous chemicals, and obtain authorisation to use prohibited or restricted carcinogens and other restricted-use hazardous chemicals.&lt;/p&gt;</x:v>
      </x:c>
      <x:c r="M132" s="6" t="n">
        <x:f>=HYPERLINK("#M132","Remediation")</x:f>
      </x:c>
      <x:c r="N132" s="6" t="str">
        <x:v>&lt;p&gt;Under the harmonised WHS Acts, the maximum penalties for using a substance at a workplace without the necessary authorisation (or directing or allowing a worker to use the substance) are $100,000 for an organisation and $20,000 for an individual (s&amp;nbsp;42). The same maximum penalties apply for carrying out work at a workplace (or directing or allowing a worker to carry out the work) if the organisation has not obtained the necessary authorisation for that type of work (s 43), and for failing to comply with a condition on an authorisation (s 45).&lt;/p&gt;&lt;p&gt;Under the harmonised WHS Regulations, penalties apply for failing to notify the regulator of a change to any information in an application to use prohibited or restricted carcinogens. The maximum penalties are $18,000 for an organisation and $3,600 for an individual (reg 385). The same maximum penalties apply for failing to provide a worker with a written statement of carcinogen exposure at the conclusion of his or her engagement (reg 387), and for failing to keep proper records of authorisations and workers&amp;rsquo; exposure for 30 years (reg 388).&lt;/p&gt;</x:v>
      </x:c>
      <x:c r="O132" s="6" t="n">
        <x:f>=HYPERLINK("#O132","Consequence")</x:f>
      </x:c>
      <x:c r="P132" s="6" t="str">
        <x:v>&lt;p&gt;&lt;a href="https://www.legislation.gov.au/Details/C2011A00137" target="_blank" &gt;Work Health and Safety Act 2011 (Cth)&lt;/a&gt; ss 42&amp;ndash;43, 45 (see also corresponding Acts in ACT, NSW, NT, QLD, SA and TAS)&lt;/p&gt;&lt;p&gt;&lt;a href="https://www.legislation.gov.au/Details/F2011L02664" target="_blank" &gt;Work Health and Safety Regulations 2011 (Cth)&lt;/a&gt; regs 340, 380&amp;ndash;388, 676, Schedule 10 (see also corresponding regulations in NSW, NT, QLD, SA and TAS)&lt;/p&gt;&lt;p&gt;Managing Risks of Hazardous Chemicals in the Workplace Code of Practice&amp;mdash;July 2012&lt;/p&gt;&lt;p&gt;Abrasive Blasting Code of Practice&amp;mdash;October 2012&lt;/p&gt;&lt;p&gt;Spray Painting and Powder Coating Code of Practice&amp;mdash;March 2015&lt;/p&gt;</x:v>
      </x:c>
      <x:c r="Q132" s="6" t="n">
        <x:f>=HYPERLINK("#Q132","Source")</x:f>
      </x:c>
      <x:c r="R132"/>
      <x:c r="S132"/>
      <x:c r="T132"/>
    </x:row>
    <x:row r="133" spans="1:20" ht="15.75" x14ac:dyDescent="0.25">
      <x:c r="A133" t="n">
        <x:v>11660</x:v>
      </x:c>
      <x:c r="B133" t="str">
        <x:v>NSW,NT,QLD,SA,TAS,COMMONWEALTH</x:v>
      </x:c>
      <x:c r="C133" t="inlineStr">
        <x:is>
          <x:t xml:space="preserve">  Subobligation</x:t>
        </x:is>
      </x:c>
      <x:c r="D133" t="inlineStr">
        <x:is>
          <x:t xml:space="preserve">  Pipelines</x:t>
        </x:is>
      </x:c>
      <x:c r="E133" s="31" t="n">
        <x:v>16.15</x:v>
      </x:c>
      <x:c r="F133" s="8" t="n">
        <x:f>=HYPERLINK("#Obligation()","Workplace Management—Hazardous Chemicals")</x:f>
      </x:c>
      <x:c r="G133" s="8" t="n">
        <x:f>=HYPERLINK("#SubObligation()","Pipelines")</x:f>
      </x:c>
      <x:c r="H133" s="6" t="n">
        <x:f>=HYPERLINK("#H133","Tools")</x:f>
      </x:c>
      <x:c r="I133" s="27" t="str">
        <x:v>&lt;b&gt;&lt;p&gt;Pipelines&lt;/p&gt;Do pipeline owners, builders and operators effectively manage the risks associated with the movement of hazardous chemicals through pipelines?&lt;/b&gt;</x:v>
      </x:c>
      <x:c r="J133" s="6" t="str">
        <x:v>&lt;p&gt;Owners, builders and operators of pipelines have a duty to manage the risks associated with the movement of hazardous chemicals through the pipelines.&lt;/p&gt;&lt;p&gt;An owner of a pipeline used to transfer hazardous chemicals has a duty to manage all risks associated with transferring the chemicals through the pipeline. The owner also needs to ensure, so far as is reasonably practicable, that any activity, structure, equipment or substance that is not part of the pipeline does not affect the pipeline or chemicals in a way that increases risk.&lt;/p&gt;&lt;p&gt;If a builder intends to build a pipeline that crosses into a public place and is to transfer a hazardous chemical listed in Schedule 11 of the harmonised Work Health and Safety (WHS) Regulations, the builder must inform the regulator of:&lt;/p&gt;&lt;ul&gt;&lt;li&gt;the name of the pipeline&amp;rsquo;s intended owner and operator&lt;/li&gt;&lt;li&gt;the pipeline&amp;rsquo;s specifications&lt;/li&gt;&lt;li&gt;the intended procedures for the operation, maintenance, renewal and relaying of the pipeline&lt;/li&gt;&lt;li&gt;any public place that the pipeline will cross&lt;/li&gt;&lt;li&gt;the intended emergency response procedures.&lt;/li&gt;&lt;/ul&gt;&lt;p&gt;The builder needs to give this information to the regulator as applicable:&lt;/p&gt;&lt;ul&gt;&lt;li&gt;before the pipeline is commissioned&lt;/li&gt;&lt;li&gt;before the pipeline is likely to contain a hazardous chemical&lt;/li&gt;&lt;li&gt;whenever there are any changes to information provided previously to the regulator&lt;/li&gt;&lt;li&gt;before the pipeline is to be repaired&lt;/li&gt;&lt;li&gt;whenever the pipeline is removed, decommissioned, closed or abandoned.&lt;/li&gt;&lt;/ul&gt;&lt;p&gt;An organisation that operates a pipeline that transfers hazardous chemicals must manage associated risks to health and safety. It must specifically ensure, so far as is reasonably practicable, that the hazardous chemical is identified by a label, a sign or some other means on or near the pipeline. If the pipeline is transferring a hazardous chemical listed in Schedule 11 into a public place, the operator must notify the regulator of:&lt;/p&gt;&lt;ul&gt;&lt;li&gt;the supplier of the hazardous chemical&lt;/li&gt;&lt;li&gt;the receiver of the hazardous chemical&lt;/li&gt;&lt;li&gt;the correct classification of the hazardous chemical.&lt;/li&gt;&lt;/ul&gt;&lt;p&gt;The pipeline provisions in the WHS Regulations do not apply if a pipeline is regulated under another law of the relevant state or territory. The organisation should check the WHS Regulations in the applicable state or territory for any transitional arrangements that apply to pipelines (e.g. a builder&amp;rsquo;s duties in relation to an existing pipeline).&lt;/p&gt;&lt;p&gt;The harmonised WHS Regulations require the pipeline operator to manage the risks associated with the transfer of hazardous chemicals in the pipeline in accordance with the risk management process outlined in Part 3.1 of the regulations, including identifying the risks that might arise as part of the transfer of hazardous chemicals through the pipe. The organisation is then required to eliminate the risks so far as is reasonably practicable. If it is not reasonably practicable to eliminate the risks, the organisation must do what is reasonably practicable to minimise them, having regard to the general hierarchy of controls and any particular control measures specified elsewhere in the regulations that might apply (for example, in relation to construction of the pipeline or the general requirements associated with handling hazardous chemicals).&lt;/p&gt;&lt;p&gt;In summary, the risk management process will require the organisation to undertake the following steps:&lt;/p&gt;&lt;ol&gt;&lt;li&gt;identify hazards associated with the movement of hazard chemicals in the pipeline&lt;/li&gt;&lt;li&gt;assess the risks that arise from those hazards&lt;/li&gt;&lt;li&gt;implement control measures to eliminate or minimise the risks&lt;/li&gt;&lt;li&gt;maintain the control measures to ensure their ongoing effectiveness&lt;/li&gt;&lt;li&gt;regularly review the control measures.&lt;/li&gt;&lt;/ol&gt;&lt;p&gt;As part of the risk management process, the pipeline operator should develop emergency procedures to be implemented in the event of an incident involving the pipeline. In developing an emergency plan, the operator should liaise with the primary emergency service organisation, the pipeline builder and the relevant public authorities.&lt;/p&gt;&lt;p&gt;Builders and operators of pipelines should have a process for providing the required information to the regulator if a pipeline transfers (or will transfer) Schedule 11 hazardous chemicals into a public space. The chemicals listed in Schedule 11 of the WHS Regulations are:&lt;/p&gt;&lt;ul&gt;&lt;li&gt;flammable gases&lt;/li&gt;&lt;li&gt;gases under pressure&lt;/li&gt;&lt;li&gt;flammable liquids&lt;/li&gt;&lt;li&gt;self-reactive substances&lt;/li&gt;&lt;li&gt;flammable solids&lt;/li&gt;&lt;li&gt;pyrophoric liquids and solids&lt;/li&gt;&lt;li&gt;self-heating substances and mixtures&lt;/li&gt;&lt;li&gt;substances which in contact with water emit flammable gases&lt;/li&gt;&lt;li&gt;oxidising liquids and solids&lt;/li&gt;&lt;li&gt;organic peroxides&lt;/li&gt;&lt;li&gt;chemicals with acute toxicity&lt;/li&gt;&lt;li&gt;chemicals causing skin corrosion&lt;/li&gt;&lt;li&gt;chemicals that are corrosive to metals&lt;/li&gt;&lt;li&gt;unstable corrosives&lt;/li&gt;&lt;li&gt;unstable chemicals.&lt;/li&gt;&lt;/ul&gt;&lt;p&gt;When indicating the type of hazardous chemicals in a pipeline, the operator should use methods such as putting up signs adjacent to the pipeline, drawing markings on the pipeline (like colour coding), or displaying schematic layouts prominently.&lt;/p&gt;&lt;p&gt;Further guidance on risk management and labelling pipelines, see Tools - Model code of practice - Labelling of workplace hazardous chemicals, March 2015 (Safe Work Australia) and Model code of practice - Managing risks of hazardous chemicals in the workplace, July 2012 (Safe Work Australia).&lt;/p&gt;</x:v>
      </x:c>
      <x:c r="K133" s="6" t="n">
        <x:f>=HYPERLINK("#K133","Guidance Notes")</x:f>
      </x:c>
      <x:c r="L133" s="6" t="str">
        <x:v>&lt;p&gt;Put in place procedures and resources to ensure compliance with requirements to manage risks associated with the movement of hazardous chemicals through pipelines.&lt;/p&gt;</x:v>
      </x:c>
      <x:c r="M133" s="6" t="n">
        <x:f>=HYPERLINK("#M133","Remediation")</x:f>
      </x:c>
      <x:c r="N133" s="6" t="str">
        <x:v>&lt;p&gt;For an owner of a pipeline, the maximum penalties for failing to manage risks associated with the transfer of hazardous chemicals through the pipeline are $30,000 for an organisation and $6,000 for an individual (reg 389). The same maximum penalties apply to an owner who fails to ensure that any associated activity, structure, equipment or substance that is not part of the pipeline does not affect the chemical or pipeline in a way that increases risk (reg 389).&lt;/p&gt;&lt;p&gt;For a pipeline builder, the maximum penalties for failing to give all relevant information to the regulator at the necessary times are $6,000 for an organisation and $1,250 for an individual (reg&amp;nbsp;390).&lt;/p&gt;&lt;p&gt;For a pipeline operator, the maximum penalties for failing to identify a hazardous chemical with a label of sign on or near the pipeline are $30,000 for an organisation and $6,000 for an individual (reg&amp;nbsp;391). If the operator fails to provide the necessary information to the regulator, the maximum penalties are $6,000 for an organisation and $1,250 for an individual (reg 391).&lt;/p&gt;</x:v>
      </x:c>
      <x:c r="O133" s="6" t="n">
        <x:f>=HYPERLINK("#O133","Consequence")</x:f>
      </x:c>
      <x:c r="P133" s="6" t="str">
        <x:v>&lt;p&gt;&lt;a href="https://www.legislation.gov.au/Details/F2011L02664" target="_blank" &gt;Work Health and Safety Regulations 2011 (Cth)&lt;/a&gt; regs 389&amp;ndash;391, Schedule 11 (see also corresponding regulations in NSW, NT, QLD, SA and TAS)&lt;/p&gt;&lt;p&gt;Managing Risks of Hazardous Chemicals in the Workplace Code of Practice&amp;mdash;July 2012&lt;/p&gt;&lt;p&gt;Labelling of Workplace Hazardous Chemicals Code of Practice&amp;mdash;March 2015&lt;/p&gt;&lt;p&gt;AS 1345&amp;ndash;1995 Identification of the Contents of Pipes, Conduits and Ducts&lt;/p&gt;</x:v>
      </x:c>
      <x:c r="Q133" s="6" t="n">
        <x:f>=HYPERLINK("#Q133","Source")</x:f>
      </x:c>
      <x:c r="R133"/>
      <x:c r="S133"/>
      <x:c r="T133"/>
    </x:row>
    <x:row r="134" spans="1:20" ht="15.75" x14ac:dyDescent="0.25">
      <x:c r="A134" t="n">
        <x:v>11666</x:v>
      </x:c>
      <x:c r="B134" t="str">
        <x:v>NSW,NT,QLD,SA,TAS,COMMONWEALTH</x:v>
      </x:c>
      <x:c r="C134" t="inlineStr">
        <x:is>
          <x:t xml:space="preserve">  Subobligation</x:t>
        </x:is>
      </x:c>
      <x:c r="D134" t="inlineStr">
        <x:is>
          <x:t xml:space="preserve">  Managing the Risks of Lead Exposure</x:t>
        </x:is>
      </x:c>
      <x:c r="E134" s="31" t="n">
        <x:v>16.16</x:v>
      </x:c>
      <x:c r="F134" s="8" t="n">
        <x:f>=HYPERLINK("#Obligation()","Workplace Management—Hazardous Chemicals")</x:f>
      </x:c>
      <x:c r="G134" s="8" t="n">
        <x:f>=HYPERLINK("#SubObligation()","Managing the Risks of Lead Exposure")</x:f>
      </x:c>
      <x:c r="H134" s="6" t="n">
        <x:f>=HYPERLINK("#H134","Tools")</x:f>
      </x:c>
      <x:c r="I134" s="27" t="str">
        <x:v>&lt;b&gt;&lt;p&gt;Managing the Risks of Lead Exposure&lt;/p&gt;Does the organisation have a structured, documented and effective process for managing the risks of lead exposure at work?&lt;/b&gt;</x:v>
      </x:c>
      <x:c r="J134" s="6" t="str">
        <x:v>&lt;p&gt;Lead is a hazardous substance that can create health and safety risks when lead processes are carried out at the workplace. The harmonised Work Health and Safety (WHS) Regulations list numerous work processes that are classified as &amp;lsquo;lead processes&amp;rsquo; (see regulation 392) and which are subject to mandatory risk control measures. These control measures apply in addition to the requirements for dealing with hazardous chemicals in Part 7.1 of the regulations.&lt;/p&gt;&lt;p&gt;The regulator has the power to decide that a process not listed in regulation 392 is a lead process if the process creates a risk to the health of a worker, taking into account blood lead levels of workers or airborne lead levels at the workplace. If the regulator decides that a process is a lead process, it must give the organisation written notice within 14 days of making the decision. The organisation can seek a review of the regulator&amp;rsquo;s decision.&lt;/p&gt;&lt;p&gt;An organisation must ensure that all work causing contamination by lead is confined to a lead process area. The organisation must ensure, so far as is reasonably practicable, that this area is kept clean, and that cleaning methods do not create a risk to people&amp;rsquo;s health in the immediate vicinity of the area and do not have the potential to spread the contamination of lead. The organisation must also take reasonable steps to ensure that no eating, drinking, chewing gum, smoking or carrying of materials for smoking occurs in the area. The organisation must provide workers with an eating and drinking area that, so far as is reasonably practicable, cannot be contaminated with lead from a lead process.&lt;/p&gt;&lt;p&gt;An organisation must provide and maintain in good working order changing rooms and washing, showering and toilet facilities at the workplace so as to:&lt;/p&gt;&lt;ul type="disc"&gt;&lt;li&gt;minimise secondary lead exposure from contaminated clothing&lt;/li&gt;&lt;li&gt;minimise ingestion of lead&lt;/li&gt;&lt;li&gt;avoid the spread of lead contamination.&lt;/li&gt;&lt;/ul&gt;&lt;p&gt;The organisation must ensure, so far as is reasonably practicable, that workers remove any clothing or equipment that is likely to be contaminated with lead, and wash their hands and faces, before entering an eating or drinking area at the workplace.&lt;/p&gt;&lt;p&gt;At the completion of the lead process work, any personal protective equipment that is likely to be contaminated with lead dust must be sealed in a container before being removed from the lead process area and disposed of at a site equipped to accept lead-contaminated equipment. If it is not reasonably practicable to dispose of the personal protective equipment in this way, then the organisation must comply with the following rules as applicable:&lt;/p&gt;&lt;ul type="disc"&gt;&lt;li&gt;If the equipment is clothing, it must be laundered at a laundry, whether on-site or off-site, equipped to launder lead-contaminated clothing, or if this is not reasonably practicable, the clothing must be kept in a sealed container for reuse in lead process work.&lt;/li&gt;&lt;li&gt;If the equipment is not clothing, it must be decontaminated before it is removed from the lead process area, or if this is not reasonably practicable, it must be kept in a sealed container for reuse in lead process work.&lt;/li&gt;&lt;/ul&gt;&lt;p&gt;An organisation must take all reasonable steps to ensure that clothing contaminated with lead dust is not removed from the workplace unless it is to be laundered or disposed of (as described above).&lt;/p&gt;&lt;p&gt;A sealed container that is used for contaminated personal protective equipment must be labelled to indicate the presence of lead, and it must also be decontaminated before being removed from the lead process area.&lt;/p&gt;&lt;p&gt;The organisation must review its risk control measures for lead exposure, and revise them as necessary, at least every 5 years. A review is also mandatory if:&lt;/p&gt;&lt;ul type="disc"&gt;&lt;li&gt;a worker is removed from carrying out lead-risk work at the workplace in accordance with the regulations&lt;/li&gt;&lt;li&gt;a health monitoring report:&lt;p&gt;- indicates an excessive blood lead level for a worker&lt;/p&gt;&lt;p&gt;- contains any advice that test results indicate that the worker may have contracted a disease, injury or illness as a result of carrying out the lead-risk work&lt;/p&gt;&lt;p&gt;- recommends that the organisation take remedial action&lt;/p&gt;&lt;/li&gt;&lt;li&gt;a control measure is found to be ineffective&lt;/li&gt;&lt;li&gt;before a change at the workplace that is likely to give rise to a new or different health risk&lt;/li&gt;&lt;li&gt;a new relevant hazard or risk is identified&lt;/li&gt;&lt;li&gt;the result of consultations indicate that a review is necessary&lt;/li&gt;&lt;li&gt;a health and safety representative requests a review because they believe that members of their work group may be adversely affected by one of the circumstances above (where the organisation has not adequately reviewed a control measure)&lt;/li&gt;&lt;li&gt;the regulator requires a review.&lt;/li&gt;&lt;/ul&gt;&lt;p&gt;The WHS Regulations restrict the use of lead as an abrasive material in an abrasive blasting process. An organisation must not use lead at a concentration of greater than 0.1% as lead or at a concentration that would expose the operator to levels in excess of those set in the regulations covering lead. In addition, lead carbonate must not be used, handled or stored for spray painting.&lt;/p&gt;&lt;p&gt;The organisation should ensure that it has effective procedures for implementing and monitoring the mandatory risk control measures for managing lead exposure risks arising from lead processes as outlined in the WHS Regulations. It must make sure that relevant workers receive information, training and instruction about the control measures for eliminating or minimising the risks of lead exposure at the workplace. The organisation should also consult with workers about the implementation of the control measures and the effectiveness of the measures.&lt;/p&gt;&lt;p&gt;An organisation will sometimes share responsibility for managing the risks of lead exposure with other duty holders who are involved in the same work activities or share the same workplace. The organisation should consult, cooperate and coordinate with other duty holders to eliminate or minimise risks associated with lead processes, so far as is reasonably practicable.&lt;/p&gt;&lt;p&gt;The organisation should ensure that relevant managers and supervisors are aware of the triggers for a mandatory review of risk control measures for lead exposure, and of the requirement to conduct a review at least every 5 years. The organisation should document its review and any necessary changes to control measures to demonstrate compliance with work health and safety laws and to inform subsequent reviews.&lt;/p&gt;&lt;p&gt;Further information on the risk management process, see Tools &amp;shy;&amp;mdash; Managing Risks of Hazardous Chemicals in the Workplace Code of Practice, July 2012 (Safe Work Australia).&lt;/p&gt;</x:v>
      </x:c>
      <x:c r="K134" s="6" t="n">
        <x:f>=HYPERLINK("#K134","Guidance Notes")</x:f>
      </x:c>
      <x:c r="L134" s="6" t="str">
        <x:v>&lt;p&gt;Put in place a documented and effective process for managing the risks of lead exposure at work.&lt;/p&gt;</x:v>
      </x:c>
      <x:c r="M134" s="6" t="n">
        <x:f>=HYPERLINK("#M134","Remediation")</x:f>
      </x:c>
      <x:c r="N134" s="6" t="str">
        <x:v>&lt;p&gt;The harmonised WHS Regulations impose a range of penalties for breaching requirements applicable to lead processes. Maximum penalties of $30,000 (for an organisation) and $6,000 (for an individual) apply for failing to:&lt;/p&gt;&lt;ul&gt;&lt;li&gt;contain lead contamination to a lead process area (reg 396)&lt;/li&gt;&lt;li&gt;keep the lead process area clean and safe (reg 397)&lt;/li&gt;&lt;li&gt;prohibit workers from eating, drinking or smoking in the lead process area (reg 398)&lt;/li&gt;&lt;li&gt;provide workers with an eating and drinking area that cannot be contaminated with lead from a lead process (reg 398)&lt;/li&gt;&lt;li&gt;provide workers with adequate changing, washing, showering and toilet facilities (reg 399)&lt;/li&gt;&lt;li&gt;ensure that workers remove any clothing or equipment contaminated with lead before entering an eating or drinking area at the workplace (reg 399)&lt;/li&gt;&lt;li&gt;ensure laundering, disposal and removal of personal protective equipment in accordance with the regulations (reg 400).&lt;/li&gt;&lt;/ul&gt;&lt;p&gt;The maximum penalties for failing to review and, as necessary, revise risk control measures for lead exposure when required are $18,000 for an organisation and $3,600 for an individual (reg 401).&lt;/p&gt;</x:v>
      </x:c>
      <x:c r="O134" s="6" t="n">
        <x:f>=HYPERLINK("#O134","Consequence")</x:f>
      </x:c>
      <x:c r="P134" s="6" t="str">
        <x:v>&lt;p&gt;&lt;a href="https://www.legislation.gov.au/Details/F2011L02664" target="_blank" &gt;Work Health and Safety Regulations 2011 (Cth)&lt;/a&gt; regs 392&amp;ndash;401, 676, Schedule 10 (see also corresponding regulations in NSW, NT, QLD, SA and TAS)&lt;/p&gt;&lt;p&gt;Managing Risks of Hazardous Chemicals in the Workplace Code of Practice&amp;mdash;July 2012&lt;/p&gt;&lt;p&gt;Abrasive Blasting Code of Practice&amp;mdash;October 2012&lt;/p&gt;&lt;p&gt;Spray Painting and Powder Coating Code of Practice&amp;mdash;March 2015&lt;/p&gt;&lt;p&gt;Welding Processes Code of Practice&amp;mdash;July 2012&lt;/p&gt;</x:v>
      </x:c>
      <x:c r="Q134" s="6" t="n">
        <x:f>=HYPERLINK("#Q134","Source")</x:f>
      </x:c>
      <x:c r="R134"/>
      <x:c r="S134"/>
      <x:c r="T134"/>
    </x:row>
    <x:row r="135" spans="1:20" ht="15.75" x14ac:dyDescent="0.25">
      <x:c r="A135" t="n">
        <x:v>11674</x:v>
      </x:c>
      <x:c r="B135" t="str">
        <x:v>NSW,NT,QLD,SA,TAS,COMMONWEALTH</x:v>
      </x:c>
      <x:c r="C135" t="inlineStr">
        <x:is>
          <x:t xml:space="preserve">  Subobligation</x:t>
        </x:is>
      </x:c>
      <x:c r="D135" t="inlineStr">
        <x:is>
          <x:t xml:space="preserve">  Lead-Risk Work</x:t>
        </x:is>
      </x:c>
      <x:c r="E135" s="31" t="n">
        <x:v>16.17</x:v>
      </x:c>
      <x:c r="F135" s="8" t="n">
        <x:f>=HYPERLINK("#Obligation()","Workplace Management—Hazardous Chemicals")</x:f>
      </x:c>
      <x:c r="G135" s="8" t="n">
        <x:f>=HYPERLINK("#SubObligation()","Lead-Risk Work")</x:f>
      </x:c>
      <x:c r="H135" s="6" t="n">
        <x:f>=HYPERLINK("#H135","Tools")</x:f>
      </x:c>
      <x:c r="I135" s="27" t="str">
        <x:v>&lt;b&gt;&lt;p&gt;Lead-Risk Work&lt;/p&gt;Does the organisation determine whether lead-risk work is being carried out at the workplace and notify the regulator of any identified lead-risk work?&lt;/b&gt;</x:v>
      </x:c>
      <x:c r="J135" s="6" t="str">
        <x:v>&lt;p&gt;The harmonised Work Health and Safety (WHS) Regulations define &amp;lsquo;lead-risk work&amp;rsquo; as work carried out in a lead process that is likely to cause the blood lead level of a worker carrying out the work to exceed:&lt;/p&gt;&lt;ul&gt;&lt;li&gt;10 μg/dL (0.48 μmol/L) for a female of reproductive capacity&lt;/li&gt;&lt;li&gt;30 μg/dL (1.45 μmol/L) for all others.&lt;/li&gt;&lt;/ul&gt;&lt;p&gt;An organisation must assess each lead process to determine if lead-risk work is being carried out as part of the process. In doing so, it should consider:&lt;/p&gt;&lt;ul&gt;&lt;li&gt;past biological monitoring results of workers&lt;/li&gt;&lt;li&gt;airborne lead levels&lt;/li&gt;&lt;li&gt;the form of lead used&lt;/li&gt;&lt;li&gt;the tasks and processes to be undertaken with the lead&lt;/li&gt;&lt;li&gt;the duration and frequency of exposure to the lead&lt;/li&gt;&lt;li&gt;possible routes of exposure to lead&lt;/li&gt;&lt;li&gt;any information about incidents, illnesses or diseases relating to use of lead at the workplace.&lt;/li&gt;&lt;/ul&gt;&lt;p&gt;The organisation should not take into account the use of personal protective equipment when assessing whether a lead process involves lead-risk work.&lt;/p&gt;&lt;p&gt;If the organisation is unable to determine whether lead-risk work is being carried out, it must assume that lead-risk work is being carried out until it determines otherwise.&lt;/p&gt;&lt;p&gt;An organisation must notify the regulator in writing within 7 days of determining that lead-risk work is being carried out (although an emergency services organisation must give notice as soon as practicable after determining that work associated with rescuing or providing first aid to a person is lead-risk work). The organisation must advise the regulator of any changes to the notice before the change occurs or as soon as practicable after becoming aware of the change. The organisation must keep a copy of the original notice, and any notice of a change in information, for the duration of the lead-risk work, and ensure that a notice is readily accessible both to workers who are likely to be exposed to lead, and to their health and safety representative.&lt;/p&gt;&lt;p&gt;The organisation should develop a reliable methodology for assessing whether lead-risk work (as defined by the WHS Regulations) is carried out as part of a lead process. It should have a procedure for promptly notifying the regulator of any lead-risk work.&lt;/p&gt;&lt;p&gt;The organisation should also have a process for ongoing monitoring of lead-risk work to ensure that it can notify the regulator in a timely way of any changes to information previously provided about the work.&lt;/p&gt;&lt;p&gt;The organisation should ensure that its human resource processes include procedures for providing the required information to both current and prospective workers about lead processes and lead-risk work, including information about health monitoring.&lt;/p&gt;</x:v>
      </x:c>
      <x:c r="K135" s="6" t="n">
        <x:f>=HYPERLINK("#K135","Guidance Notes")</x:f>
      </x:c>
      <x:c r="L135" s="6" t="str">
        <x:v>&lt;p&gt;Put in place documented and effective processes to determine whether lead-risk work is being carried out at the workplace, notify the regulator of any identified lead-risk work, and make available prescribed information to affected workers.&lt;/p&gt;</x:v>
      </x:c>
      <x:c r="M135" s="6" t="n">
        <x:f>=HYPERLINK("#M135","Remediation")</x:f>
      </x:c>
      <x:c r="N135" s="6" t="str">
        <x:v>&lt;p&gt;Failing to assess a lead process to determine whether lead-risk work is being carried out attracts maximum penalties of $30,000 for an organisation and $6,000 for an individual (reg 402).&lt;/p&gt;&lt;p&gt;The maximum penalties for failing to notify the regulator of lead-risk work in the required timeframe are $18,000 for an organisation and $3,600 for an individual (reg 403).&lt;/p&gt;&lt;p&gt;The maximum penalties for failing to notify the regulator of a change to information in a notice of lead-risk work are $6,000 for an organisation and $1,250 for an individual (reg 404). The same penalties apply for failing to keep a copy of a notice of lead-risk work and failing to make it readily accessible to relevant workers and their health and safety representative (reg 404).&lt;/p&gt;</x:v>
      </x:c>
      <x:c r="O135" s="6" t="n">
        <x:f>=HYPERLINK("#O135","Consequence")</x:f>
      </x:c>
      <x:c r="P135" s="6" t="str">
        <x:v>&lt;p&gt;&lt;a href="https://www.legislation.gov.au/Details/F2011L02664" target="_blank" &gt;Work Health and Safety Regulations 2011 (Cth)&lt;/a&gt; regs 394&amp;ndash;395, 401&amp;ndash;404 (see also corresponding regulations in NSW, NT, QLD, SA and TAS)&lt;/p&gt;&lt;p&gt;Managing Risks of Hazardous Chemicals in the Workplace Code of Practice&amp;mdash;July 2012&lt;/p&gt;&lt;p&gt;Abrasive Blasting Code of Practice&amp;mdash;October 2012&lt;/p&gt;&lt;p&gt;Spray Painting and Powder Coating Code of Practice&amp;mdash;March 2015&lt;/p&gt;&lt;p&gt;Welding Processes Code of Practice&amp;mdash;July 2012&lt;/p&gt;</x:v>
      </x:c>
      <x:c r="Q135" s="6" t="n">
        <x:f>=HYPERLINK("#Q135","Source")</x:f>
      </x:c>
      <x:c r="R135"/>
      <x:c r="S135"/>
      <x:c r="T135"/>
    </x:row>
    <x:row r="136" spans="1:20" ht="15.75" x14ac:dyDescent="0.25">
      <x:c r="A136" t="n">
        <x:v>11687</x:v>
      </x:c>
      <x:c r="B136" t="str">
        <x:v>NSW,NT,QLD,SA,TAS,COMMONWEALTH</x:v>
      </x:c>
      <x:c r="C136" t="inlineStr">
        <x:is>
          <x:t xml:space="preserve">  Subobligation</x:t>
        </x:is>
      </x:c>
      <x:c r="D136" t="inlineStr">
        <x:is>
          <x:t xml:space="preserve">  Health Monitoring for Workers Involved in Lead-Risk Work</x:t>
        </x:is>
      </x:c>
      <x:c r="E136" s="31" t="n">
        <x:v>16.18</x:v>
      </x:c>
      <x:c r="F136" s="8" t="n">
        <x:f>=HYPERLINK("#Obligation()","Workplace Management—Hazardous Chemicals")</x:f>
      </x:c>
      <x:c r="G136" s="8" t="n">
        <x:f>=HYPERLINK("#SubObligation()","Health Monitoring for Workers Involved in Lead-Risk Work")</x:f>
      </x:c>
      <x:c r="H136" s="6" t="n">
        <x:f>=HYPERLINK("#H136","Tools")</x:f>
      </x:c>
      <x:c r="I136" s="27" t="str">
        <x:v>&lt;b&gt;&lt;p&gt;Health Monitoring for Workers Involved in Lead-Risk Work&lt;/p&gt;Does the organisation provide health monitoring to workers involved in lead-risk work?&lt;/b&gt;</x:v>
      </x:c>
      <x:c r="J136" s="6" t="str">
        <x:v>&lt;p&gt;Due to the potential health implications for workers involved in lead-risk work, an organisation must provide health monitoring to workers who carry out this work. Lead-risk work is any work that is carried out in a prescribed lead process and is likely to cause a worker&amp;rsquo;s blood lead level to exceed:&lt;/p&gt;&lt;ul type="disc"&gt;&lt;li&gt;10 μg/dL (0.48 μmol/L) for a female of reproductive capacity&lt;/li&gt;&lt;li&gt;30 μg/dL (1.45 μmol/L) for all others.&lt;/li&gt;&lt;/ul&gt;&lt;p&gt;An organisation must ensure that health monitoring is provided to a worker:&lt;/p&gt;&lt;ul type="disc"&gt;&lt;li&gt;before he or she begins lead-risk work, and&lt;/li&gt;&lt;li&gt;1&amp;nbsp;month after he or she has commenced the lead-risk work.&lt;/li&gt;&lt;/ul&gt;&lt;p&gt;If the work is identified as lead-risk work after the worker has started the work, then the organisation will have to provide health monitoring as soon as possible after it is identified, and then 1&amp;nbsp;month after the monitoring is initially provided to each worker.&lt;/p&gt;&lt;p&gt;The health monitoring must include a demographic, medical and occupational history of the worker, as well as a physical exam and biological monitoring. However, if an equal or better type of monitoring is available and is recommended by an experienced registered medical practitioner, then that type of monitoring may be used.&lt;/p&gt;&lt;p&gt;An organisation must arrange for biological monitoring of female workers of reproductive capacity at the following times:&lt;/p&gt;&lt;ul type="disc"&gt;&lt;li&gt;if the last monitoring showed a blood lead level of less than 10&amp;nbsp;μg/dL (0.48&amp;nbsp;μmol/L), then 3&amp;nbsp;months after the last biological monitoring of the worker&lt;/li&gt;&lt;li&gt;if the last monitoring showed a blood lead level of 10&amp;nbsp;μg/dL (0.48&amp;nbsp;μmol/L) or more, then 6&amp;nbsp;weeks after the last biological monitoring of the worker.&lt;/li&gt;&lt;/ul&gt;&lt;p&gt;An organisation must arrange for biological monitoring of all other workers at the following times:&lt;/p&gt;&lt;ul type="disc"&gt;&lt;li&gt;if the last monitoring showed a blood lead level of less than 30&amp;nbsp;μg/dL (1.45&amp;nbsp;μmol/L), then 6&amp;nbsp;months after the last biological monitoring of the worker&lt;/li&gt;&lt;li&gt;if the last monitoring showed a blood lead level of 30&amp;nbsp;μg/dL (1.45&amp;nbsp;μmol/L) or more but less than 40&amp;nbsp;μg/dL (1.93&amp;nbsp;μmol/L), then 3&amp;nbsp;months after the last biological monitoring of the worker&lt;/li&gt;&lt;li&gt;if the last monitoring showed a blood lead level of 40&amp;nbsp;μg/dL (1.93&amp;nbsp;μmol/L) or more, then 6&amp;nbsp;weeks after the last biological monitoring of the worker.&lt;/li&gt;&lt;/ul&gt;&lt;p&gt;If a worker&amp;rsquo;s activity changes so that the nature of the worker&amp;rsquo;s lead exposure significantly changes, or the frequency or duration of exposure increases, then the organisation must increase the frequency of biological monitoring. However, the regulator may determine that a different monitoring frequency be implemented, which the organisation must follow. The regulator must give the organisation written notice about the different frequency of monitoring within 14 days of making its determination, and the organisation can seek a review of the regulator&amp;rsquo;s decision.&lt;/p&gt;&lt;p&gt;An organisation needs to ensure that health monitoring is carried out under the supervision of a registered medical practitioner with relevant experience. The organisation will need to consult with the worker on the selection of the practitioner and must also cover all related costs. If two or more organisations have a duty to provide health monitoring for a worker and have arranged for one of them to commission the monitoring, the costs must be apportioned equally between each of those organisations unless they agree otherwise.&lt;/p&gt;&lt;p&gt;An organisation must take all reasonable steps to obtain a health monitoring report from the medical practitioner as soon as possible after the monitoring has occurred. The report must include:&lt;/p&gt;&lt;ul type="disc"&gt;&lt;li&gt;the name and date of birth of the worker&lt;/li&gt;&lt;li&gt;the name and registration number of the medical practitioner&lt;/li&gt;&lt;li&gt;the name and address of the organisation that commissioned the monitoring&lt;/li&gt;&lt;li&gt;the date of the monitoring&lt;/li&gt;&lt;li&gt;the date of the blood sample (if taken)&lt;/li&gt;&lt;li&gt;the results of biological monitoring that indicate blood lead levels in the worker&amp;rsquo;s body&lt;/li&gt;&lt;li&gt;the name of the pathology service used to carry out the tests&lt;/li&gt;&lt;li&gt;any test results that indicate whether or not the worker has been exposed to a hazardous chemical&lt;/li&gt;&lt;li&gt;any advice that the results indicate that the worker has reached or exceeded the prescribed blood lead level at which the worker must be removed from lead-risk work&lt;/li&gt;&lt;li&gt;any advice that the results indicate that the worker may have contracted a disease, injury or illness from carrying out the lead-risk work that triggered the need for health monitoring&lt;/li&gt;&lt;li&gt;any recommendation that the organisation take remedial measures, including whether the worker can continue with the work that triggered the need for health monitoring&lt;/li&gt;&lt;li&gt;whether medical counselling is required for the worker.&lt;/li&gt;&lt;/ul&gt;&lt;p&gt;The organisation must give a copy of the report to the worker, and to any other organisation that has a responsibility to provide health monitoring for the worker, as soon as practicable. The organisation also has a duty to give the regulator a copy of the report as soon as practicable if the report contains:&lt;/p&gt;&lt;ul type="disc"&gt;&lt;li&gt;any advice that the results indicate that the worker has reached or exceeded the prescribed blood lead level at which the worker must be removed from lead-risk work&lt;/li&gt;&lt;li&gt;any advice that the results indicate that the worker may have contracted a disease, injury or illness&lt;/li&gt;&lt;li&gt;any recommendation that the organisation take remedial measures.&lt;/li&gt;&lt;/ul&gt;&lt;p&gt;An organisation must remove a worker from lead-risk work if health monitoring indicates that the worker&amp;rsquo;s blood lead levels are more than:&lt;/p&gt;&lt;ul type="disc"&gt;&lt;li&gt;15 μg/dL (0.72 μmol/L) for females who are pregnant or breastfeeding&lt;/li&gt;&lt;li&gt;20 μg/dL (0.97 μmol/L) for females of reproductive capacity&lt;/li&gt;&lt;li&gt;50 μg/dL (2.42 μmol/L) for all others.&lt;/li&gt;&lt;/ul&gt;&lt;p&gt;The organisation must also remove the worker if the medical practitioner recommends it, or, due to a failure of a risk control measure, the worker&amp;rsquo;s blood lead level is likely to reach the levels listed directly above. The organisation must notify the regulator as soon as practicable after the worker is removed from lead-risk work.&lt;/p&gt;&lt;p&gt;If an organisation removes a worker from lead-risk work, it must arrange for a registered medical practitioner to examine the worker within 7 days of the removal. The organisation must consult the worker on the selection of the practitioner. If the worker is later to return to the lead-risk work, the organisation will need to arrange for a registered medical practitioner to conduct health monitoring (at a frequency determined by the practitioner) to determine if the worker&amp;rsquo;s blood lead levels are low enough for him or her to return to the work. The worker cannot return until the practitioner is satisfied that the worker is fit to return to the work, and the blood lead levels are less than:&lt;/p&gt;&lt;ul type="disc"&gt;&lt;li&gt;10 μg/dL (0.48 μmol/L) for a female of reproductive capacity&lt;/li&gt;&lt;li&gt;40 μg/dL (1.93 μmol/L) for all others.&lt;/li&gt;&lt;/ul&gt;&lt;p&gt;The organisation must keep the worker&amp;rsquo;s health monitoring report as a confidential record that is clearly identified as a record in relation to that worker, and must keep it for at least 30 years. The record must not be disclosed to another person without the worker&amp;rsquo;s consent; however, it must be provided to the regulator (only in the circumstances described above) and to any other organisation that has a responsibility to provide health monitoring to that worker (these other organisations must also keep the record confidential).&lt;/p&gt;&lt;p&gt;The organisation should make sure that it has procedures in place for providing health monitoring to workers who carry out (or will carry out) lead-risk work. A typical health monitoring process will consist of:&lt;/p&gt;&lt;ul type="disc"&gt;&lt;li&gt;establishing the worker&amp;rsquo;s baseline health&lt;/li&gt;&lt;li&gt;collecting demographic data and information about the worker&amp;rsquo;s work history&lt;/li&gt;&lt;li&gt;recording a medical history, including the presence of symptoms, reproductive history, history of any non-work-related lead exposure, history of any medication or medical treatment, and any smoking history&lt;/li&gt;&lt;li&gt;conducting a physical exam, focusing on the gastrointestinal, haematopoietic, renal, cardiovascular, reproductive and neurological systems&lt;/li&gt;&lt;li&gt;undertaking a range of tests to determine the worker&amp;rsquo;s baseline exposure&amp;mdash;these may include a full blood examination, any blood lead in whole blood or packed red cells, a serum creatinine test, a routine urinalysis and a pulmonary function test&lt;/li&gt;&lt;li&gt;considering whether medical counselling is needed for the worker&amp;mdash;this should include advice on the health effects of lead, family planning, pregnancy, personal hygiene, and the importance of not eating, drinking and smoking in a lead process area.&lt;/li&gt;&lt;/ul&gt;&lt;p&gt;The information that the organisation will need to provide to the medical practitioner includes:&lt;/p&gt;&lt;ul type="disc"&gt;&lt;li&gt;the name and address of the organisation&lt;/li&gt;&lt;li&gt;the name and date of birth of the worker&lt;/li&gt;&lt;li&gt;the lead-risk work that has triggered the health monitoring&lt;/li&gt;&lt;li&gt;how long the worker has been carrying out the work (if started).&lt;/li&gt;&lt;/ul&gt;&lt;p&gt;The organisation should have a procedure for promptly obtaining a health monitoring report from a medical practitioner and providing a copy to the worker, the regulator (if required) and any other organisation that has a legal responsibility for monitoring the worker&amp;rsquo;s health. The organisation should put in place appropriate record-keeping procedures to ensure that workers&amp;rsquo; health records in relation to lead-risk work are kept confidential and are retained for at least 30 years.&lt;/p&gt;&lt;p&gt;Further information on health monitoring in relation to lead, see Tools - Health monitoring for exposure to hazardous chemicals&amp;mdash;guide for persons conducting a business or undertaking, February 2013 (Safe Work Australia) and Hazardous chemicals requiring health monitoring, March 2013 (Safe Work Australia).&lt;/p&gt;</x:v>
      </x:c>
      <x:c r="K136" s="6" t="n">
        <x:f>=HYPERLINK("#K136","Guidance Notes")</x:f>
      </x:c>
      <x:c r="L136" s="6" t="str">
        <x:v>&lt;p&gt;Put in place procedures and resources to ensure that health monitoring is provided to workers involved in lead-risk work, records of the monitoring are confidentially maintained, and any actions required as a result of health monitoring are taken.&lt;/p&gt;</x:v>
      </x:c>
      <x:c r="M136" s="6" t="n">
        <x:f>=HYPERLINK("#M136","Remediation")</x:f>
      </x:c>
      <x:c r="N136" s="6" t="str">
        <x:v>&lt;p&gt;A range of penalties apply for offences relating to health monitoring of workers who carry out lead-risk work. Maximum penalties of $30,000 (for an organisation) and $6,000 (for an individual) apply for failing to:&lt;/p&gt;&lt;ul type="disc"&gt;&lt;li&gt;provide appropriate health monitoring to a worker at the required times (regs&amp;nbsp;405&amp;ndash;406)&lt;/li&gt;&lt;li&gt;provide biological monitoring at the required frequency (reg 407)&lt;/li&gt;&lt;li&gt;ensure that health monitoring is supervised by a registered medical practitioner (reg 408)&lt;/li&gt;&lt;li&gt;consult the worker on the selection of the practitioner (regs 408 and 416)&lt;/li&gt;&lt;li&gt;obtain a health monitoring report from a medical practitioner (reg 411)&lt;/li&gt;&lt;li&gt;give a copy of the report to the worker, the regulator (if required) or other organisations that share a legal responsibility for monitoring the worker&amp;rsquo;s health (regs 412&amp;ndash;414)&lt;/li&gt;&lt;li&gt;remove the worker from lead-risk work when required (reg 415)&lt;/li&gt;&lt;li&gt;arrange a medical examination after a worker&amp;rsquo;s removal from lead-risk work (reg 416)&lt;/li&gt;&lt;li&gt;arrange health monitoring to determine if the worker can return to lead-risk work (reg 417)&lt;/li&gt;&lt;li&gt;ensure that a worker does not return to lead-risk work until the worker&amp;rsquo;s blood lead level is in the required range and a medical practitioner is satisfied that the worker is fit to return to the work (reg 417).&lt;/li&gt;&lt;/ul&gt;&lt;p&gt;The maximum penalties for failing to pay the costs of health monitoring are $18,000 for an organisation and $3,600 for an individual (reg 409). The same maximum penalties apply for failing to provide the correct information to the registered medical practitioner (reg 410), and failing to notify the regulator if a person is removed from carrying out lead-risk work (reg 415).&lt;/p&gt;&lt;p&gt;The maximum penalties for failing to keep health records confidential, failing to identify them as a record in relation to the worker, and failing to keep them for 30 years are $6,000 for an organisation and $1,250 for an individual (reg 418).&lt;/p&gt;</x:v>
      </x:c>
      <x:c r="O136" s="6" t="n">
        <x:f>=HYPERLINK("#O136","Consequence")</x:f>
      </x:c>
      <x:c r="P136" s="6" t="str">
        <x:v>&lt;p&gt;&lt;a href="https://www.legislation.gov.au/Details/F2011L02664" target="_blank" &gt;Work Health and Safety Regulations 2011 (Cth)&lt;/a&gt; regs 405&amp;ndash;418, 676, Schedule 14 (see also corresponding regulations in NSW, NT, QLD, SA and TAS)&lt;/p&gt;&lt;p&gt;Managing Risks of Hazardous Chemicals in the Workplace Code of Practice&amp;mdash;July 2012&lt;/p&gt;</x:v>
      </x:c>
      <x:c r="Q136" s="6" t="n">
        <x:f>=HYPERLINK("#Q136","Source")</x:f>
      </x:c>
      <x:c r="R136"/>
      <x:c r="S136"/>
      <x:c r="T136"/>
    </x:row>
    <x:row r="137" spans="1:20" ht="15.75" x14ac:dyDescent="0.25">
      <x:c r="A137" t="n">
        <x:v>11697</x:v>
      </x:c>
      <x:c r="B137" t="str">
        <x:v>NSW,NT,QLD,SA,TAS,COMMONWEALTH</x:v>
      </x:c>
      <x:c r="C137" t="inlineStr">
        <x:is>
          <x:t xml:space="preserve">  Subobligation</x:t>
        </x:is>
      </x:c>
      <x:c r="D137" t="inlineStr">
        <x:is>
          <x:t xml:space="preserve">  Providing Information to Workers about the Risks of Lead Exposure</x:t>
        </x:is>
      </x:c>
      <x:c r="E137" s="31" t="n">
        <x:v>16.19</x:v>
      </x:c>
      <x:c r="F137" s="8" t="n">
        <x:f>=HYPERLINK("#Obligation()","Workplace Management—Hazardous Chemicals")</x:f>
      </x:c>
      <x:c r="G137" s="8" t="n">
        <x:f>=HYPERLINK("#SubObligation()","Providing Information to Workers about the Risks of Lead Exposure")</x:f>
      </x:c>
      <x:c r="H137" s="6" t="n">
        <x:f>=HYPERLINK("#H137","Tools")</x:f>
      </x:c>
      <x:c r="I137" s="27" t="str">
        <x:v>&lt;b&gt;&lt;p&gt;Providing Information to Workers about the Risks of Lead Exposure&lt;/p&gt;Does the organisation give information to current and prospective workers about the risks of lead exposure at work and (where applicable) information about health monitoring?&lt;/b&gt;</x:v>
      </x:c>
      <x:c r="J137" s="6" t="str">
        <x:v>&lt;p&gt;An organisation must give information about a lead process to anyone likely to be engaged to carry out the lead process, before that person is engaged, or to any worker before he or she begins the lead process work.&lt;/p&gt;&lt;p&gt;The provision of this information is in addition to the requirement under the harmonised Work Health and Safety (WHS) Acts to provide workers with any other information, instruction or training necessary to enable the workers to conduct their work safely, and any particular training requirements required under Part 7.1 of the WHS Regulations relevant to dealing with hazardous chemicals.&lt;/p&gt;&lt;p&gt;If the work is identified as lead-risk work after the worker begins the work, the organisation must give information about the process to the worker as soon as possible after the lead-risk work has been identified, and before providing mandatory health monitoring to the worker.&lt;/p&gt;&lt;p&gt;The information that must be provided to current and prospective workers includes details about the health risks and toxic effects associated with lead exposure, and, if the process involves lead-risk work, the need for and details of health monitoring.&lt;/p&gt;&lt;p&gt;The organisation should ensure that its human resource processes include procedures for providing the required information to both current and prospective workers about lead processes and lead-risk work before workers start the work&amp;mdash;or as soon as possible after the work is identified as lead-risk work. See Tools - Review of hazards and health effects of inorganic lead, July 2014 (Safe Work Australia information sheet).&lt;/p&gt;&lt;p&gt;The organisation should ensure that the information is accurate and provided in a way that is readily understandable to workers, taking into account their language, literacy and numeracy skills.&lt;/p&gt;&lt;p&gt;To demonstrate compliance, the organisation should keep a record of the workers who have received information, the date on which the information was provided, and a summary of the information provided.&lt;/p&gt;</x:v>
      </x:c>
      <x:c r="K137" s="6" t="n">
        <x:f>=HYPERLINK("#K137","Guidance Notes")</x:f>
      </x:c>
      <x:c r="L137" s="6" t="str">
        <x:v>&lt;p&gt;Put in place a documented and effective process for informing current and prospective workers about the risks of lead exposure.&lt;/p&gt;</x:v>
      </x:c>
      <x:c r="M137" s="6" t="n">
        <x:f>=HYPERLINK("#M137","Remediation")</x:f>
      </x:c>
      <x:c r="N137" s="6" t="str">
        <x:v>&lt;p&gt;Penalties apply if an organisation fails to give current or prospective workers information about the health effects of lead exposure as a result of carrying out a lead process or lead-risk work. The maximum penalties are $30,000 for an organisation and $6,000 for an individual (reg 395).&lt;/p&gt;</x:v>
      </x:c>
      <x:c r="O137" s="6" t="n">
        <x:f>=HYPERLINK("#O137","Consequence")</x:f>
      </x:c>
      <x:c r="P137" s="6" t="str">
        <x:v>&lt;p&gt;&lt;a href="https://www.legislation.gov.au/Details/F2011L02664" target="_blank" &gt;Work Health and Safety Regulations 2011 (Cth)&lt;/a&gt; reg 395 (see also corresponding regulations in NSW, NT, QLD, SA and TAS)&lt;/p&gt;</x:v>
      </x:c>
      <x:c r="Q137" s="6" t="n">
        <x:f>=HYPERLINK("#Q137","Source")</x:f>
      </x:c>
      <x:c r="R137"/>
      <x:c r="S137"/>
      <x:c r="T137"/>
    </x:row>
    <x:row r="138" spans="1:20" ht="15.75" x14ac:dyDescent="0.25">
      <x:c r="A138" t="n">
        <x:v>11701</x:v>
      </x:c>
      <x:c r="B138" t="str">
        <x:v>NSW,NT,QLD,SA,TAS,ACT,COMMONWEALTH</x:v>
      </x:c>
      <x:c r="C138" t="str">
        <x:v>Obligation</x:v>
      </x:c>
      <x:c r="D138" t="str">
        <x:v>Workplace Management—Asbestos</x:v>
      </x:c>
      <x:c r="E138" s="31" t="n">
        <x:v>17.00</x:v>
      </x:c>
      <x:c r="F138" s="8" t="n">
        <x:f>=HYPERLINK("#Obligation()","Workplace Management—Asbestos")</x:f>
      </x:c>
      <x:c r="G138" s="8"/>
      <x:c r="H138" s="6" t="n">
        <x:f>=HYPERLINK("#H138","Tools")</x:f>
      </x:c>
      <x:c r="I138" s="27" t="str">
        <x:v>&lt;b&gt;&lt;p&gt;Workplace Management—Asbestos&lt;/p&gt;Does the organisation ensure that it does not carry out, or direct or allow a worker to carry out, work involving asbestos unless the work is permitted under work health and safety regulations?&lt;/b&gt;</x:v>
      </x:c>
      <x:c r="J138" s="6" t="str">
        <x:v>&lt;p&gt;Asbestos is a prohibited hazardous substance that can adversely affect the health and safety of workers through asbestos-related diseases, such as mesothelioma, asbestosis and lung cancer. It was widely used until the late 1980s as a construction material, and until 31 December 2003 as part of plant insulation.&lt;/p&gt;&lt;p&gt;The harmonised Work Health and Safety (WHS) Regulations place specific duties on organisations to manage the risks associated with asbestos. An organisation cannot carry out, or direct a worker to carry out, any work that involves asbestos unless the work is permitted under the regulations. This prohibition applies to manufacturing, selling, importing, supplying, transporting, storing, removing, using, installing, handling, treating, disposing of or disturbing asbestos or asbestos-containing material (ACM).&lt;/p&gt;&lt;p&gt;The WHS Regulations permit work involving asbestos in the following categories:&lt;/p&gt;&lt;ul&gt;&lt;li&gt;genuine research and analysis&lt;/li&gt;&lt;li&gt;sampling and identification&lt;/li&gt;&lt;li&gt;maintenance of, or service work on, non-friable asbestos or ACM that was fixed or installed before 31 December 2003&lt;/li&gt;&lt;li&gt;prescribed safe removal, transport and disposal of asbestos or ACM&lt;/li&gt;&lt;li&gt;demonstrations, education or practical training relating to asbestos or ACM&lt;/li&gt;&lt;li&gt;display, or preparation or maintenance for display, of an artefact or thing that is, or includes, asbestos or ACM&lt;/li&gt;&lt;li&gt;management of in situ asbestos fixed or installed before 31 December 2003&lt;/li&gt;&lt;li&gt;work that disturbs asbestos during mining operations involving extraction of, or exploration for, a mineral other than asbestos&lt;/li&gt;&lt;li&gt;laundering asbestos-contaminated clothing&lt;/li&gt;&lt;li&gt;regulator-approved methods for managing risk associated with asbestos&lt;/li&gt;&lt;li&gt;work involving asbestos-contaminated soil that a competent person has determined does not contain any visible ACM or friable asbestos or (if friable asbestos is visible) more than trace levels of asbestos&lt;/li&gt;&lt;li&gt;naturally occurring asbestos that is managed in accordance with an asbestos management plan.&lt;/li&gt;&lt;/ul&gt;&lt;p&gt;As with other hazardous substances, an organisation has specific obligations when working with asbestos or ACM. It must manage and control the exposure risks of asbestos, particularly airborne asbestos, and ensure that exposure standards are not exceeded. The organisation will need to identify the presence of asbestos or ACM at the workplace and prepare an asbestos register for the workplace, unless the workplace was constructed after 31&amp;nbsp;December 2003 (or after 31 December 1989 in the case of Queensland) and no asbestos has been identified at the workplace and is not likely to be present at the workplace. The asbestos register must be kept at the workplace and maintained so that it is up to date.&lt;/p&gt;&lt;p&gt;Where asbestos is identified at the workplace or is likely to be present, the organisation also needs to prepare an asbestos management plan that identifies all asbestos at the workplace and sets out how it will be managed.&lt;/p&gt;&lt;p&gt;The requirements to prepare an asbestos register and asbestos management plan do not apply to any part of domestic premises that is used only for residential purposes.&lt;/p&gt;&lt;p&gt;The organisation must appoint appropriately qualified asbestos removalists to carry out asbestos removal work. A licence is required to carry out riskier types of asbestos removal work (e.g. a Class A licence is required for the removal of friable asbestos). The removalist must comply with its obligations relating to training, notification, asbestos removal control plans, signs and barricades, decontamination, asbestos waste disposal, and clearance inspections on the completion of asbestos removal work.&lt;/p&gt;&lt;p&gt;An organisation must prepare an asbestos management plan to manage naturally occurring asbestos if it is present at the workplace.&lt;/p&gt;&lt;p&gt;An organisation will need to provide adequate health monitoring, training and instruction to its workers who undertake asbestos removal work, control the type of tools and equipment that the workers use for asbestos removal work, and provide appropriate personal protective equipment to workers (including respiratory protective equipment in some cases).&lt;/p&gt;&lt;p&gt;If asbestos is present (or likely to be present) at the workplace, an organisation will need to review the asbestos register before demolition or refurbishment work is carried out.&lt;/p&gt;&lt;p&gt;An organisation must also comply with the regulations when undertaking asbestos-related work (i.e. permitted work that is not asbestos removal work). The organisation will need to provide information about associated health risks to workers, conduct the work in a separate area, carry out air monitoring if necessary, make decontamination facilities available and dispose of asbestos waste and personal protective equipment correctly.&lt;/p&gt;&lt;p&gt;Some material variations exist among the harmonised jurisdictions in relation to asbestos. These variations are described in the relevant sub-obligations in this module.&lt;/p&gt;&lt;p&gt;The organisation should implement appropriate processes and procedures to manage the risks associated with asbestos at the workplace. It should identify any asbestos or ACM at the workplace and record it in the organisation&amp;rsquo;s asbestos register, assess the risk of exposure to airborne asbestos, implement control measures, and maintain and review the control measures to ensure they are effective. The organisation should consult with workers as part of the risk management process, and take their views into account when making decisions about managing risks of asbestos exposure.&lt;/p&gt;&lt;p&gt;Asbestos removal work and asbestos-related work often involves several organisations that hold work health and safety duties for the same matter. For example, an asbestos removal job may involve the organisation that commissions the work, the organisation that manages or controls the workplace from which the asbestos is to be removed, and an asbestos removal business. In such cases, the organisations should consult, cooperate and coordinate with each other, so far as is reasonably practicable, to ensure that the work is carried out as safely as possible.&lt;/p&gt;&lt;p&gt;The organisation will need to ensure that adequate health monitoring is provided to its workers who are at risk of exposure to asbestos as a result of carrying out asbestos removal work or asbestos-related work. The organisation also has a duty to provide training to its workers, which should include information on the health risks of asbestos and the types, uses and likely presence of asbestos at the workplace. Workers who carry out licensed asbestos removal work must have completed a specified vocational education and training course.&lt;/p&gt;&lt;p&gt;The organisation also needs to ensure that it limits access to an asbestos removal area at the workplace. It should do this by using a combination of signs, barricades (such as fences and locks) and other administrative controls to prevent any unauthorised people from entering the area.&lt;/p&gt;&lt;p&gt;It is important that licensed asbestos removalists provide job-specific training to workers involved in asbestos removal work. This training should include information on the nature of hazards and risks, how asbestos can affect a person&amp;rsquo;s health, the risk from exposure to airborne asbestos and the methods and equipment that are in place to do the job properly. The removalist also needs to ensure that when it prepares the asbestos removal control plan, it takes into account the relevant asbestos register and addresses the specific situation and requirements for each job.&lt;/p&gt;&lt;p&gt;When conducting asbestos-related work, the organisation should consider what control measures will be implemented for the work. These may include eliminating the risk by not conducting the work, minimising the risk by isolating people from the asbestos hazard or using an engineering control, implementing administrative controls, or using personal protective equipment to supplement higher-order controls. A combination of controls is usually required.&lt;/p&gt;&lt;p&gt;When reviewing the asbestos register before demolition or refurbishment work begins, the organisation should consider the location of the asbestos, whether there are any inaccessible areas that are likely to contain asbestos and will be disturbed, the type, condition and quantity of the asbestos, the method of demolition or refurbishment to be used, and whether and how the asbestos can be removed safely.&lt;/p&gt;&lt;p&gt;The organisation will also need to implement a separate asbestos management plan where there is a risk of exposure to naturally occurring asbestos. When preparing this plan, the organisation should consider isolating the workplace until controls are in place, deviating excavation to avoid the asbestos deposit, using sealed excavation or mining equipment, maintaining regular surveillance of the rock by a competent person, developing procedures for the safe disposal of asbestos waste, and training workers in safe work practices.&lt;/p&gt;&lt;p&gt;Further guidance on managing asbestos is available in the Model code of practice - How to manage and control asbestos in the workplace, December 2011 (Safe Work Australia) and Model code of practice - How to safely remove asbestos, December 2011 (Safe Work Australia).&lt;/p&gt;</x:v>
      </x:c>
      <x:c r="K138" s="6" t="n">
        <x:f>=HYPERLINK("#K138","Guidance Notes")</x:f>
      </x:c>
      <x:c r="L138" s="6" t="str">
        <x:v>&lt;p&gt;Put in place procedures and resources to eliminate or minimise, so far as is reasonably practicable, the risks of asbestos exposure at the workplace.&lt;/p&gt;</x:v>
      </x:c>
      <x:c r="M138" s="6" t="n">
        <x:f>=HYPERLINK("#M138","Remediation")</x:f>
      </x:c>
      <x:c r="N138" s="6" t="str">
        <x:v>&lt;p&gt;An organisation&amp;rsquo;s failure to manage risks associated with asbestos or ACM may be regarded as reckless conduct if the organisation does not have a reasonable excuse for engaging in conduct that exposes an individual to the risk of death or serious injury or illness, and the organisation is reckless as to the risk to that individual. The maximum penalties for reckless conduct are:&lt;/p&gt;&lt;ul&gt;&lt;li&gt;$3 million for a body corporate&lt;/li&gt;&lt;li&gt;$600,000 and/or 5 years&amp;rsquo; imprisonment for an individual person conducting a business or undertaking or an officer of a business or undertaking&lt;/li&gt;&lt;li&gt;$300,000 and/or 5 years&amp;rsquo; imprisonment for other individuals (s 31).&lt;/li&gt;&lt;/ul&gt;&lt;p&gt;Lesser penalties apply where the failure to comply with a duty does not involve reckless conduct (ss&amp;nbsp;32&amp;ndash;33).&lt;/p&gt;&lt;p&gt;The harmonised WHS Acts impose penalties on organisations that carry out unauthorised work (for example, carrying out asbestos removal work without the required licence), or direct or allow a worker to carry out unauthorised work. The maximum penalties are $100,000 for an organisation and $20,000 for an individual (s 43). The same maximum penalties apply if an organisation directs or allows a worker to carry out work without the worker having the prescribed qualifications for that type of work (s 44), or fails to comply with any conditions of an authorisation such as a licence (s 45).&lt;/p&gt;&lt;p&gt;A range of penalties apply if an organisation does not comply with the asbestos provisions in the WHS Regulations and fails to do what is reasonably practicable to eliminate or minimise risks from asbestos or ACM. The maximum penalties for asbestos-related offences in the WHS Regulations are $30,000 for an organisation and $6,000 for an individual (Chapter 8).&lt;/p&gt;</x:v>
      </x:c>
      <x:c r="O138" s="6" t="n">
        <x:f>=HYPERLINK("#O138","Consequence")</x:f>
      </x:c>
      <x:c r="P138" s="6" t="str">
        <x:v>&lt;p&gt;&lt;a href="https://www.legislation.gov.au/Details/C2011A00137" target="_blank" &gt;Work Health and Safety Act 2011 (Cth)&lt;/a&gt; ss 19&amp;ndash;21, 43&amp;ndash;45 (see also corresponding Acts in ACT, NSW, NT, QLD, SA and TAS)&lt;/p&gt;&lt;p&gt;&lt;a href="https://www.legislation.gov.au/Details/F2011L02664" target="_blank" &gt;Work Health and Safety Regulations 2011 (Cth)&lt;/a&gt; Ch&amp;nbsp;8 (see also corresponding regulations in ACT, NSW, NT, QLD, SA and TAS)&lt;/p&gt;&lt;p&gt;How to Manage and Control Asbestos in the Workplace Code of Practice&amp;mdash;December 2011&lt;/p&gt;&lt;p&gt;How to Safely Remove Asbestos Code of Practice&amp;mdash;December 2011&lt;/p&gt;&lt;p&gt;AS 4964&amp;ndash;2004 Method for the Qualitative Identification of Asbestos in Bulk Samples&lt;/p&gt;</x:v>
      </x:c>
      <x:c r="Q138" s="6" t="n">
        <x:f>=HYPERLINK("#Q138","Source")</x:f>
      </x:c>
      <x:c r="R138"/>
      <x:c r="S138"/>
      <x:c r="T138"/>
    </x:row>
    <x:row r="139" spans="1:20" ht="15.75" x14ac:dyDescent="0.25">
      <x:c r="A139" t="n">
        <x:v>11706</x:v>
      </x:c>
      <x:c r="B139" t="str">
        <x:v>NSW,NT,QLD,SA,TAS,ACT,COMMONWEALTH</x:v>
      </x:c>
      <x:c r="C139" t="inlineStr">
        <x:is>
          <x:t xml:space="preserve">  Subobligation</x:t>
        </x:is>
      </x:c>
      <x:c r="D139" t="inlineStr">
        <x:is>
          <x:t xml:space="preserve">  Managing Exposure to Airborne Asbestos</x:t>
        </x:is>
      </x:c>
      <x:c r="E139" s="31" t="n">
        <x:v>17.01</x:v>
      </x:c>
      <x:c r="F139" s="8" t="n">
        <x:f>=HYPERLINK("#Obligation()","Workplace Management—Asbestos")</x:f>
      </x:c>
      <x:c r="G139" s="8" t="n">
        <x:f>=HYPERLINK("#SubObligation()","Managing Exposure to Airborne Asbestos")</x:f>
      </x:c>
      <x:c r="H139" s="6" t="n">
        <x:f>=HYPERLINK("#H139","Tools")</x:f>
      </x:c>
      <x:c r="I139" s="27" t="str">
        <x:v>&lt;b&gt;&lt;p&gt;Managing Exposure to Airborne Asbestos&lt;/p&gt;Does the organisation ensure, so far as is reasonably practicable, that exposure to airborne asbestos at the workplace is eliminated or minimised, and also ensure that the exposure standard for asbestos is not exceeded?&lt;/b&gt;</x:v>
      </x:c>
      <x:c r="J139" s="6" t="str">
        <x:v>&lt;p&gt;Airborne asbestos means any fibres of asbestos that are small enough to become airborne. An organisation must ensure, so far as is reasonably practicable, that exposure to airborne asbestos at the workplace is eliminated. If it is not reasonably practicable to eliminate the exposure, the organisation must do what it reasonably practicable to minimise the exposure.&lt;/p&gt;&lt;p&gt;An organisation must ensure that the exposure standard for asbestos is not exceeded at the workplace. The Model code of practice - How to manage and control asbestos in the workplace, December 2011 (Safe Work Australia) defines the exposure standard for asbestos as a respirable fibre level of 0.1 fibres/ml of air measured in a person&amp;rsquo;s breathing zone and expressed as a time-weighted average fibre concentration calculated over an eight-hour working day and measured over a minimum period of 4 hours in accordance with:&lt;/p&gt;&lt;ul&gt;&lt;li&gt;the membrane filter method&lt;/li&gt;&lt;li&gt;a method determined by the relevant regulator.&lt;/li&gt;&lt;/ul&gt;&lt;p&gt;The requirements to eliminate exposure to airborne asbestos and ensure that the exposure standard for asbestos is not exceeded do not apply to an asbestos removal area:&lt;/p&gt;&lt;ul&gt;&lt;li&gt;that is enclosed to prevent the release of respirable asbestos fibres in accordance with the regulation for removing friable asbestos, and&lt;/li&gt;&lt;/ul&gt;&lt;p&gt;in which negative pressure is used in accordance with that regulation.&lt;/p&gt;&lt;p&gt;The organisation should ensure that a competent person assesses the risks of exposure to airborne exposure as part of an overall risk management process for asbestos-associated risks at the workplace. Managing the risk of exposure to airborne asbestos involves five steps:&lt;/p&gt;&lt;ul&gt;&lt;li&gt;identifying asbestos and asbestos-containing material at the workplace, which must be recorded in the asbestos register&lt;/li&gt;&lt;li&gt;assessing the risk of exposure to airborne asbestos&lt;/li&gt;&lt;li&gt;implementing control measures to eliminate or minimise the risks, so far as is reasonably practicable&lt;/li&gt;&lt;li&gt;monitoring the control measures to ensure that they are followed and maintained&lt;/li&gt;&lt;li&gt;reviewing the control measures to ensure they are effective.&lt;/li&gt;&lt;/ul&gt;&lt;p&gt;The organisation should ensure that air monitoring is carried out if there is uncertainty as to whether the exposure standard for asbestos is likely to be exceeded.&lt;/p&gt;&lt;p&gt;Further guidance on managing the risk of exposure to airborne asbestos, see Tools - Model code of practice - How to manage and control asbestos in the workplace, December 2011 (Safe Work Australia).&lt;/p&gt;</x:v>
      </x:c>
      <x:c r="K139" s="6" t="n">
        <x:f>=HYPERLINK("#K139","Guidance Notes")</x:f>
      </x:c>
      <x:c r="L139" s="6" t="str">
        <x:v>&lt;p&gt;Put in place a documented and effective process for managing the risk of exposure to airborne asbestos at the workplace, including monitoring of exposure levels.&lt;/p&gt;</x:v>
      </x:c>
      <x:c r="M139" s="6" t="n">
        <x:f>=HYPERLINK("#M139","Remediation")</x:f>
      </x:c>
      <x:c r="N139" s="6" t="str">
        <x:v>&lt;p&gt;Penalties apply for failing to ensure that the exposure standard for asbestos is not exceeded at the workplace. The maximum penalties are $30,000 for an organisation and $6,000 for an individual (reg&amp;nbsp;420).&lt;/p&gt;</x:v>
      </x:c>
      <x:c r="O139" s="6" t="n">
        <x:f>=HYPERLINK("#O139","Consequence")</x:f>
      </x:c>
      <x:c r="P139" s="6" t="str">
        <x:v>&lt;p&gt;&lt;a href="https://www.legislation.gov.au/Details/F2011L02664" target="_blank" &gt;Work Health and Safety Regulations 2011 (Cth)&lt;/a&gt; reg 420 (see also corresponding regulations in ACT, NSW, NT, QLD, SA and TAS)&lt;/p&gt;&lt;p&gt;How to Manage and Control Asbestos in the Workplace Code of Practice&amp;mdash;December 2011&lt;/p&gt;&lt;p&gt;How to Safely Remove Asbestos Code of Practice&amp;mdash;December 2011&lt;/p&gt;</x:v>
      </x:c>
      <x:c r="Q139" s="6" t="n">
        <x:f>=HYPERLINK("#Q139","Source")</x:f>
      </x:c>
      <x:c r="R139"/>
      <x:c r="S139"/>
      <x:c r="T139"/>
    </x:row>
    <x:row r="140" spans="1:20" ht="15.75" x14ac:dyDescent="0.25">
      <x:c r="A140" t="n">
        <x:v>11714</x:v>
      </x:c>
      <x:c r="B140" t="str">
        <x:v>NSW,NT,QLD,SA,TAS,ACT,COMMONWEALTH</x:v>
      </x:c>
      <x:c r="C140" t="inlineStr">
        <x:is>
          <x:t xml:space="preserve">  Subobligation</x:t>
        </x:is>
      </x:c>
      <x:c r="D140" t="inlineStr">
        <x:is>
          <x:t xml:space="preserve">  Identifying Asbestos and Indicating Its Presence and Location</x:t>
        </x:is>
      </x:c>
      <x:c r="E140" s="31" t="n">
        <x:v>17.02</x:v>
      </x:c>
      <x:c r="F140" s="8" t="n">
        <x:f>=HYPERLINK("#Obligation()","Workplace Management—Asbestos")</x:f>
      </x:c>
      <x:c r="G140" s="8" t="n">
        <x:f>=HYPERLINK("#SubObligation()","Identifying Asbestos and Indicating Its Presence and Location")</x:f>
      </x:c>
      <x:c r="H140" s="6" t="n">
        <x:f>=HYPERLINK("#H140","Tools")</x:f>
      </x:c>
      <x:c r="I140" s="27" t="str">
        <x:v>&lt;b&gt;&lt;p&gt;Identifying Asbestos and Indicating Its Presence and Location&lt;/p&gt;Does the organisation that manages or controls the workplace ensure, so far as is reasonably practicable, that asbestos or asbestos-containing material (ACM) at the workplace is identified, and also ensure that the presence and location of asbestos or ACM are clearly indicated?&lt;/b&gt;</x:v>
      </x:c>
      <x:c r="J140" s="6" t="str">
        <x:v>&lt;p&gt;An organisation that manages or controls a workplace must ensure, so far as is reasonably practicable, that a competent person identifies all asbestos or asbestos-containing material (ACM) at the workplace. However, this requirement does not apply if the organisation already assumes that asbestos or ACM is present, or if the organisation has reasonable grounds to believe that asbestos or ACM is not present. (Note: In the ACT, the person identifying asbestos must be a licensed asbestos assessor.)&lt;/p&gt;&lt;p&gt;The organisation must assume that an unidentifiable material is asbestos if a competent person (or licensed asbestos assessor) reasonably believes that it is asbestos or ACM. The organisation must also assume that asbestos is present if part of the workplace is inaccessible to workers and is likely to contain asbestos or ACM. (Note: In the ACT, the organisation must assume that asbestos is present at residential premises if an approved warning sign is displayed at the premises.)&lt;/p&gt;&lt;p&gt;An organisation that manages or controls a workplace may identify asbestos or ACM by arranging for a sample of material to be analysed. If so, it must ensure that the sample is only analysed by:&lt;/p&gt;&lt;ul&gt;&lt;li&gt;a laboratory that is accredited by the National Association of Testing Authorities and is also accredited for the relevant test method&lt;/li&gt;&lt;li&gt;a laboratory approved by the regulator in accordance with Safe Work Australia guidelines&lt;/li&gt;&lt;li&gt;a laboratory operated by the regulator.&lt;/li&gt;&lt;/ul&gt;&lt;p&gt;The organisation must ensure that the presence and location of asbestos or ACM is clearly indicated. If reasonably practicable, the presence and location must be indicated by a label.&lt;/p&gt;&lt;p&gt;In the ACT, if friable asbestos is identified or assumed to be present at the workplace, the organisation that manages or controls the workplace must ensure that a licensed asbestos assessor undertakes a written risk assessment of the risks associated with the friable asbestos. The assessor must subsequently review the risk assessment in certain circumstances.&lt;/p&gt;&lt;p&gt;The requirements to identify asbestos at the workplace and indicate its presence and location do not apply to naturally occurring asbestos.&lt;/p&gt;&lt;p&gt;The organisation will need to choose a competent person (or, in the ACT, a licensed asbestos assessor) to identify any asbestos or ACM at the workplace. The person should be someone who has acquired the relevant skills and knowledge to identify asbestos or ACM through training and experience. If no one in the organisation is competent to carry out the task, then the organisation should engage an external person. This could be an occupational hygienist with experience in asbestos, a licensed asbestos assessor, an asbestos removal supervisor or anyone else with relevant asbestos experience.&lt;/p&gt;&lt;p&gt;The person who is chosen to identify the asbestos or ACM should take into account the following:&lt;/p&gt;&lt;ul&gt;&lt;li&gt;the date that a building or other structure at the workplace was constructed or plant was installed&lt;/li&gt;&lt;li&gt;whether there were any refurbishments or additions prior to 31 December 2003&lt;/li&gt;&lt;li&gt;the type of material that was used to construct the building or manufacture the plant&lt;/li&gt;&lt;li&gt;the opinion of designers, manufacturers or suppliers of plant at the workplace&lt;/li&gt;&lt;li&gt;the opinion of workers who have worked at the workplace for a long time&lt;/li&gt;&lt;li&gt;a visual inspection of the workplace to identify asbestos, ACM and inaccessible areas&lt;/li&gt;&lt;li&gt;any written or photographic records.&lt;/li&gt;&lt;/ul&gt;&lt;p&gt;When identifying asbestos or ACM, it is important that all duty holders at the workplace consult, cooperate and coordinate with each other. The organisation should also consult with workers and any health and safety representatives as part of the identification process.&lt;/p&gt;&lt;p&gt;The organisation should assess whether labels or warning signs (or a combination) are most appropriate to clearly indicate the location and presence of asbestos at the workplace. A competent person should determine the number and position of labels. All warning signs should comply with Australian Standard (AS) 1319&amp;ndash;1994 Safety signs for the occupational environment. The organisation may also need to enter the presence and location of the asbestos on site plans (in addition to the asbestos register) and make sure that the plans and register are accessible to all workers (for example, plumbers, electricians and carpenters) to ensure that they are aware of the presence of asbestos.&lt;/p&gt;&lt;p&gt;Further guidance on identifying asbestos, sample analysis and indicating the location and presence of asbestos is available in the Model code of practice - How to manage and control asbestos in the workplace, December 2011 (Safe Work Australia). Appendix A of the code provides a procedure that a competent person can follow when undertaking sampling, and Appendix B provides examples of labels or signs that can be used to indicate the location or presence of asbestos or ACM.&lt;/p&gt;</x:v>
      </x:c>
      <x:c r="K140" s="6" t="n">
        <x:f>=HYPERLINK("#K140","Guidance Notes")</x:f>
      </x:c>
      <x:c r="L140" s="6" t="str">
        <x:v>&lt;p&gt;Put in place a documented and effective process for identifying asbestos or ACM at the workplace and indicating its presence and location.&lt;/p&gt;</x:v>
      </x:c>
      <x:c r="M140" s="6" t="n">
        <x:f>=HYPERLINK("#M140","Remediation")</x:f>
      </x:c>
      <x:c r="N140" s="6" t="str">
        <x:v>&lt;p&gt;Penalties apply if an organisation that manages or controls a workplace fails to indicate the presence and location of asbestos or ACM that has been identified or is assumed to be present. The maximum penalties are $30,000 for an organisation and $6,000 for an individual (reg 424).&lt;/p&gt;&lt;p&gt;Penalties also apply for failing to ensure, so far as is reasonably practicable, that all asbestos or ACM at the workplace is identified at the workplace. The maximum penalties are $18,000 for an organisation and $3,600 for an individual (reg 422).&lt;/p&gt;&lt;p&gt;The maximum penalties for failing to ensure that an analysis of material for the presence of asbestos is only carried out by a prescribed laboratory are $6,000 for an organisation and $1,250 for an individual (reg 423).&lt;/p&gt;</x:v>
      </x:c>
      <x:c r="O140" s="6" t="n">
        <x:f>=HYPERLINK("#O140","Consequence")</x:f>
      </x:c>
      <x:c r="P140" s="6" t="str">
        <x:v>&lt;p&gt;&lt;a href="https://www.legislation.gov.au/Details/F2011L02664" target="_blank" &gt;Work Health and Safety Regulations 2011 (Cth)&lt;/a&gt; regs 421&amp;ndash;424 (see also corresponding regulations in ACT, NSW, NT, QLD, SA and TAS)&lt;/p&gt;&lt;p&gt;How to Manage and Control Asbestos in the Workplace Code of Practice&amp;mdash;December 2011&lt;/p&gt;&lt;p&gt;AS 4964&amp;ndash;2004 Method For The Qualitative Identification of Asbestos in Bulk Samples&lt;/p&gt;&lt;p&gt;AS 1319&amp;ndash;1994 Safety Signs for the Occupational Environment&lt;/p&gt;</x:v>
      </x:c>
      <x:c r="Q140" s="6" t="n">
        <x:f>=HYPERLINK("#Q140","Source")</x:f>
      </x:c>
      <x:c r="R140"/>
      <x:c r="S140"/>
      <x:c r="T140"/>
    </x:row>
    <x:row r="141" spans="1:20" ht="15.75" x14ac:dyDescent="0.25">
      <x:c r="A141" t="n">
        <x:v>11720</x:v>
      </x:c>
      <x:c r="B141" t="str">
        <x:v>NSW,NT,QLD,SA,TAS,ACT,COMMONWEALTH</x:v>
      </x:c>
      <x:c r="C141" t="inlineStr">
        <x:is>
          <x:t xml:space="preserve">  Subobligation</x:t>
        </x:is>
      </x:c>
      <x:c r="D141" t="inlineStr">
        <x:is>
          <x:t xml:space="preserve">  Asbestos Registers</x:t>
        </x:is>
      </x:c>
      <x:c r="E141" s="31" t="n">
        <x:v>17.03</x:v>
      </x:c>
      <x:c r="F141" s="8" t="n">
        <x:f>=HYPERLINK("#Obligation()","Workplace Management—Asbestos")</x:f>
      </x:c>
      <x:c r="G141" s="8" t="n">
        <x:f>=HYPERLINK("#SubObligation()","Asbestos Registers")</x:f>
      </x:c>
      <x:c r="H141" s="6" t="n">
        <x:f>=HYPERLINK("#H141","Tools")</x:f>
      </x:c>
      <x:c r="I141" s="27" t="str">
        <x:v>&lt;b&gt;&lt;p&gt;Asbestos Registers&lt;/p&gt;Does the organisation that manages or controls the workplace ensure that an asbestos register is prepared and kept up to date?&lt;/b&gt;</x:v>
      </x:c>
      <x:c r="J141" s="6" t="str">
        <x:v>&lt;p&gt;An organisation that manages or controls a workplace needs to ensure that an asbestos register is prepared and kept at the workplace. An asbestos register is a document that records all identified (or assumed) asbestos or asbestos-containing material (ACM) at the workplace. It must:&lt;/p&gt;&lt;ul&gt;&lt;li&gt;record any asbestos or ACM identified at the workplace or likely to be present from time to time, including the date on which it was identified, and its location, type and condition, or&lt;/li&gt;&lt;li&gt;state that no asbestos or ACM has been identified at the workplace, or is likely to be present from time to time, if the organisation knows this to be the case.&lt;/li&gt;&lt;/ul&gt;&lt;p&gt;The register must be maintained to ensure that its information is up to date.&lt;/p&gt;&lt;p&gt;An organisation will not have to prepare a register if one already exists for the workplace.&lt;/p&gt;&lt;p&gt;The above rules do not apply if the workplace is a building that was constructed after 31 December 2003 (after 31 December 1989 in the case of Queensland), if no asbestos has been identified at the workplace, and if no asbestos is likely to be present at the workplace from time to time.&lt;/p&gt;&lt;p&gt;An organisation must ensure that the asbestos register is reviewed and revised as needed if the asbestos management plan for the workplace is reviewed, if further asbestos or ACM is identified at the workplace, or if asbestos is removed from, or disturbed, sealed or enclosed at, the workplace.&lt;/p&gt;&lt;p&gt;The asbestos register must be readily accessible to:&lt;/p&gt;&lt;ul&gt;&lt;li&gt;any worker or organisation that has carried out, carries out or intends to carry out work at the workplace&lt;/li&gt;&lt;li&gt;a health and safety representative who represents the worker&lt;/li&gt;&lt;li&gt;any organisation that has required, requires or intends to require work to be carried out at the workplace.&lt;/li&gt;&lt;/ul&gt;&lt;p&gt;Where an organisation carries out or intends to carry out work that involves a risk of exposure to airborne asbestos, the organisation with management or control of the workplace must give the other organisation a copy of the asbestos register.&lt;/p&gt;&lt;p&gt;If an organisation with management or control of a workplace plans to relinquish that management or control, it must ensure, so far as is reasonably practicable, that the asbestos register is given to the organisation that will take over the management or control of the workplace.&lt;/p&gt;&lt;p&gt;The requirement to prepare and keep an asbestos register does not apply to any part of domestic premises that is used only for residential purposes. The requirement also does not apply to naturally occurring asbestos.&lt;/p&gt;&lt;p&gt;If an asbestos register does not already exist for the workplace, and the workplace is not exempt from the requirement to have a register, the organisation should ensure that an asbestos register is prepared by competent people. It should also ensure that the register is kept securely in a readily accessible place.&lt;/p&gt;&lt;p&gt;When recording the condition of asbestos or ACM in the asbestos register, the organisation will need to consider if the asbestos or ACM has deteriorated, has been disturbed or if asbestos-contaminated dust is present. If the asbestos or ACM has deteriorated or been disturbed, the likelihood of airborne asbestos being generated will have increased, and the associated risks will need to be managed appropriately.&lt;/p&gt;&lt;p&gt;In addition to the mandatory content, an asbestos register may also include:&lt;/p&gt;&lt;ul&gt;&lt;li&gt;details of any asbestos assumed to be in the workplace (if asbestos is assumed to be present, it is considered to be asbestos for legal purposes)&lt;/li&gt;&lt;li&gt;results of any analysis that confirms a material at the workplace is or is not asbestos&lt;/li&gt;&lt;li&gt;dates of when the identification was carried out&lt;/li&gt;&lt;li&gt;details of inaccessible areas&lt;/li&gt;&lt;li&gt;photographs or drawings showing the location of the asbestos or ACM.&lt;/li&gt;&lt;/ul&gt;&lt;p&gt;The organisation should have a procedure for reviewing and updating the asbestos register. When reviewing the asbestos register, the organisation should visually inspect the asbestos and ACM (if accessible) to determine its condition and should revise the register to reflect the results of the inspection.&lt;/p&gt;&lt;p&gt;Further information on asbestos registers is available in the Model code of practice - How to manage and control asbestos in the workplace, December 2011 (Safe Work Australia). Appendix C of the code provides a template of an asbestos register, while Appendix D provides an example of how the register should be completed. See Tools - Model code of practice - How to manage and control asbestos in the workplace, December 2011 (Safe Work Australia).&lt;/p&gt;</x:v>
      </x:c>
      <x:c r="K141" s="6" t="n">
        <x:f>=HYPERLINK("#K141","Guidance Notes")</x:f>
      </x:c>
      <x:c r="L141" s="6" t="str">
        <x:v>&lt;p&gt;Put in place a process to ensure that an asbestos register is prepared for the workplace and kept up to date.&lt;/p&gt;</x:v>
      </x:c>
      <x:c r="M141" s="6" t="n">
        <x:f>=HYPERLINK("#M141","Remediation")</x:f>
      </x:c>
      <x:c r="N141" s="6" t="str">
        <x:v>&lt;p&gt;Penalties apply if an organisation that manages or controls a workplace fails to ensure that an asbestos register is prepared and kept for the workplace. The maximum penalties are $18,000 for an organisation and $3,600 for an individual (reg 425). The same maximum penalties apply for failing to:&lt;/p&gt;&lt;ul&gt;&lt;li&gt;maintain the register and keep it up to date (reg 425)&lt;/li&gt;&lt;li&gt;review and revise the register when required (reg 426)&lt;/li&gt;&lt;li&gt;make the register readily accessible to relevant workers, health and safety representatives and organisations (reg 427)&lt;/li&gt;&lt;li&gt;give a copy of the register to relevant organisations (reg 427)&lt;/li&gt;&lt;/ul&gt;&lt;p&gt;transfer the register to an organisation taking over management or control of the workplace (reg 428).&lt;/p&gt;</x:v>
      </x:c>
      <x:c r="O141" s="6" t="n">
        <x:f>=HYPERLINK("#O141","Consequence")</x:f>
      </x:c>
      <x:c r="P141" s="6" t="str">
        <x:v>&lt;p&gt;&lt;a href="https://www.legislation.gov.au/Details/F2011L02664" target="_blank" &gt;Work Health and Safety Regulations 2011 (Cth)&lt;/a&gt; regs 425&amp;ndash;428, 430, 448&amp;ndash;451, 454, 463 (see also corresponding regulations in ACT, NSW, NT, QLD, SA and TAS)&lt;/p&gt;&lt;p&gt;How to Manage and Control Asbestos in the Workplace Code of Practice&amp;mdash;December 2011&lt;/p&gt;</x:v>
      </x:c>
      <x:c r="Q141" s="6" t="n">
        <x:f>=HYPERLINK("#Q141","Source")</x:f>
      </x:c>
      <x:c r="R141"/>
      <x:c r="S141"/>
      <x:c r="T141"/>
    </x:row>
    <x:row r="142" spans="1:20" ht="15.75" x14ac:dyDescent="0.25">
      <x:c r="A142" t="n">
        <x:v>11724</x:v>
      </x:c>
      <x:c r="B142" t="str">
        <x:v>NSW,NT,QLD,SA,TAS,ACT,COMMONWEALTH</x:v>
      </x:c>
      <x:c r="C142" t="inlineStr">
        <x:is>
          <x:t xml:space="preserve">  Subobligation</x:t>
        </x:is>
      </x:c>
      <x:c r="D142" t="inlineStr">
        <x:is>
          <x:t xml:space="preserve">  Asbestos Management Plans</x:t>
        </x:is>
      </x:c>
      <x:c r="E142" s="31" t="n">
        <x:v>17.04</x:v>
      </x:c>
      <x:c r="F142" s="8" t="n">
        <x:f>=HYPERLINK("#Obligation()","Workplace Management—Asbestos")</x:f>
      </x:c>
      <x:c r="G142" s="8" t="n">
        <x:f>=HYPERLINK("#SubObligation()","Asbestos Management Plans")</x:f>
      </x:c>
      <x:c r="H142" s="6" t="n">
        <x:f>=HYPERLINK("#H142","Tools")</x:f>
      </x:c>
      <x:c r="I142" s="27" t="str">
        <x:v>&lt;b&gt;&lt;p&gt;Asbestos Management Plans&lt;/p&gt;Does the organisation that manages or controls the workplace ensure that an asbestos management plan is prepared and kept up to date?&lt;/b&gt;</x:v>
      </x:c>
      <x:c r="J142" s="6" t="str">
        <x:v>&lt;p&gt;An asbestos management plan is a document that sets out how asbestos or asbestos-containing material (ACM) at a workplace will be managed. An organisation that manages or controls a workplace must ensure that a written asbestos management plan is prepared if asbestos or ACM is identified or is likely to be present at the workplace. The organisation must maintain the plan to ensure that its information is up to date.&lt;/p&gt;&lt;p&gt;An asbestos management plan must include information about the following:&lt;/p&gt;&lt;ul&gt;&lt;li&gt;the identification of asbestos or ACM (for example, a reference or link to the asbestos register for the workplace, and the locations of signs and labels)&lt;/li&gt;&lt;li&gt;decisions, and reasons for the decisions, about the management of asbestos at the workplace (e.g. safe work procedures and control measures)&lt;/li&gt;&lt;li&gt;the procedures for detailing incidents or emergencies involving asbestos or ACM&lt;/li&gt;&lt;li&gt;the workers carrying out work involving asbestos (e.g. consultation with workers, information and training provided to workers, and the workers&amp;rsquo; responsibilities).&lt;/li&gt;&lt;/ul&gt;&lt;p&gt;The organisation must ensure that a copy of the plan is readily accessible to:&lt;/p&gt;&lt;ul&gt;&lt;li&gt;a worker or organisation that has carried out, carries out or intends to carry out work at the workplace&lt;/li&gt;&lt;li&gt;a health and safety representative who represents the worker&lt;/li&gt;&lt;li&gt;any organisation that has required, requires or intends to require work to be carried out at the workplace.&lt;/li&gt;&lt;/ul&gt;&lt;p&gt;An organisation that manages or controls a workplace must review and, if necessary, revise the plan at least once every 5 years. The organisation must also review and revise the plan in the following circumstances:&lt;/p&gt;&lt;ul&gt;&lt;li&gt;when there is a review of the asbestos register or a control measure&lt;/li&gt;&lt;li&gt;when asbestos is removed from, or disturbed, sealed or enclosed at, the workplace&lt;/li&gt;&lt;li&gt;when the plan is no longer adequate for managing asbestos or ACM at the workplace&lt;/li&gt;&lt;li&gt;when a health and safety representative requests a review because he or she reasonably believes that:&lt;p&gt;- a worker&amp;rsquo;s health and safety may be affected by one or more of the three circumstances listed directly above, and&lt;/p&gt;&lt;p&gt;- the organisation has not adequately reviewed the plan in response to those circumstances.&lt;/p&gt;&lt;/li&gt;&lt;/ul&gt;&lt;p&gt;The requirement to prepare an asbestos management plan does not apply to any part of domestic premises that is used only for residential purposes.&lt;/p&gt;&lt;p&gt;The organisation should ensure that it allocates the necessary resources for preparing a comprehensive asbestos management plan and maintaining the plan to keep it up to date.&lt;/p&gt;&lt;p&gt;To create a more detailed asbestos management plan, the organisation should include:&lt;/p&gt;&lt;ul&gt;&lt;li&gt;an outline of how asbestos risks will be controlled&lt;/li&gt;&lt;li&gt;a timetable for managing risks of exposure&lt;/li&gt;&lt;li&gt;identification of each person with responsibilities under the plan, and their responsibilities&lt;/li&gt;&lt;li&gt;procedures for reviewing and revising the register&lt;/li&gt;&lt;li&gt;air monitoring procedures, if required.&lt;/li&gt;&lt;/ul&gt;&lt;p&gt;Further information on asbestos management plan, see Tools - Model code of practice - How to manage and control asbestos in the workplace, December 2011 (Safe Work Australia).&lt;/p&gt;</x:v>
      </x:c>
      <x:c r="K142" s="6" t="n">
        <x:f>=HYPERLINK("#K142","Guidance Notes")</x:f>
      </x:c>
      <x:c r="L142" s="6" t="str">
        <x:v>&lt;p&gt;Put in place a process to ensure that a written asbestos management plan for the workplace is prepared and kept up to date.&lt;/p&gt;</x:v>
      </x:c>
      <x:c r="M142" s="6" t="n">
        <x:f>=HYPERLINK("#M142","Remediation")</x:f>
      </x:c>
      <x:c r="N142" s="6" t="str">
        <x:v>&lt;p&gt;A failure to ensure that a written asbestos management plan is prepared attracts maximum penalties of $30,000 for an organisation and $6,000 for an individual (reg 429). The same maximum penalties apply for failing to maintain the plan to ensure that the information is up to date (reg 429).&lt;/p&gt;&lt;p&gt;Penalties also apply for failing to ensure that a copy of the asbestos management plan is readily accessible to relevant workers, health and safety representatives and organisations. The maximum penalties are $18,000 for an organisation and $3,600 for an individual (reg 429). The same maximum penalties apply for failing to review and, if necessary, revise the asbestos management plan when required (reg 430).&lt;/p&gt;</x:v>
      </x:c>
      <x:c r="O142" s="6" t="n">
        <x:f>=HYPERLINK("#O142","Consequence")</x:f>
      </x:c>
      <x:c r="P142" s="6" t="str">
        <x:v>&lt;p&gt;&lt;a href="https://www.legislation.gov.au/Details/F2011L02664" target="_blank" &gt;Work Health and Safety Regulations 2011 (Cth)&lt;/a&gt; regs 426, 429&amp;ndash;430 (see also corresponding regulations in ACT, NSW, NT, QLD, SA and TAS)&lt;/p&gt;&lt;p&gt;How to Manage and Control Asbestos in the Workplace Code of Practice&amp;mdash;December 2011&lt;/p&gt;</x:v>
      </x:c>
      <x:c r="Q142" s="6" t="n">
        <x:f>=HYPERLINK("#Q142","Source")</x:f>
      </x:c>
      <x:c r="R142"/>
      <x:c r="S142"/>
      <x:c r="T142"/>
    </x:row>
    <x:row r="143" spans="1:20" ht="15.75" x14ac:dyDescent="0.25">
      <x:c r="A143" t="n">
        <x:v>11728</x:v>
      </x:c>
      <x:c r="B143" t="str">
        <x:v>NSW,NT,QLD,SA,TAS,ACT,COMMONWEALTH</x:v>
      </x:c>
      <x:c r="C143" t="inlineStr">
        <x:is>
          <x:t xml:space="preserve">  Subobligation</x:t>
        </x:is>
      </x:c>
      <x:c r="D143" t="inlineStr">
        <x:is>
          <x:t xml:space="preserve">  Management of Naturally Occurring Asbestos</x:t>
        </x:is>
      </x:c>
      <x:c r="E143" s="31" t="n">
        <x:v>17.05</x:v>
      </x:c>
      <x:c r="F143" s="8" t="n">
        <x:f>=HYPERLINK("#Obligation()","Workplace Management—Asbestos")</x:f>
      </x:c>
      <x:c r="G143" s="8" t="n">
        <x:f>=HYPERLINK("#SubObligation()","Management of Naturally Occurring Asbestos")</x:f>
      </x:c>
      <x:c r="H143" s="6" t="n">
        <x:f>=HYPERLINK("#H143","Tools")</x:f>
      </x:c>
      <x:c r="I143" s="27" t="str">
        <x:v>&lt;b&gt;&lt;p&gt;Management of Naturally Occurring Asbestos&lt;/p&gt;Does the organisation that manages or controls the workplace have an effective asbestos management plan for naturally occurring asbestos (NOA) at the workplace and provide appropriate training on NOA to workers?&lt;/b&gt;</x:v>
      </x:c>
      <x:c r="J143" s="6" t="str">
        <x:v>&lt;p&gt;Most asbestos in the workplace is associated with manufactured materials. Naturally occurring asbestos (NOA) is a less common form and is the natural geological form of asbestos minerals found in rock, sediment or soil. It may be encountered when carrying out road construction, mining or excavation work.&lt;/p&gt;&lt;p&gt;An organisation with management or control of the workplace has a duty to manage risks to health and safety associated with NOA at the workplace. If NOA is identified at the workplace or is likely to be present at the workplace, the organisation must ensure that a written asbestos management plan is prepared in relation to the NOA. The organisation must also maintain the plan to ensure that the information is up to date.&lt;/p&gt;&lt;p&gt;The asbestos management plan must include information about:&lt;/p&gt;&lt;ul type="disc"&gt;&lt;li&gt;the identification of the NOA&lt;/li&gt;&lt;li&gt;decisions, and reasons for decisions, about the management of NOA at the workplace (e.g. safe work procedures and control measures)&lt;/li&gt;&lt;li&gt;procedures for detailing incidents or emergencies involving NOA at the workplace&lt;/li&gt;&lt;li&gt;workers carrying out work involving NOA (e.g. consultation with workers, information and training provided to workers, and the workers&amp;rsquo; responsibilities).&lt;/li&gt;&lt;/ul&gt;&lt;p&gt;The organisation must ensure that a copy of the plan is readily accessible to:&lt;/p&gt;&lt;ul type="disc"&gt;&lt;li&gt;a worker or organisation that has carried out, carries out or intends to carry out work at the workplace&lt;/li&gt;&lt;li&gt;a health and safety representative who represents the worker&lt;/li&gt;&lt;li&gt;any organisation that has required, requires or intends to require work to be carried out at the workplace.&lt;/li&gt;&lt;/ul&gt;&lt;p&gt;An organisation that manages or controls the workplace must also ensure that the asbestos management plan is reviewed and, if necessary, revised if the plan is no longer adequate for managing NOA at the workplace.&lt;/p&gt;&lt;p&gt;An organisation needs to ensure that it provides training to workers who carry out work where NOA is likely to be found. The training must cover the hazards and risks associated with NOA.&lt;/p&gt;&lt;p&gt;The organisation with management or control of the workplace must manage health and safety risks associated with NOA in accordance with Part 3.1 of the harmonised Work Health and Safety Regulations. This means that the organisation should:&lt;/p&gt;&lt;ul type="disc"&gt;&lt;li&gt;identify NOA that is present, or likely to be present, at the workplace&lt;/li&gt;&lt;li&gt;assess the risks associated with the NOA&lt;/li&gt;&lt;li&gt;implement control measures to eliminate or minimise the risks, so far as is reasonably practicable in accordance with the hierarchy of controls&lt;/li&gt;&lt;li&gt;monitor the control measures to ensure that they are followed and maintained&lt;/li&gt;&lt;li&gt;periodically review and revise the control measures to ensure their ongoing effectiveness.&lt;/li&gt;&lt;/ul&gt;&lt;p&gt;The asbestos management plan is an important part of the process for managing the risks of exposure to NOA. When preparing an asbestos management plan, the organisation should consider the following:&lt;/p&gt;&lt;ul type="disc"&gt;&lt;li&gt;isolating the workplace (or part of it) until controls are in place&lt;/li&gt;&lt;li&gt;deviating excavation to avoid the asbestos deposit, where possible&lt;/li&gt;&lt;li&gt;using sealed excavation or mining equipment (e.g. air-conditioned cabins with filtered air)&lt;/li&gt;&lt;li&gt;maintaining regular surveillance of the rock by a competent person to ensure minimal disturbance of suspected fibrous minerals&lt;/li&gt;&lt;li&gt;developing procedures for the safe disposal of asbestos waste, if required&lt;/li&gt;&lt;li&gt;educating workers in safe work practices.&lt;/li&gt;&lt;/ul&gt;&lt;p&gt;The organisation should ensure that it has a procedure for reviewing and updating the asbestos management plan if the plan is no longer adequate for managing NOA at the workplace.&lt;/p&gt;&lt;p&gt;The organisation may decide to implement an air monitoring program to assess asbestos exposure levels and the effectiveness of specific risk control measures in managing risks of NOA. The release of airborne asbestos should be minimised by:&lt;/p&gt;&lt;ul type="disc"&gt;&lt;li&gt;wetting surfaces to reduce dust levels&lt;/li&gt;&lt;li&gt;suppressing, containing and extracting dust in processing operations&lt;/li&gt;&lt;li&gt;using wet drilling or other approved in-hole dust suppression&lt;/li&gt;&lt;li&gt;preventing the spread of contamination by using wash-down facilities&lt;/li&gt;&lt;li&gt;providing information, training and supervision for all workers potentially at risk&lt;/li&gt;&lt;li&gt;using personal protective equipment where indicated.&lt;/li&gt;&lt;/ul&gt;&lt;p&gt;Further information on NOA is available in the Model code of practice - How to manage and control asbestos in the workplace, December 2011 (Safe Work Australia). See Tools - Model code of practice - How to manage and control asbestos in the workplace, December 2011 (Safe Work Australia).&lt;/p&gt;</x:v>
      </x:c>
      <x:c r="K143" s="6" t="n">
        <x:f>=HYPERLINK("#K143","Guidance Notes")</x:f>
      </x:c>
      <x:c r="L143" s="6" t="str">
        <x:v>&lt;p&gt;Put in place a process to ensure that an effective asbestos management plan for NOA is prepared and kept up to date, and appropriate training on NOA is provided to relevant workers.&lt;/p&gt;</x:v>
      </x:c>
      <x:c r="M143" s="6" t="n">
        <x:f>=HYPERLINK("#M143","Remediation")</x:f>
      </x:c>
      <x:c r="N143" s="6" t="str">
        <x:v>&lt;p&gt;Penalties apply for failing to prepare an asbestos management plan for NOA and for failing to ensure that the information in the plan is kept up to date. The maximum penalties are $30,000 for an organisation and $6,000 for an individual (reg 432). The same maximum penalties apply for failing to provide training to workers on the risks and hazards of NOA (reg 434).&lt;/p&gt;&lt;p&gt;The maximum penalties for failing to make a copy of the asbestos management plan for the NOA readily accessible to relevant workers, health and safety representatives and organisations are $18,000 for an organisation and $3,600 for an individual (reg 432). The same maximum penalties apply for failing to review and revise the plan as needed (reg 433).&lt;/p&gt;</x:v>
      </x:c>
      <x:c r="O143" s="6" t="n">
        <x:f>=HYPERLINK("#O143","Consequence")</x:f>
      </x:c>
      <x:c r="P143" s="6" t="str">
        <x:v>&lt;p&gt;&lt;a href="https://www.legislation.gov.au/Details/F2011L02664" target="_blank" &gt;Work Health and Safety Regulations 2011 (Cth)&lt;/a&gt; regs 431&amp;ndash;434 (see also corresponding regulations in ACT, NSW, NT, QLD, SA and TAS)&lt;/p&gt;&lt;p&gt;How to Manage and Control Asbestos in the Workplace Code of Practice&amp;mdash;December 2011&lt;/p&gt;</x:v>
      </x:c>
      <x:c r="Q143" s="6" t="n">
        <x:f>=HYPERLINK("#Q143","Source")</x:f>
      </x:c>
      <x:c r="R143"/>
      <x:c r="S143"/>
      <x:c r="T143"/>
    </x:row>
    <x:row r="144" spans="1:20" ht="15.75" x14ac:dyDescent="0.25">
      <x:c r="A144" t="n">
        <x:v>11744</x:v>
      </x:c>
      <x:c r="B144" t="str">
        <x:v>NSW,NT,QLD,SA,TAS,ACT,COMMONWEALTH</x:v>
      </x:c>
      <x:c r="C144" t="inlineStr">
        <x:is>
          <x:t xml:space="preserve">  Subobligation</x:t>
        </x:is>
      </x:c>
      <x:c r="D144" t="inlineStr">
        <x:is>
          <x:t xml:space="preserve">  Training Workers about Asbestos</x:t>
        </x:is>
      </x:c>
      <x:c r="E144" s="31" t="n">
        <x:v>17.06</x:v>
      </x:c>
      <x:c r="F144" s="8" t="n">
        <x:f>=HYPERLINK("#Obligation()","Workplace Management—Asbestos")</x:f>
      </x:c>
      <x:c r="G144" s="8" t="n">
        <x:f>=HYPERLINK("#SubObligation()","Training Workers about Asbestos")</x:f>
      </x:c>
      <x:c r="H144" s="6" t="n">
        <x:f>=HYPERLINK("#H144","Tools")</x:f>
      </x:c>
      <x:c r="I144" s="27" t="str">
        <x:v>&lt;b&gt;&lt;p&gt;Training Workers about Asbestos&lt;/p&gt;Does the organisation train workers about asbestos if the workers are involved in asbestos removal work or asbestos-related work?&lt;/b&gt;</x:v>
      </x:c>
      <x:c r="J144" s="6" t="str">
        <x:v>&lt;p&gt;An organisation must ensure that workers involved in asbestos removal work or asbestos-related work are trained in the identification and safe handling of, and suitable control measures for, asbestos and asbestos-containing material (ACM). Special training requirements apply to workers who carry out licensed asbestos removal work (see sub-obligation &amp;lsquo;Asbestos Removal Work&amp;mdash;Supervision, Training and Other Requirements&amp;rsquo; in this section of the module).&lt;/p&gt;&lt;p&gt;In the ACT, if an organisation reasonably believes that a worker will be engaged in work involving asbestos or ACM, the worker must be trained in the VET course &amp;lsquo;Asbestos assessment&amp;rsquo;.&lt;/p&gt;&lt;p&gt;An organisation must keep a record of the training while the worker is carrying out the work, and for 5 years after the day the worker stops working for the organisation. The organisation also needs to keep the record available for inspection under the relevant Work Health and Safety Act.&lt;/p&gt;&lt;p&gt;The organisation has a duty to ensure that all information, training and instruction provided to workers is suitable and adequate, taking into consideration the nature of the work, the nature of the associated risks, and the control measures implemented. The information, training and instruction must be provided in a way that is readily understandable to workers, taking into account each worker&amp;rsquo;s language, literacy and numeracy skills.&lt;/p&gt;&lt;p&gt;When providing training to workers, the organisation should consider providing information on the following:&lt;/p&gt;&lt;ul type="disc"&gt;&lt;li&gt;the purpose of the training&lt;/li&gt;&lt;li&gt;the health risks of asbestos&lt;/li&gt;&lt;li&gt;the types, uses and likely presence of asbestos in the workplace&lt;/li&gt;&lt;li&gt;the workers&amp;rsquo; roles and responsibilities under the asbestos management plan&lt;/li&gt;&lt;li&gt;where the asbestos register is located, how it can be accessed and how to understand the information contained in it&lt;/li&gt;&lt;li&gt;the processes and safe work procedures to be followed to prevent exposure, including exposure from any accidental release of airborne asbestos&lt;/li&gt;&lt;li&gt;the correct use of personal protective equipment and respiratory protective equipment&lt;/li&gt;&lt;li&gt;the implementation of control measures and safe work methods to eliminate or minimise the risks associated with airborne asbestos and to limit the exposure to workers and others&lt;/li&gt;&lt;li&gt;the exposure standard and control levels for asbestos&lt;/li&gt;&lt;li&gt;the purpose of any exposure monitoring or health monitoring.&lt;/li&gt;&lt;/ul&gt;&lt;p&gt;This training is more general than the training that a worker who carries out asbestos removal work would receive. See Tools - Model code of practice - How to Safely Remove Asbestos, December 2011 (Safe Work Australia) and Safe Removal of Asbestos 2nd Edition [NOHSC: 2002 (2005)], January 2005 (National Occupational Health and Safety Commission).&lt;/p&gt;&lt;p&gt;The organisation should have a procedure for keeping written records of asbestos training to demonstrate compliance with work health and safety requirements.&lt;/p&gt;&lt;p&gt;Further information on providing training about asbestos to workers, see Tools - Model code of practice - How to manage and control asbestos in the workplace, December 2011 (Safe Work Australia).&lt;/p&gt;</x:v>
      </x:c>
      <x:c r="K144" s="6" t="n">
        <x:f>=HYPERLINK("#K144","Guidance Notes")</x:f>
      </x:c>
      <x:c r="L144" s="6" t="str">
        <x:v>&lt;p&gt;Put in place procedures and resources to ensure that workers involved in asbestos removal work or asbestos-related work receive appropriate training about asbestos.&lt;/p&gt;</x:v>
      </x:c>
      <x:c r="M144" s="6" t="n">
        <x:f>=HYPERLINK("#M144","Remediation")</x:f>
      </x:c>
      <x:c r="N144" s="6" t="str">
        <x:v>&lt;p&gt;Penalties apply for failing to provide appropriate training to workers on asbestos. The maximum penalties are $30,000 for an organisation and $6,000 for an individual (reg 445).&lt;/p&gt;&lt;p&gt;Penalties also apply for failing to keep training records for the required period and failing to keep the records available for inspection. The maximum penalties are $6,000 for an organisation and $1,250 for an individual (reg 445).&lt;/p&gt;</x:v>
      </x:c>
      <x:c r="O144" s="6" t="n">
        <x:f>=HYPERLINK("#O144","Consequence")</x:f>
      </x:c>
      <x:c r="P144" s="6" t="str">
        <x:v>&lt;p&gt;&lt;a href="https://www.legislation.gov.au/Details/F2011L02664" target="_blank" &gt;Work Health and Safety Regulations 2011 (Cth)&lt;/a&gt; regs 39, 445 (see also corresponding regulations in ACT, NSW, NT, QLD, SA and TAS)&lt;/p&gt;&lt;p&gt;How to Manage and Control Asbestos in the Workplace Code of Practice&amp;mdash;December 2011&lt;/p&gt;&lt;p&gt;How to Safely Remove Asbestos Code of Practice&amp;mdash;December 2011&lt;/p&gt;</x:v>
      </x:c>
      <x:c r="Q144" s="6" t="n">
        <x:f>=HYPERLINK("#Q144","Source")</x:f>
      </x:c>
      <x:c r="R144"/>
      <x:c r="S144"/>
      <x:c r="T144"/>
    </x:row>
    <x:row r="145" spans="1:20" ht="15.75" x14ac:dyDescent="0.25">
      <x:c r="A145" t="n">
        <x:v>11750</x:v>
      </x:c>
      <x:c r="B145" t="str">
        <x:v>NSW,NT,QLD,SA,TAS,ACT,COMMONWEALTH</x:v>
      </x:c>
      <x:c r="C145" t="inlineStr">
        <x:is>
          <x:t xml:space="preserve">  Subobligation</x:t>
        </x:is>
      </x:c>
      <x:c r="D145" t="inlineStr">
        <x:is>
          <x:t xml:space="preserve">  Controls on Use of Certain Equipment on Asbestos</x:t>
        </x:is>
      </x:c>
      <x:c r="E145" s="31" t="n">
        <x:v>17.07</x:v>
      </x:c>
      <x:c r="F145" s="8" t="n">
        <x:f>=HYPERLINK("#Obligation()","Workplace Management—Asbestos")</x:f>
      </x:c>
      <x:c r="G145" s="8" t="n">
        <x:f>=HYPERLINK("#SubObligation()","Controls on Use of Certain Equipment on Asbestos")</x:f>
      </x:c>
      <x:c r="H145" s="6" t="n">
        <x:f>=HYPERLINK("#H145","Tools")</x:f>
      </x:c>
      <x:c r="I145" s="27" t="str">
        <x:v>&lt;b&gt;&lt;p&gt;Controls on Use of Certain Equipment on Asbestos&lt;/p&gt;Does the organisation limit the use of certain equipment on asbestos or asbestos-containing material?&lt;/b&gt;</x:v>
      </x:c>
      <x:c r="J145" s="6" t="str">
        <x:v>&lt;p&gt;An organisation has a duty to limit the use of certain equipment when carrying out work involving asbestos. The organisation must not use, or direct or allow a worker to use, high-pressure water spray or compressed air on asbestos or asbestos-containing material (ACM). However, this prohibition does not apply to high-pressure water spray used for firefighting or fire protection purposes.&lt;/p&gt;&lt;p&gt;An organisation also must not use, or direct or allow a worker to use, power tools or brooms&amp;mdash;or any other implements that cause the release of airborne asbestos into the atmosphere&amp;mdash;on asbestos or ACM, unless the use of the equipment is controlled. The use will be controlled if the equipment is:&lt;/p&gt;&lt;ul&gt;&lt;li&gt;enclosed during its use, or&lt;/li&gt;&lt;li&gt;designed to capture or suppress airborne asbestos and is used according to its design, or&lt;/li&gt;&lt;li&gt;used in a way that is designed to capture or suppress airborne asbestos safely.&lt;/li&gt;&lt;li&gt;Any combination of these three controls may be required to prevent airborne asbestos from being generated.&lt;/li&gt;&lt;/ul&gt;&lt;p&gt;The organisation should ensure that managers, supervisors and workers understand the prohibitions on the use of high-pressure water spray or compressed air on asbestos.&lt;/p&gt;&lt;p&gt;Manually operated (non-powered) hand tools should be used wherever possible when carrying out work that involves asbestos (where such work is permitted). If such tools will not provide sufficient physical force to perform the required operation, low-speed, battery-powered tools that are able to be used in conjunction with wet methods for dust control are preferred.&lt;/p&gt;&lt;p&gt;If the organisation uses any tools or equipment that may cause the release of airborne asbestos into the atmosphere, it should ensure that it implements the required control measures. The organisation should undertake exposure monitoring to ensure that the control measures are effective in reducing the generation of respirable asbestos fibres.&lt;/p&gt;&lt;p&gt;Further information on the use of tools and equipment on asbestos, see Tools - Model code of practice - How to manage and control asbestos in the workplace, December 2011 (Safe Work Australia).&lt;/p&gt;</x:v>
      </x:c>
      <x:c r="K145" s="6" t="n">
        <x:f>=HYPERLINK("#K145","Guidance Notes")</x:f>
      </x:c>
      <x:c r="L145" s="6" t="str">
        <x:v>&lt;p&gt;Put in place procedures to prohibit or control the use of certain equipment on asbestos and asbestos-containing material.&lt;/p&gt;</x:v>
      </x:c>
      <x:c r="M145" s="6" t="n">
        <x:f>=HYPERLINK("#M145","Remediation")</x:f>
      </x:c>
      <x:c r="N145" s="6" t="str">
        <x:v>&lt;p&gt;The maximum penalties for using, or directing or allowing a worker to use, high-pressure water spray, compressed air or certain non-controlled equipment on asbestos or ACM are $18,000 for an organisation and $3,600 for an individual (reg 446).&lt;/p&gt;</x:v>
      </x:c>
      <x:c r="O145" s="6" t="n">
        <x:f>=HYPERLINK("#O145","Consequence")</x:f>
      </x:c>
      <x:c r="P145" s="6" t="str">
        <x:v>&lt;p&gt;&lt;a href="https://www.legislation.gov.au/Details/F2011L02664" target="_blank" &gt;Work Health and Safety Regulations 2011 (Cth)&lt;/a&gt; reg 446 (see also corresponding regulations in ACT, NSW, NT, QLD, SA and TAS)&lt;/p&gt;&lt;p&gt;How to Manage and Control Asbestos in the Workplace Code of Practice&amp;mdash;December 2011&lt;/p&gt;&lt;p&gt;How to Safely Remove Asbestos Code of Practice&amp;mdash;December 2011&lt;/p&gt;&lt;p&gt;AS/NZS 60335.2.69:2003 Household and Similar Electrical Appliances&amp;mdash;Safety&amp;mdash;Particular Requirements for Wet and Dry Vacuum Cleaners, Including Power Brush, for Industrial and Commercial Use&lt;/p&gt;&lt;p&gt;AS 4260&amp;ndash;1997 High Efficiency Particulate Air (HEPA) Filters&amp;mdash;Classification, Construction and Performance&lt;/p&gt;</x:v>
      </x:c>
      <x:c r="Q145" s="6" t="n">
        <x:f>=HYPERLINK("#Q145","Source")</x:f>
      </x:c>
      <x:c r="R145"/>
      <x:c r="S145"/>
      <x:c r="T145"/>
    </x:row>
    <x:row r="146" spans="1:20" ht="15.75" x14ac:dyDescent="0.25">
      <x:c r="A146" t="n">
        <x:v>11755</x:v>
      </x:c>
      <x:c r="B146" t="str">
        <x:v>NSW,NT,QLD,SA,TAS,ACT,COMMONWEALTH</x:v>
      </x:c>
      <x:c r="C146" t="inlineStr">
        <x:is>
          <x:t xml:space="preserve">  Subobligation</x:t>
        </x:is>
      </x:c>
      <x:c r="D146" t="inlineStr">
        <x:is>
          <x:t xml:space="preserve">  Asbestos—Demolition and Refurbishment</x:t>
        </x:is>
      </x:c>
      <x:c r="E146" s="31" t="n">
        <x:v>17.08</x:v>
      </x:c>
      <x:c r="F146" s="8" t="n">
        <x:f>=HYPERLINK("#Obligation()","Workplace Management—Asbestos")</x:f>
      </x:c>
      <x:c r="G146" s="8" t="n">
        <x:f>=HYPERLINK("#SubObligation()","Asbestos—Demolition and Refurbishment")</x:f>
      </x:c>
      <x:c r="H146" s="6" t="n">
        <x:f>=HYPERLINK("#H146","Tools")</x:f>
      </x:c>
      <x:c r="I146" s="27" t="str">
        <x:v>&lt;b&gt;&lt;p&gt;Asbestos—Demolition and Refurbishment&lt;/p&gt;Does the organisation comply with asbestos-related requirements when demolition or refurbishment of a structure or plant (constructed or installed before 31 December 2003) is carried out?&lt;/b&gt;</x:v>
      </x:c>
      <x:c r="J146" s="6" t="str">
        <x:v>&lt;p&gt;The harmonised Work Health and Safety (WHS) Regulations impose a number of asbestos-related obligations on organisations that carry out demolition or refurbishment of a structure or plant that was constructed or installed before 31 December 2003 (before 31 December 1989 in the case of structures that are buildings in Queensland). These obligations do not apply to minor or routine maintenance work, or other minor work.&lt;/p&gt;&lt;p&gt;Examples of demolition may include:&lt;/p&gt;&lt;ul type="disc"&gt;&lt;li&gt;complete dismantling of a decommissioned industrial plant&lt;/li&gt;&lt;li&gt;total destruction of a building or part of it&lt;/li&gt;&lt;li&gt;total destruction of an old boiler for disposal purposes.&lt;/li&gt;&lt;/ul&gt;&lt;p&gt;Examples of refurbishment may include the partial dismantling of:&lt;/p&gt;&lt;ul type="disc"&gt;&lt;li&gt;a boiler for the purpose of cleaning and repairing&lt;/li&gt;&lt;li&gt;large plant in order to access and remove asbestos-containing gaskets to replace these with non-asbestos-containing gaskets&lt;/li&gt;&lt;li&gt;a building by removing sections of an asbestos cement roof&lt;/li&gt;&lt;li&gt;part of a building for the purpose of renovation.&lt;/li&gt;&lt;/ul&gt;&lt;p&gt;Before any demolition or refurbishment is carried out at a workplace, the organisation with management or control of the workplace must ensure that the workplace&amp;rsquo;s asbestos register is reviewed and, if necessary, revised.&lt;/p&gt;&lt;p&gt;The organisation will need to give a copy of the asbestos register to the organisation carrying out the demolition or refurbishment before the work commences. This duty is a two-way duty, as the organisation carrying out the demolition or refurbishment also has a responsibility to obtain a copy of the asbestos register before work commences.&lt;/p&gt;&lt;p&gt;If no asbestos register exists, the organisation carrying out the demolition or refurbishment must not do the work until the structure or plant has been inspected to determine whether asbestos or asbestos-containing material (ACM) is fixed to or installed in it. The organisation will need to ensure that a competent person (or, in the ACT, a licensed asbestos assessor) makes this determination. It must assume that asbestos or ACM is fixed to or installed in the structure if the competent person or assessor is uncertain of this or if part of the structure or plant is inaccessible and likely to be disturbed during the demolition or refurbishment. (Note: In the ACT, the organisation must assume the presence of asbestos or ACM at residential premises if an approved warning sign is displayed at the premises.)&lt;/p&gt;&lt;p&gt;If asbestos or ACM is determined or assumed to be fixed to or installed in the structure or plant, the organisation carrying out the demolition or refurbishment must inform the owner and occupier of the premises (if the workplace is residential premises) or the organisation with management or control of the workplace (for all other workplaces).&lt;/p&gt;&lt;p&gt;When a structure or plant is to be demolished, the organisation with management or control of the workplace, structure or plant (in the case of non-domestic premises) or the organisation carrying out the demolition (in the case of domestic premises) must ensure that all asbestos that is likely to be disturbed is identified and, so far as is reasonably practicable, removed before the demolition begins (although this requirement to remove the asbestos does not apply if the purpose of the demolition is to gain access to the asbestos). These rules will not apply in an emergency (i.e. where the structure or plant is structurally unsound, or the collapse of the structure or plant is imminent).&lt;/p&gt;&lt;p&gt;When an emergency occurs and the structure or plant to be demolished has asbestos fixed to or installed in it, the organisation with management or control of the workplace (in the case of non-domestic premises) must ensure, so far as is reasonably practicable, that:&lt;/p&gt;&lt;ul type="disc"&gt;&lt;li&gt;before the demolition starts, a procedure is developed that will, so far as is reasonably practicable, reduce the asbestos exposure risk of workers and others in the vicinity of the site to below the exposure standard&lt;/li&gt;&lt;li&gt;the asbestos register for the workplace is considered when developing the procedure.&lt;/li&gt;&lt;/ul&gt;&lt;p&gt;When an emergency occurs at domestic premises and the structure or plant to be demolished at the premises has asbestos fixed to or installed in it, the organisation that is to carry out the demolition must ensure, so far as is reasonably practicable, that, before the demolition starts, a procedure is developed that will, so far as is reasonably practicable, reduce the asbestos exposure risk of workers and others in the vicinity of the site to below the exposure standard.&lt;/p&gt;&lt;p&gt;An organisation with management or control of the workplace (in the case of non-domestic premises) or the organisation carrying out the demolition (in the case of domestic premises) will need to notify the regulator in writing immediately after becoming aware of the emergency and before the demolition commences. (Note: In the ACT, the organisation must also notify the regulator of the planned demolition of a structure or part of a structure that contains, or has contained, loose-fill asbestos insulation. The written notice must be provided at least 5 days before the work begins.)&lt;/p&gt;&lt;p&gt;When refurbishing a structure or plant, the organisation with management or control of the workplace, structure or plant (in the case of non-domestic premises) or the organisation carrying out the refurbishment (in the case of domestic premises) will need to ensure that all asbestos that is likely to be disturbed is identified and, so far as is reasonably practicable, removed before the refurbishment begins.&lt;/p&gt;&lt;p&gt;It is essential that the organisation with management or control of the workplace reviews the asbestos register before commencing any demolition or refurbishment. In doing so, the organisation should consider the following questions:&lt;/p&gt;&lt;ul type="disc"&gt;&lt;li&gt;Where is the asbestos located in relation to the proposed demolition or refurbishment?&lt;/li&gt;&lt;li&gt;Are there any inaccessible areas that are likely to contain asbestos and that will be disturbed as a result of the demolition or refurbishment?&lt;/li&gt;&lt;li&gt;What is the type and condition of the asbestos?&lt;/li&gt;&lt;li&gt;What is the quantity of asbestos?&lt;/li&gt;&lt;li&gt;What is the method of demolition or refurbishment and how will it affect the ACM?&lt;/li&gt;&lt;li&gt;If the asbestos will be disturbed, can it be removed safely before work commences? If so, how can it be done?&lt;/li&gt;&lt;/ul&gt;&lt;p&gt;If an asbestos register identifies an inaccessible area of the workplace that is likely to contain asbestos, and the demolition work is likely to make the area accessible, then the organisation should ensure that the register is revised accordingly.&lt;/p&gt;&lt;p&gt;The organisation should determine whether the planned work is minor routine maintenance work or other minor work, which is excluded from the definition of demolition and refurbishment in the WHS Regulations. Minor maintenance work includes work that is routine, small scale and often of short duration, and may be unscheduled. Minor work includes small tasks of short duration that are not routine or regular, and can be performed safely and quickly with minimal control measures (such as cutting a small hole in an asbestos cement sheet).&lt;/p&gt;&lt;p&gt;The WHS Regulations impose various other obligations on an organisation that carries out demolition work.&lt;/p&gt;&lt;p&gt;Further information on demolition and refurbishment, see Tools - Model code of practice - How to manage and control asbestos in the workplace, December 2011 (Safe Work Australia).&lt;/p&gt;</x:v>
      </x:c>
      <x:c r="K146" s="6" t="n">
        <x:f>=HYPERLINK("#K146","Guidance Notes")</x:f>
      </x:c>
      <x:c r="L146" s="6" t="str">
        <x:v>&lt;p&gt;Put in place procedures and resources to ensure compliance with asbestos-related requirements when demolition or refurbishment of a structure or plant is carried out.&lt;/p&gt;</x:v>
      </x:c>
      <x:c r="M146" s="6" t="n">
        <x:f>=HYPERLINK("#M146","Remediation")</x:f>
      </x:c>
      <x:c r="N146" s="6" t="str">
        <x:v>&lt;p&gt;Penalties apply if an organisation with management or control of a workplace fails to review or revise the asbestos register before demolition or refurbishment is carried out. The maximum penalties are $30,000 for an organisation and $6,000 for an individual (reg 448). The same maximum penalties apply for failing to give a copy of the asbestos register to the organisation carrying out the demolition or refurbishment (reg 449).&lt;/p&gt;&lt;p&gt;The failure of an organisation carrying out a demolition or refurbishment to obtain a copy of the asbestos register before the work begins attracts maximum penalties of $30,000 for an organisation and $6,000 for an individual (reg 450). The same maximum penalties apply if the organisation fails to ensure that a competent person inspects the structure or plant for asbestos or ACM before the work begins (reg 451).&lt;/p&gt;&lt;p&gt;A failure to identify and (if practicable) remove all asbestos before demolition (regs 452 and 453) or refurbishment (regs 456 and 457) attracts maximum penalties of $30,000 for an organisation and $6,000 for an individual.&lt;/p&gt;&lt;p&gt;The maximum penalties for failing to review and, if necessary, revise the asbestos register before demolition or refurbishment is carried out are $18,000 for an organisation and $3,600 for an individual (reg 448). The same maximum penalties apply for failing to:&lt;/p&gt;&lt;ul&gt;&lt;li&gt;inform the relevant people of the presence of asbestos or ACM in the structure or plant to be demolished or refurbished (reg 451)&lt;/li&gt;&lt;li&gt;develop an emergency procedure for an emergency demolition and notify the regulator about the emergency (regs 454 and 455).&lt;/li&gt;&lt;/ul&gt;</x:v>
      </x:c>
      <x:c r="O146" s="6" t="n">
        <x:f>=HYPERLINK("#O146","Consequence")</x:f>
      </x:c>
      <x:c r="P146" s="6" t="str">
        <x:v>&lt;p&gt;&lt;a href="file:///C:\Users\T0166020\AppData\Local\Temp\Temp1_files-Sub%20Obligations%20(to%20be%20approved)%20-%20Harmonised.zip\Work%20Health%20and%20Safety%20Regulations%202011%20(Cth)" target="_blank" &gt;Work Health and Safety Regulations 2011 (Cth)&lt;/a&gt; regs 447&amp;ndash;457 (see also corresponding regulations in ACT, NSW, NT, QLD, SA and TAS)&lt;/p&gt;&lt;p&gt;How to Manage and Control Asbestos in the Workplace Code of Practice&amp;mdash;December 2011&lt;/p&gt;&lt;p&gt;How to Safely Remove Asbestos Code of Practice&amp;mdash;December 2011&lt;/p&gt;</x:v>
      </x:c>
      <x:c r="Q146" s="6" t="n">
        <x:f>=HYPERLINK("#Q146","Source")</x:f>
      </x:c>
      <x:c r="R146"/>
      <x:c r="S146"/>
      <x:c r="T146"/>
    </x:row>
    <x:row r="147" spans="1:20" ht="15.75" x14ac:dyDescent="0.25">
      <x:c r="A147" t="n">
        <x:v>11762</x:v>
      </x:c>
      <x:c r="B147" t="str">
        <x:v>NSW,NT,QLD,SA,TAS,ACT,COMMONWEALTH</x:v>
      </x:c>
      <x:c r="C147" t="inlineStr">
        <x:is>
          <x:t xml:space="preserve">  Subobligation</x:t>
        </x:is>
      </x:c>
      <x:c r="D147" t="inlineStr">
        <x:is>
          <x:t xml:space="preserve">  Licensing of Asbestos Removalists and Asbestos Assessors</x:t>
        </x:is>
      </x:c>
      <x:c r="E147" s="31" t="n">
        <x:v>17.09</x:v>
      </x:c>
      <x:c r="F147" s="8" t="n">
        <x:f>=HYPERLINK("#Obligation()","Workplace Management—Asbestos")</x:f>
      </x:c>
      <x:c r="G147" s="8" t="n">
        <x:f>=HYPERLINK("#SubObligation()","Licensing of Asbestos Removalists and Asbestos Assessors")</x:f>
      </x:c>
      <x:c r="H147" s="6" t="n">
        <x:f>=HYPERLINK("#H147","Tools")</x:f>
      </x:c>
      <x:c r="I147" s="27" t="str">
        <x:v>&lt;b&gt;&lt;p&gt;Licensing of Asbestos Removalists and Asbestos Assessors&lt;/p&gt;Does the organisation hold a Class A or Class B asbestos removal licence to remove certain types and quantities of asbestos, and does the individual hold an asbestos assessor licence to undertake air monitoring and clearance inspections and issue clearance certificates for Class A asbestos removal work?&lt;/b&gt;</x:v>
      </x:c>
      <x:c r="J147" s="6" t="str">
        <x:v>&lt;p&gt;There are two types of licence for asbestos removal work: Class A and Class B. The type of licence required (if any) will depend on the type and quantity of asbestos or asbestos-containing material (ACM) that is being removed at a workplace.&lt;/p&gt;&lt;p&gt;Only asbestos removalists that hold a Class A licence are authorised to remove any amount of asbestos or ACM, including:&lt;/p&gt;&lt;ul type="disc"&gt;&lt;li&gt;any amount of friable asbestos or ACM&lt;/li&gt;&lt;li&gt;any amount of asbestos-contaminated dust or debris (ACD)&lt;/li&gt;&lt;li&gt;any amount of non-friable asbestos or ACM.&lt;/li&gt;&lt;/ul&gt;&lt;p&gt;Friable asbestos (that is, asbestos that is in powder form, or can be crumbled, pulverised or reduced to a powder by hand pressure when dry) can only be removed by an asbestos removalist that holds a Class A licence.&lt;/p&gt;&lt;p&gt;An asbestos removalist that holds a Class B licence is authorised to remove:&lt;/p&gt;&lt;ul type="disc"&gt;&lt;li&gt;10 m&lt;sup&gt;2&lt;/sup&gt; or more of non-friable asbestos or ACM&lt;/li&gt;&lt;li&gt;ACD associated with the removal of 10 m&lt;sup&gt;2&lt;/sup&gt; or more of non-friable asbestos or ACM.&lt;/li&gt;&lt;/ul&gt;&lt;p&gt;Except in the ACT, no licence is required for the removal of:&lt;/p&gt;&lt;ul type="disc"&gt;&lt;li&gt;up to 10 m&lt;sup&gt;2&lt;/sup&gt; of non-friable asbestos or ACM&lt;/li&gt;&lt;li&gt;ACD that is:&lt;p&gt;- associated with the removal of less than 10 m&lt;sup&gt;2&lt;/sup&gt; of non-friable asbestos or ACM&lt;/p&gt;&lt;p&gt;- not associated with the removal of friable or non-friable asbestos and is only a minor contamination.&lt;/p&gt;&lt;/li&gt;&lt;/ul&gt;&lt;p&gt;However, where no licence is required, the asbestos removal work must be carried out by a competent person who has been trained in the identification and safe handling of, and suitable control measures for, asbestos or ACM.&lt;/p&gt;&lt;p&gt;In the ACT, all asbestos removal work must be carried out by a licensed asbestos removalist. The only exception to this requirement is the removal of non-friable asbestos or ACD incidental to minor or routine maintenance work, or other minor work.&lt;/p&gt;&lt;p&gt;An organisation can only direct or allow a worker to carry out Class A or Class B asbestos removal work if the organisation holds a valid licence for the work, the worker has received the required training, and the required supervision is provided (see sub-obligation &amp;lsquo;Asbestos Removal Work&amp;mdash;Supervision, Training and Other Requirements&amp;rsquo; in this section of the module).&lt;/p&gt;&lt;p&gt;Licensing requirements also apply to asbestos assessors. An individual must hold an asbestos assessor licence in order to:&lt;/p&gt;&lt;ul type="disc"&gt;&lt;li&gt;conduct air monitoring during Class A asbestos removal work&lt;/li&gt;&lt;li&gt;carry out clearance inspections for Class A asbestos removal work&lt;/li&gt;&lt;li&gt;issue clearance certificates in relation to Class A asbestos removal work.&lt;/li&gt;&lt;/ul&gt;&lt;p&gt;Note: In the ACT, air monitoring for all types of asbestos removal work must be carried out by a licensed asbestos assessor.&lt;/p&gt;&lt;p&gt;The WHS Regulations provide for recognition of asbestos removal licences and asbestos assessor licences that are granted in another jurisdiction under a corresponding WHS law and are being used in accordance with the terms and conditions under which they were granted. Recognition does not extend to suspended, cancelled or expired licences.&lt;/p&gt;&lt;p&gt;The regulator must keep a register of each organisation or individual holding an asbestos removal licence, and each supervisor named in relation to an asbestos removal licence. The regulator must also keep a publicly available register of each individual holding an asbestos assessor licence.&lt;/p&gt;&lt;p&gt;Any organisation that is involved in asbestos removal work, or that manages a workplace where such work is carried out, should ensure that it understands the licensing requirements for asbestos removal work and asbestos assessors in the applicable state or territory. The organisation should pay particular attention to the types of work that are authorised by a Class A and Class B licence. If in doubt, the organisation should contact the regulator to discuss what type of licence, if any, is required to carry out particular asbestos removal work.&lt;/p&gt;&lt;p&gt;A licensed asbestos removalist should ensure that it is authorised to carry out a particular type of asbestos removal work before directing or allowing a worker to carry out the work.&lt;/p&gt;&lt;p&gt;The organisation should carry out a risk assessment to determine whether a contamination of ACD constitutes a &amp;lsquo;minor contamination&amp;rsquo; and whether or not a Class A licence is required to clean up the contamination. The assessment should consider:&lt;/p&gt;&lt;ul type="disc"&gt;&lt;li&gt;the time it would take to clean up the contamination&lt;/li&gt;&lt;li&gt;the size, area and extent of the contamination&lt;/li&gt;&lt;li&gt;the number of workers and persons who will be, or are likely to be, involved in or exposed to the work&lt;/li&gt;&lt;li&gt;the complexity of the work&lt;/li&gt;&lt;li&gt;the knowledge and skills required to complete the work safely&lt;/li&gt;&lt;li&gt;the risks associated with the work and the complexity of the risk control measures.&lt;/li&gt;&lt;/ul&gt;&lt;p&gt;Further guidance on assessing a contamination of ACD, see Tools - &amp;lsquo;Minor Contamination&amp;rsquo; of asbestos-containing dust or debris, June 2013 (Safe Work Australia fact sheet). Additional guidance on licensing in general, see Tools - Model code of practice - How to Safely Remove Asbestos, December 2011 (Safe Work Australia).&lt;/p&gt;</x:v>
      </x:c>
      <x:c r="K147" s="6" t="n">
        <x:f>=HYPERLINK("#K147","Guidance Notes")</x:f>
      </x:c>
      <x:c r="L147" s="6" t="str">
        <x:v>&lt;p&gt;Put in place procedures to ensure that licensing requirements for asbestos removal work and asbestos assessors are followed.&lt;/p&gt;</x:v>
      </x:c>
      <x:c r="M147" s="6" t="n">
        <x:f>=HYPERLINK("#M147","Remediation")</x:f>
      </x:c>
      <x:c r="N147" s="6" t="str">
        <x:v>&lt;p&gt;The harmonised WHS Acts impose penalties on organisations that carry out unauthorised work (for example, carrying out work without the required licence), or direct or allow a worker to carry out unauthorised work. The maximum penalties are $100,000 for an organisation and $20,000 for an individual (s 43). The same maximum penalties apply for failing to comply with any conditions of an authorisation such as a licence (s 45).&lt;/p&gt;</x:v>
      </x:c>
      <x:c r="O147" s="6" t="n">
        <x:f>=HYPERLINK("#O147","Consequence")</x:f>
      </x:c>
      <x:c r="P147" s="6" t="str">
        <x:v>&lt;p&gt;&lt;a href="https://www.legislation.gov.au/Details/C2011A00137" target="_blank" &gt;Work Health and Safety Act 2011 (Cth)&lt;/a&gt; ss 43, 45 (see also corresponding Acts in ACT, NSW, NT, QLD, SA and TAS)&lt;/p&gt;&lt;p&gt;&lt;a href="https://www.legislation.gov.au/Details/F2011L02664" target="_blank" &gt;Work Health and Safety Regulations 2011 (Cth)&lt;/a&gt; regs 445, 458, 485&amp;ndash;490 (see also corresponding regulations in ACT, NSW, NT, QLD, SA and TAS; as well as clauses 527&amp;ndash;528 in the state and territory regulations only)&lt;/p&gt;&lt;p&gt;How to Manage and Control Asbestos in the Workplace Code of Practice&amp;mdash;December 2011&lt;/p&gt;&lt;p&gt;How to Safely Remove Asbestos Code of Practice&amp;mdash;December 2011&lt;/p&gt;</x:v>
      </x:c>
      <x:c r="Q147" s="6" t="n">
        <x:f>=HYPERLINK("#Q147","Source")</x:f>
      </x:c>
      <x:c r="R147"/>
      <x:c r="S147"/>
      <x:c r="T147"/>
    </x:row>
    <x:row r="148" spans="1:20" ht="15.75" x14ac:dyDescent="0.25">
      <x:c r="A148" t="n">
        <x:v>11781</x:v>
      </x:c>
      <x:c r="B148" t="str">
        <x:v>NSW,NT,QLD,SA,TAS,ACT,COMMONWEALTH</x:v>
      </x:c>
      <x:c r="C148" t="inlineStr">
        <x:is>
          <x:t xml:space="preserve">  Subobligation</x:t>
        </x:is>
      </x:c>
      <x:c r="D148" t="inlineStr">
        <x:is>
          <x:t xml:space="preserve">  Asbestos Removal Work—Supervision, Training and Other Requirements</x:t>
        </x:is>
      </x:c>
      <x:c r="E148" s="31" t="n">
        <x:v>17.10</x:v>
      </x:c>
      <x:c r="F148" s="8" t="n">
        <x:f>=HYPERLINK("#Obligation()","Workplace Management—Asbestos")</x:f>
      </x:c>
      <x:c r="G148" s="8" t="n">
        <x:f>=HYPERLINK("#SubObligation()","Asbestos Removal Work—Supervision, Training and Other Requirements")</x:f>
      </x:c>
      <x:c r="H148" s="6" t="n">
        <x:f>=HYPERLINK("#H148","Tools")</x:f>
      </x:c>
      <x:c r="I148" s="27" t="str">
        <x:v>&lt;b&gt;&lt;p&gt;Asbestos Removal Work—Supervision, Training and Other Requirements&lt;/p&gt;Does the organisation that commissions asbestos removal work ensure that the work is carried out by a licensed or competent removalist (as applicable), and does the licensed asbestos removalist ensure that workers have VET certification, appropriate training, and information about health risks?&lt;/b&gt;</x:v>
      </x:c>
      <x:c r="J148" s="6" t="str">
        <x:v>&lt;p&gt;An organisation that commissions the removal of asbestos from a workplace must appoint a licensed asbestos removalist who is licensed to carry out the work. However, a licence is not required (except in the ACT) if the asbestos to be removed is:&lt;/p&gt;&lt;ul type="disc"&gt;&lt;li&gt;10 m&amp;sup2; or less of non-friable asbestos or asbestos-contaminated dust or debris (ACD) associated with the removal of that amount of non-friable asbestos&lt;/li&gt;&lt;li&gt;ACD that is not associated with the removal of friable or non-friable asbestos and is only a minor contamination.&lt;/li&gt;&lt;/ul&gt;&lt;p&gt;Asbestos removal work that does not require a licence must be carried out by a competent person who has been trained in the identification and safe handling of, and suitable control measures for, asbestos or asbestos-containing material (ACM).&lt;/p&gt;&lt;p&gt;In the ACT, all asbestos removal work must be carried out by a licensed asbestos removalist. The only exception to this requirement is the removal of non-friable asbestos or ACD incidental to minor or routine maintenance work, or other minor work.&lt;/p&gt;&lt;p&gt;A licensed asbestos removalist must nominate an asbestos removal supervisor for licensed asbestos removal work, and will need to provide the name of the supervisor to the regulator. The supervisor must be:&lt;/p&gt;&lt;ul type="disc"&gt;&lt;li&gt;present at the asbestos removal area whenever asbestos removal work is being carried out, if the work requires a Class A licence&lt;/li&gt;&lt;li&gt;readily available to a worker carrying out asbestos removal work whenever the work is being carried out, if the work requires a Class B licence.&lt;/li&gt;&lt;/ul&gt;&lt;p&gt;In Queensland, a supervisor must be readily available only if the Class B removal work is being carried out by more than one person. The licensed asbestos removalist must be satisfied that a person who supervises Class B work in Queensland is at least 18 years old, has completed the specified vocational education and training (VET) course, and has at least 1 year of relevant industry experience.&lt;/p&gt;&lt;p&gt;A licensed asbestos removalist must not direct or allow a worker to carry out licensed asbestos removal work unless the removalist is satisfied that the worker holds a certificate from a specified VET course relevant to the class of licensed asbestos removal work to be carried out by the worker.&lt;/p&gt;&lt;p&gt;A licensed asbestos removalist will also need to provide appropriate training to workers to ensure that the licensed asbestos removal work is carried out in accordance with the workplace&amp;rsquo;s asbestos removal control plan. The training must be designed specifically for both the workplace where the licensed asbestos removal work is carried out and the type of work to be carried out.&lt;/p&gt;&lt;p&gt;A licensed asbestos removalist must keep a record of the training undertaken by a worker carrying out licensed asbestos removal work:&lt;/p&gt;&lt;ul type="disc"&gt;&lt;li&gt;while the worker is carrying out the work&lt;/li&gt;&lt;li&gt;for 5 years after the day that the worker stops carrying out the work for the removalist.&lt;/li&gt;&lt;/ul&gt;&lt;p&gt;The licensed asbestos removalist must make the training record easily accessible at the asbestos removal area and available for inspection under the relevant Work Health and Safety (WHS) Act.&lt;/p&gt;&lt;p&gt;Before a worker is engaged to carry out licensed asbestos removal work, the licensed asbestos removalist must give the worker the following information:&lt;/p&gt;&lt;ul type="disc"&gt;&lt;li&gt;the health risks and effects associated with exposure to asbestos&lt;/li&gt;&lt;li&gt;the need for, and details of, health monitoring of a worker carrying out licensed asbestos removal work.&lt;/li&gt;&lt;/ul&gt;&lt;p&gt;A licensed asbestos removalist will need to obtain a copy of the asbestos register for a workplace before carrying out the work (although this does not apply if the work is being carried out at domestic premises).&lt;/p&gt;&lt;p&gt;The organisation that commissions asbestos removal work should check whether a licence is required for the work (see sub-obligation &amp;lsquo;Licensing of Asbestos Removalists and Asbestos Assessors&amp;rsquo; in this section of the module). If a licence is required, the organisation should have a procedure for checking that the asbestos removalist holds the required class of licence (Class A or Class B). For example, the organisation may implement a procedure for sighting an asbestos removalist&amp;rsquo;s licence document and making a copy of the document before the work begins. The organisation should also check whether the removalist is listed on the regulator&amp;rsquo;s register of licensed asbestos removalists. See Tools - WorkCover NSW, &amp;lsquo;Asbestos and Demolition Licence Holders&amp;rsquo;, WorkCover Queensland, &amp;lsquo;Which Businesses Are Licensed to Remove Asbestos in Queensland?&amp;rsquo;, SafeWork SA, &amp;lsquo;Asbestos Removal and Monitoring&amp;rsquo;, Worksafe Tasmania, &amp;lsquo;Asbestos Licences Search&amp;rsquo;, WorkSafe ACT, &amp;lsquo;Asbestos&amp;rsquo;, and NT WorkSafe, &amp;lsquo;Asbestos Removalists&amp;rsquo;.&lt;/p&gt;&lt;p&gt;If the organisation commissions asbestos removal work that does not require the asbestos removalist to hold a licence, the organisation should have a procedure for checking that the removalist has the necessary competency to carry out the work safely. The organisation should sight written evidence that the removalist has completed training in the identification and safe handling of, and suitable control measures for, asbestos and ACM. The organisation should also ask the removalist to provide details of their experience in carrying out the type of work that is being commissioned.&lt;/p&gt;&lt;p&gt;The licensed asbestos removalist should ensure that its nominated supervisors are present for Class&amp;nbsp;A asbestos removal work and readily available to workers carrying out Class B asbestos removal work. The removalist should consider whether it has enough qualified supervisors to fulfil these supervision requirements at all times when it is carrying out licensed asbestos removal work.&lt;/p&gt;&lt;p&gt;The licensed asbestos removalist should have a procedure for ensuring that its workers have the specified VET qualifications to carry out or supervise licensed asbestos removal work. The specified VET courses are as follows:&lt;/p&gt;&lt;ul type="disc"&gt;&lt;li&gt;in relation to Class A asbestos removal work&amp;mdash;the VET course &amp;lsquo;Remove friable asbestos&amp;rsquo;&lt;/li&gt;&lt;li&gt;in relation to Class B asbestos removal work&amp;mdash;the VET course &amp;lsquo;Remove non-friable asbestos&amp;rsquo;&lt;/li&gt;&lt;li&gt;in relation to the supervision of asbestos removal work&amp;mdash;the VET course &amp;lsquo;Supervise asbestos removal&amp;rsquo; (in Queensland, Class B asbestos removal supervisors do not need to complete this course).&lt;/li&gt;&lt;/ul&gt;&lt;p&gt;The training that the licensed asbestos removalist provides to its workers should be specific for the particular workplace and should include:&lt;/p&gt;&lt;ul type="disc"&gt;&lt;li&gt;the nature of the hazards and risks&lt;/li&gt;&lt;li&gt;how asbestos can affect a person&amp;rsquo;s health&lt;/li&gt;&lt;li&gt;the risk from exposure to airborne asbestos&lt;/li&gt;&lt;li&gt;the control measures in place and maintenance of the asbestos removal control plan for that job&lt;/li&gt;&lt;li&gt;the methods and equipment that will be used to do the job properly&lt;/li&gt;&lt;li&gt;choosing, using and caring for personal protective equipment and respiratory protective equipment&lt;/li&gt;&lt;li&gt;decontamination procedures&lt;/li&gt;&lt;li&gt;waste disposal procedures&lt;/li&gt;&lt;li&gt;emergency procedures&lt;/li&gt;&lt;li&gt;any other legal requirements.&lt;/li&gt;&lt;/ul&gt;&lt;p&gt;The licensed asbestos removalist should have a procedure for recording all training provided to workers, and for ensuring that training records are kept for the required period.&lt;/p&gt;&lt;p&gt;The licensed asbestos removalist should have a procedure for giving information about health risks and health monitoring to anyone who it is likely to engage to carry out licensed asbestos removal work. The removalist should ensure that it keeps a record of the information provided to demonstrate compliance with this obligation.&lt;/p&gt;&lt;p&gt;The licensed asbestos removalist should have a procedure for obtaining and reviewing a copy of the asbestos register for the workplace before it carries out the asbestos removal work.&lt;/p&gt;&lt;p&gt;Further information on the safe removal of asbestos, including licensing, supervision and training, see Tools - Model code of practice - How to Safely Remove Asbestos, December 2011 (Safe Work Australia).&lt;/p&gt;</x:v>
      </x:c>
      <x:c r="K148" s="6" t="n">
        <x:f>=HYPERLINK("#K148","Guidance Notes")</x:f>
      </x:c>
      <x:c r="L148" s="6" t="str">
        <x:v>&lt;p&gt;Put in place procedures to ensure compliance with duties relating to licensing, supervision, competency, VET certification, training, health information and the asbestos register when commissioning or carrying out asbestos removal work.&lt;/p&gt;</x:v>
      </x:c>
      <x:c r="M148" s="6" t="n">
        <x:f>=HYPERLINK("#M148","Remediation")</x:f>
      </x:c>
      <x:c r="N148" s="6" t="str">
        <x:v>&lt;p&gt;Under the harmonised WHS Acts, penalties apply if an organisation directs or allows a worker to carry out work without the worker having the prescribed qualifications for that type of work. Penalties also apply if the work requires supervision and the supervisor does not have the prescribed qualifications. The maximum penalties are $100,000 for an organisation and $20,000 for an individual (s 44).&lt;/p&gt;&lt;p&gt;Under the harmonised WHS Regulations, penalties apply if an organisation commissions:&lt;/p&gt;&lt;ul&gt;&lt;li&gt;licensed asbestos removal work without ensuring that the work is carried out by a licensed asbestos removalist&lt;/li&gt;&lt;li&gt;other asbestos removal work (where a licence is not required) without ensuring that the work is carried out by a competent person with appropriate training.&lt;/li&gt;&lt;/ul&gt;&lt;p&gt;In both cases, the maximum penalties are $30,000 for an organisation and $6,000 for an individual (reg 458).&lt;/p&gt;&lt;p&gt;The maximum penalties for a licensed asbestos removalist failing to ensure that a supervisor is present or readily available for licensed asbestos removal work are $30,000 for an organisation and $6,000 for an individual (reg 459). The same maximum penalties apply if a removalist directs or allows a worker without the specified VET certification to carry out licensed asbestos removal work, or if a removalist fails to provide appropriate training to a worker (reg 460). A licensed asbestos removalist also faces the same maximum penalties for failing to give information about health risks and monitoring to workers (reg 462) and failing to obtain a copy of the asbestos register before removal work begins (reg 463).&lt;/p&gt;&lt;p&gt;Penalties also apply if a licensed asbestos removalist fails to ensure that licensed asbestos removal work is supervised by a supervisor who has been named to the regulator by the removalist. The maximum penalties are $18,000 for an organisation and $3,600 for an individual (reg 529).&lt;/p&gt;&lt;p&gt;The maximum penalties for a licensed asbestos removalist failing to keep a worker&amp;rsquo;s training record for the required period, and failing to make the record readily accessible at the asbestos removal area and available for inspection, are $6,000 for an organisation and $1,250 for an individual (reg&amp;nbsp;461).&lt;/p&gt;</x:v>
      </x:c>
      <x:c r="O148" s="6" t="n">
        <x:f>=HYPERLINK("#O148","Consequence")</x:f>
      </x:c>
      <x:c r="P148" s="6" t="str">
        <x:v>&lt;p&gt;&lt;a href="https://www.legislation.gov.au/Details/C2011A00137" target="_blank" &gt;Work Health and Safety Act 2011 (Cth)&lt;/a&gt; s 44 (see also corresponding Acts in ACT, NSW, NT, QLD, SA and TAS)&lt;/p&gt;&lt;p&gt;&lt;a href="https://www.legislation.gov.au/Details/F2011L02664" target="_blank" &gt;Work Health and Safety Regulations 2011 (Cth)&lt;/a&gt; regs 458&amp;ndash;463, 529 (see also corresponding regulations in ACT, NSW, NT, QLD, SA and TAS; as well as clauses 527&amp;ndash;528 in the state and territory regulations only)&lt;/p&gt;&lt;p&gt;How to Manage and Control Asbestos in the Workplace Code of Practice&amp;mdash;December 2011&lt;/p&gt;&lt;p&gt;How to Safely Remove Asbestos Code of Practice&amp;mdash;December 2011&lt;/p&gt;</x:v>
      </x:c>
      <x:c r="Q148" s="6" t="n">
        <x:f>=HYPERLINK("#Q148","Source")</x:f>
      </x:c>
      <x:c r="R148"/>
      <x:c r="S148"/>
      <x:c r="T148"/>
    </x:row>
    <x:row r="149" spans="1:20" ht="15.75" x14ac:dyDescent="0.25">
      <x:c r="A149" t="n">
        <x:v>11797</x:v>
      </x:c>
      <x:c r="B149" t="str">
        <x:v>NSW,NT,QLD,SA,TAS,ACT,COMMONWEALTH</x:v>
      </x:c>
      <x:c r="C149" t="inlineStr">
        <x:is>
          <x:t xml:space="preserve">  Subobligation</x:t>
        </x:is>
      </x:c>
      <x:c r="D149" t="inlineStr">
        <x:is>
          <x:t xml:space="preserve">  Asbestos Removal Control Plans</x:t>
        </x:is>
      </x:c>
      <x:c r="E149" s="31" t="n">
        <x:v>17.11</x:v>
      </x:c>
      <x:c r="F149" s="8" t="n">
        <x:f>=HYPERLINK("#Obligation()","Workplace Management—Asbestos")</x:f>
      </x:c>
      <x:c r="G149" s="8" t="n">
        <x:f>=HYPERLINK("#SubObligation()","Asbestos Removal Control Plans")</x:f>
      </x:c>
      <x:c r="H149" s="6" t="n">
        <x:f>=HYPERLINK("#H149","Tools")</x:f>
      </x:c>
      <x:c r="I149" s="27" t="str">
        <x:v>&lt;b&gt;&lt;p&gt;Asbestos Removal Control Plans&lt;/p&gt;Has the licensed asbestos removalist prepared an asbestos removal control plan and given a copy of the plan to the organisation that commissioned the work?&lt;/b&gt;</x:v>
      </x:c>
      <x:c r="J149" s="6" t="str">
        <x:v>&lt;p&gt;A licensed asbestos removalist must prepare an asbestos removal control plan for any licensed asbestos removal work before the work begins. An asbestos removal control plan identifies the specific control measures that a licence holder will use to manage health and safety risks when asbestos removal work is carried out. The plan must include details of:&lt;/p&gt;&lt;ul&gt;&lt;li&gt;how the removal will be carried out, including the method, tools, equipment and personal protective equipment to be used&lt;/li&gt;&lt;li&gt;the asbestos to be removed, including the location, type and condition of the asbestos.&lt;/li&gt;&lt;/ul&gt;&lt;p&gt;The removalist must give a copy of the plan to the organisation that commissioned the work. It will also need to keep the plan until the work is completed. If a notifiable incident occurs in connection with the work to which the plan relates, the removalist will need to keep the plan for at least 2 years after that incident. The removalist must also ensure that a copy of the plan is:&lt;/p&gt;&lt;ul&gt;&lt;li&gt;readily accessible to an organisation at the workplace and the organisation&amp;rsquo;s workers (or their health and safety representative), or to the occupants of domestic premises, if applicable&lt;/li&gt;&lt;li&gt;available for inspection under the relevant Work Health and Safety Act.&lt;/li&gt;&lt;/ul&gt;&lt;p&gt;When preparing an asbestos removal control plan, the licensed asbestos removalist should carefully review the asbestos register for the workplace. While the removalist can use a generic structure for the plan, it should ensure that each plan addresses the specific situation and requirements of the job at hand. The removalist may also include specifications or drawings that are relevant to the asbestos removal. In preparing the plan, the removalist should consult with the organisation that commissioned the work, the organisation with management or control of the workplace, the workers who will carry out the work, as well as the workers&amp;rsquo; health and safety representatives.&lt;/p&gt;&lt;p&gt;When identifying hazards and associated risks that need to be addressed in the asbestos removal control plan, the removalist should consider control measures for hazards that are not directly related to the asbestos. Such hazards might include working in a confined space, the risk of falling from a height, heat stress and the risks associated with electrical equipment used in the removal work.&lt;/p&gt;&lt;p&gt;The asbestos removal control plan should indicate what techniques will be used to eliminate or minimise the generation of asbestos fibres, so far as is reasonably practicable. The removalist must choose the asbestos removal method that is most effective at minimising fibre release at the source. The removal methods are:&lt;/p&gt;&lt;ul&gt;&lt;li&gt;the wet-spray method&lt;/li&gt;&lt;li&gt;the saturation and water injection method (used for friable asbestos removal)&lt;/li&gt;&lt;li&gt;the dry method.&lt;/li&gt;&lt;/ul&gt;&lt;p&gt;The wet-spray method is the preferred method and should be used for removing asbestos from structures and plant. It uses constant low-pressure water supply in order to wet asbestos and suppress fibres. It is essential for the removalist to use respiratory protective equipment when undertaking this method.&lt;/p&gt;&lt;p&gt;The saturation and water injection method injects water directly into friable asbestos and should be used where the spray method will not suppress the friable asbestos significantly due to the thickness of the asbestos.&lt;/p&gt;&lt;p&gt;The dry method can only be used when the wet-spray or soaking methods are not suitable. It is not a preferred method due to the potential for airborne asbestos fibres to be generated.&lt;/p&gt;&lt;p&gt;Further information on each of these methods and associated control measures is available in section 4.3 of the Model code of practice - How to Safely Remove Asbestos, December 2011 (Safe Work Australia).&lt;/p&gt;&lt;p&gt;The asbestos removal control plan should include details on personal protective equipment to be used for the asbestos removal work. It is important that the removalist provides workers with suitable personal protective equipment, which may include coveralls, gloves, safety footwear and respiratory protective equipment. All equipment should be inspected before the work begins, and at least once every 7 days when it is in use. Respiratory protective equipment must be worn at all times in the asbestos removal area and the removalist or supervisor will need to give all workers appropriate training in its use. Where friable asbestos is being removed, workers should use air-line respirators. Further guidance on respiratory protective equipment is available in Appendix B of the Model code of practice - How to Safely Remove Asbestos, December 2011 (Safe Work Australia).&lt;/p&gt;&lt;p&gt;The removalist should also consider what tools and equipment will be used for the removal. This could include cleaning rags, buckets, sealant, asbestos waste containers, warning signs, barrier tape, asbestos vacuum cleaners and spray equipment. Certain tools and equipment are prohibited, including high-speed abrasive power and pneumatic tools, brooms and brushes, high-pressure water spray, jets, power or similar tools, and compressed air.&lt;/p&gt;&lt;p&gt;The asbestos removal control plan should include details on the procedures for limiting access to the asbestos removal area, decontaminating items that are contaminated with asbestos and disposing of asbestos waste.&lt;/p&gt;&lt;p&gt;Further guidance on the contents of an asbestos removal control plan is available in Appendix A Model code of practice - How to Safely Remove Asbestos, December 2011 (Safe Work Australia). See Tools - Model code of practice - How to Safely Remove Asbestos, December 2011 (Safe Work Australia).&lt;/p&gt;</x:v>
      </x:c>
      <x:c r="K149" s="6" t="n">
        <x:f>=HYPERLINK("#K149","Guidance Notes")</x:f>
      </x:c>
      <x:c r="L149" s="6" t="str">
        <x:v>&lt;p&gt;Put in place procedures and resources to ensure that an asbestos removal control plan is prepared and given to the organisation that commissioned the asbestos removal work.&lt;/p&gt;</x:v>
      </x:c>
      <x:c r="M149" s="6" t="n">
        <x:f>=HYPERLINK("#M149","Remediation")</x:f>
      </x:c>
      <x:c r="N149" s="6" t="str">
        <x:v>&lt;p&gt;The maximum penalties for failing to prepare an asbestos removal control plan are $30,000 for an organisation and $6,000 for an individual (reg 464).&lt;/p&gt;&lt;p&gt;The maximum penalties for failing to give a copy of the asbestos removal control plan to the organisation that commissioned the removal are $18,000 for an organisation and $3,600 for an individual (reg 464). The same maximum penalties apply for failing to keep a copy of the asbestos removal control plan for the required period (reg 465) and failing to make the plan readily accessible to the relevant people and available for inspection (reg 465).&lt;/p&gt;</x:v>
      </x:c>
      <x:c r="O149" s="6" t="n">
        <x:f>=HYPERLINK("#O149","Consequence")</x:f>
      </x:c>
      <x:c r="P149" s="6" t="str">
        <x:v>&lt;p&gt;&lt;a href="https://www.legislation.gov.au/Details/F2011L02664" target="_blank" &gt;Work Health and Safety Regulations 2011 (Cth)&lt;/a&gt; regs 464&amp;ndash;465 (see also corresponding regulations in ACT, NSW, NT, QLD, SA and TAS)&lt;/p&gt;&lt;p&gt;How to Manage and Control Asbestos in the Workplace Code of Practice&amp;mdash;December 2011&lt;/p&gt;&lt;p&gt;How to Safely Remove Asbestos Code of Practice&amp;mdash;December 2011&lt;/p&gt;&lt;p&gt;AS/NZS 1716:2012 Respiratory Protective Devices&lt;/p&gt;&lt;p&gt;AS/NZS 1715:2009 Selection, Use and Maintenance of Respiratory Protective Equipment&lt;/p&gt;</x:v>
      </x:c>
      <x:c r="Q149" s="6" t="n">
        <x:f>=HYPERLINK("#Q149","Source")</x:f>
      </x:c>
      <x:c r="R149"/>
      <x:c r="S149"/>
      <x:c r="T149"/>
    </x:row>
    <x:row r="150" spans="1:20" ht="15.75" x14ac:dyDescent="0.25">
      <x:c r="A150" t="n">
        <x:v>11803</x:v>
      </x:c>
      <x:c r="B150" t="str">
        <x:v>NSW,NT,QLD,SA,TAS,ACT,COMMONWEALTH</x:v>
      </x:c>
      <x:c r="C150" t="inlineStr">
        <x:is>
          <x:t xml:space="preserve">  Subobligation</x:t>
        </x:is>
      </x:c>
      <x:c r="D150" t="inlineStr">
        <x:is>
          <x:t xml:space="preserve">  Asbestos Removal Work—Notifying the Regulator and Informing Others</x:t>
        </x:is>
      </x:c>
      <x:c r="E150" s="31" t="n">
        <x:v>17.12</x:v>
      </x:c>
      <x:c r="F150" s="8" t="n">
        <x:f>=HYPERLINK("#Obligation()","Workplace Management—Asbestos")</x:f>
      </x:c>
      <x:c r="G150" s="8" t="n">
        <x:f>=HYPERLINK("#SubObligation()","Asbestos Removal Work—Notifying the Regulator and Informing Others")</x:f>
      </x:c>
      <x:c r="H150" s="6" t="n">
        <x:f>=HYPERLINK("#H150","Tools")</x:f>
      </x:c>
      <x:c r="I150" s="27" t="str">
        <x:v>&lt;b&gt;&lt;p&gt;Asbestos Removal Work—Notifying the Regulator and Informing Others&lt;/p&gt;Does the licensed asbestos removalist give written notice to the regulator of licensed asbestos removal work, and do the removalist and the organisation that manages or controls the workplace inform certain people about the asbestos removal work before the work starts?&lt;/b&gt;</x:v>
      </x:c>
      <x:c r="J150" s="6" t="str">
        <x:v>&lt;p&gt;A licensed asbestos removalist must notify the regulator in writing at least 5 days before it commences licensed asbestos removal work. However, the removalist may commence the work immediately if there is:&lt;/p&gt;&lt;ul type="disc"&gt;&lt;li&gt;a sudden and unexpected event, including a failure of equipment, that causes people to be exposed to respirable asbestos fibres, or&lt;/li&gt;&lt;li&gt;an unexpected breakdown of an essential service that needs immediate rectification to enable the service to continue.&lt;/li&gt;&lt;/ul&gt;&lt;p&gt;If the asbestos must be removed immediately, the removalist must notify the regulator immediately by phone and in writing within 24 hours after giving notice by phone. When notifying the regulator, the removalist must include the following information:&lt;/p&gt;&lt;ul type="disc"&gt;&lt;li&gt;the removalist&amp;rsquo;s name, business name, ABN, licence number and business contact details&lt;/li&gt;&lt;li&gt;the name and business contact details of the supervisor of the work (note: a supervisor is not required in Queensland for Class B removal work carried out by only one person)&lt;/li&gt;&lt;li&gt;the name of the competent person or licensed asbestos assessor who will carry out a clearance inspection and issue a clearance certificate for the work&lt;/li&gt;&lt;li&gt;the name and contact details of the organisation for whom the work is to be carried out&lt;/li&gt;&lt;li&gt;the name of the organisation with management or control of the workplace where the removal will occur&lt;/li&gt;&lt;li&gt;the address and (if the workplace is large) the specific location of the asbestos removal&lt;/li&gt;&lt;li&gt;the kind of workplace&lt;/li&gt;&lt;li&gt;the date of the notice&lt;/li&gt;&lt;li&gt;the date when the work will commence and its estimated duration&lt;/li&gt;&lt;li&gt;whether the asbestos is friable or non-friable&lt;/li&gt;&lt;li&gt;if friable, the way that the area of removal will be enclosed&lt;/li&gt;&lt;li&gt;the estimated quantity of asbestos to be removed&lt;/li&gt;&lt;li&gt;the number of workers who will carry out the work&lt;/li&gt;&lt;li&gt;details of each worker&amp;rsquo;s competency to carry out the work.&lt;/li&gt;&lt;/ul&gt;&lt;p&gt;Before commencing the work, the licensed asbestos removalist will need to tell the organisation with management or control of the workplace that the work is to be carried out and when it will commence. If the workplace is domestic premises, the removalist will need to tell the following people, so far as is reasonably practicable, about the work and when it will commence:&lt;/p&gt;&lt;ul type="disc"&gt;&lt;li&gt;the person who commissioned the work&lt;/li&gt;&lt;li&gt;any organisation at the workplace&lt;/li&gt;&lt;li&gt;the occupier of the premises&lt;/li&gt;&lt;li&gt;the owner of the premises&lt;/li&gt;&lt;li&gt;anyone occupying premises in the immediate vicinity of the workplace.&lt;/li&gt;&lt;/ul&gt;&lt;p&gt;If an organisation with management or control of a workplace is told that asbestos removal work is to be carried out at the workplace, the organisation must in turn tell the following people&amp;mdash;before the work commences&amp;mdash;that asbestos removal work will be carried out and when the work will commence:&lt;/p&gt;&lt;ul type="disc"&gt;&lt;li&gt;the organisation&amp;rsquo;s workers and anyone else at the workplace&lt;/li&gt;&lt;li&gt;the organisation that commissioned the asbestos removal work.&lt;/li&gt;&lt;/ul&gt;&lt;p&gt;The organisation that manages or controls the workplace must also take all reasonable steps to give this information to any organisation or individual occupying premises at, or in the immediate vicinity of, the workplace before the work commences.&lt;/p&gt;&lt;p&gt;The licensed asbestos removalist should have a procedure for notifying the regulator at least 5 days before beginning licensed asbestos removal work. The removalist should ensure that it provides the written notification in the manner and form required by the regulator in the relevant state or territory (see links in Tools section). Before providing the notification, the removalist should check the information carefully to make sure it is complete and accurate.&lt;/p&gt;&lt;p&gt;If the asbestos removal work has to begin immediately, the removalist should have a procedure for notifying the regulator by phone and then following up with a written notification within 24 hours. The removalist should ensure that it properly understands the limited circumstances in which it does not need to provide prior written notice to the regulator.&lt;/p&gt;&lt;p&gt;The licensed asbestos removalist should also have procedure for telling the organisation with management or control of the workplace about the intended asbestos removal work. The removalist will need a separate procedure for telling relevant people about the intended work if the workplace is domestic premises.&lt;/p&gt;&lt;p&gt;The organisation that manages or controls the workplace should have a procedure for telling other organisations, workers and other people at the workplace about the intended asbestos removal work. The organisation should also have a process for contacting organisations and residents in the immediate vicinity and telling them about the intended work.&lt;/p&gt;</x:v>
      </x:c>
      <x:c r="K150" s="6" t="n">
        <x:f>=HYPERLINK("#K150","Guidance Notes")</x:f>
      </x:c>
      <x:c r="L150" s="6" t="str">
        <x:v>&lt;p&gt;Put in place procedures to ensure that the regulator and people at (or in the vicinity) of the workplace are informed of licensed asbestos removal work in accordance with the regulations.&lt;/p&gt;</x:v>
      </x:c>
      <x:c r="M150" s="6" t="n">
        <x:f>=HYPERLINK("#M150","Remediation")</x:f>
      </x:c>
      <x:c r="N150" s="6" t="str">
        <x:v>&lt;p&gt;Penalties apply if:&lt;/p&gt;&lt;ul&gt;&lt;li&gt;a licensed asbestos removalist fails to tell (or, if domestic premises, fails to do what is reasonably practicable to tell) the required people about asbestos removal work before the work commences (reg 467)&lt;/li&gt;&lt;li&gt;an organisation that manages or controls a workplace fails to tell (or take all reasonable steps to tell) the required people about asbestos removal work before the work commences (reg 468).&lt;/li&gt;&lt;/ul&gt;&lt;p&gt;In such cases, the maximum penalties are $30,000 for an organisation and $6,000 for an individual.&lt;/p&gt;&lt;p&gt;The maximum penalties for a licensed asbestos removalist failing to notify the regulator at least 5&amp;nbsp;days before licensed asbestos removal work commences are $18,000 for an organisation and $3,600 for an individual (reg 466). The same maximum penalties apply for failing to notify the regulator correctly of asbestos removal work that must be carried out immediately (reg 466).&lt;/p&gt;</x:v>
      </x:c>
      <x:c r="O150" s="6" t="n">
        <x:f>=HYPERLINK("#O150","Consequence")</x:f>
      </x:c>
      <x:c r="P150" s="6" t="str">
        <x:v>&lt;p&gt;&lt;a href="https://www.legislation.gov.au/Details/F2011L02664" target="_blank" &gt;Work Health and Safety Regulations 2011 (Cth)&lt;/a&gt; regs 466&amp;ndash;468 (see also corresponding regulations in ACT, NSW, NT, QLD, SA and TAS)&lt;/p&gt;&lt;p&gt;How to Manage and Control Asbestos in the Workplace Code of Practice&amp;mdash;December 2011&lt;/p&gt;&lt;p&gt;How to Safely Remove Asbestos Code of Practice&amp;mdash;December 2011&lt;/p&gt;</x:v>
      </x:c>
      <x:c r="Q150" s="6" t="n">
        <x:f>=HYPERLINK("#Q150","Source")</x:f>
      </x:c>
      <x:c r="R150"/>
      <x:c r="S150"/>
      <x:c r="T150"/>
    </x:row>
    <x:row r="151" spans="1:20" ht="15.75" x14ac:dyDescent="0.25">
      <x:c r="A151" t="n">
        <x:v>11815</x:v>
      </x:c>
      <x:c r="B151" t="str">
        <x:v>NSW,NT,QLD,SA,TAS,ACT,COMMONWEALTH</x:v>
      </x:c>
      <x:c r="C151" t="inlineStr">
        <x:is>
          <x:t xml:space="preserve">  Subobligation</x:t>
        </x:is>
      </x:c>
      <x:c r="D151" t="inlineStr">
        <x:is>
          <x:t xml:space="preserve">  Asbestos Removal Areas—Signage, Barricades and Limiting Access</x:t>
        </x:is>
      </x:c>
      <x:c r="E151" s="31" t="n">
        <x:v>17.13</x:v>
      </x:c>
      <x:c r="F151" s="8" t="n">
        <x:f>=HYPERLINK("#Obligation()","Workplace Management—Asbestos")</x:f>
      </x:c>
      <x:c r="G151" s="8" t="n">
        <x:f>=HYPERLINK("#SubObligation()","Asbestos Removal Areas—Signage, Barricades and Limiting Access")</x:f>
      </x:c>
      <x:c r="H151" s="6" t="n">
        <x:f>=HYPERLINK("#H151","Tools")</x:f>
      </x:c>
      <x:c r="I151" s="27" t="str">
        <x:v>&lt;b&gt;&lt;p&gt;Asbestos Removal Areas—Signage, Barricades and Limiting Access&lt;/p&gt;Does the asbestos removalist place signs and erect barricades for asbestos removal work, and does the organisation that commissions the work or manages the workplace limit access to the asbestos removal area?&lt;/b&gt;</x:v>
      </x:c>
      <x:c r="J151" s="6" t="str">
        <x:v>&lt;p&gt;An asbestos removalist has a duty to ensure that signs alerting people to the presence of asbestos are placed to indicate where the asbestos removal work is being carried out. It must also erect barricades to delineate the asbestos removal area.&lt;/p&gt;&lt;p&gt;Where an organisation commissions someone to carry out licensed asbestos removal work and the organisation with management or control of the workplace is aware that this work is to be carried out, each organisation will need to ensure, so far as is reasonably practicable, that no one other than the following people have access to the asbestos removal area:&lt;/p&gt;&lt;ul&gt;&lt;li&gt;the workers engaged in the work&lt;/li&gt;&lt;li&gt;anyone else associated with the work&lt;/li&gt;&lt;li&gt;anyone else who is allowed to be in the area under the harmonised Work Health and Safety Regulations or another law.&lt;/li&gt;&lt;/ul&gt;&lt;p&gt;Those people with lawful access to the asbestos removal area must comply with any direction of the licensed asbestos removalist.&lt;/p&gt;&lt;p&gt;The organisation can refuse access to the asbestos removal area to anyone who does not comply with any of the asbestos-related control measures implemented for the workplace, or anyone who does not comply with the licensed asbestos removalist&amp;rsquo;s directions.&lt;/p&gt;&lt;p&gt;It is important that the asbestos removalist uses effective signs and barricades where asbestos removal work is being carried out, as this will alert people to the presence of asbestos and assist in traffic control and limiting access to the area.&lt;/p&gt;&lt;p&gt;Signs should be placed at all of the main entry points to the asbestos removal work area. These signs should be weatherproof, constructed of light-weight material, adequately secured so they remain in prominent locations, and comply with Australian Standard (AS) 1319&amp;ndash;1994 Safety signs for the occupational environment.&lt;/p&gt;&lt;p&gt;The asbestos removalist will need to determine what type of barricade will be most effective at the asbestos removal work area. The barricades may take various forms, such as tape, wire fencing or solid hoarding, depending on the level of risk. Solid barricades should be used for friable asbestos removal. The physical location of the barricades will again depend on the level of risk, including whether the asbestos to be removed is friable or non-friable, and what removal method will be used. Using locking access doors as a barricade may be appropriate, but only if it does not create an evacuation hazard.&lt;/p&gt;&lt;p&gt;The organisation that commissions the licensed asbestos removal work and the organisation that manages or controls the workplace (if separate organisations) should consult, cooperate and coordinate with each other&amp;mdash;and with the licensed asbestos removalist&amp;mdash;to limit access to the asbestos removal area. The organisations should have a procedure for monitoring and controlling access to the area&amp;mdash;for example, by stationing an attendant at the main entry points to the area. The organisations should clearly communicate to everyone at the workplace (including visitors) that only authorised people may enter the asbestos removal area, and that people within the removal area must comply with control measures and any direction of the licensed asbestos removalist.&lt;/p&gt;&lt;p&gt;Further information on signage, barricades and limiting access to an asbestos removal area is available in the Model code of practice - How to Safely Remove Asbestos, December 2011 (Safe Work Australia). See Tools - Model code of practice - How to Safely Remove Asbestos, December 2011 (Safe Work Australia).&lt;/p&gt;</x:v>
      </x:c>
      <x:c r="K151" s="6" t="n">
        <x:f>=HYPERLINK("#K151","Guidance Notes")</x:f>
      </x:c>
      <x:c r="L151" s="6" t="str">
        <x:v>&lt;p&gt;Put in place procedures to ensure that signage is placed and barricades are erected for asbestos removal work, and access to the asbestos removal area is controlled.&lt;/p&gt;</x:v>
      </x:c>
      <x:c r="M151" s="6" t="n">
        <x:f>=HYPERLINK("#M151","Remediation")</x:f>
      </x:c>
      <x:c r="N151" s="6" t="str">
        <x:v>&lt;p&gt;The maximum penalties for failing to place appropriate signage and erect barricades for asbestos removal work are $30,000 for an organisation and $6,000 for an individual (reg 469). The same maximum penalties apply for failing to appropriately limit access to an asbestos removal area and failing to comply with a licensed asbestos removalist&amp;rsquo;s directions (reg 470).&lt;/p&gt;</x:v>
      </x:c>
      <x:c r="O151" s="6" t="n">
        <x:f>=HYPERLINK("#O151","Consequence")</x:f>
      </x:c>
      <x:c r="P151" s="6" t="str">
        <x:v>&lt;p&gt;&lt;a href="https://www.legislation.gov.au/Details/F2011L02664" target="_blank" &gt;Work Health and Safety Regulations 2011 (Cth)&lt;/a&gt; regs 469&amp;ndash;470 (see also corresponding regulations in ACT, NSW, NT, QLD, SA and TAS)&lt;/p&gt;&lt;p&gt;How to Manage and Control Asbestos in the Workplace Code of Practice&amp;mdash;December 2011&lt;/p&gt;&lt;p&gt;How to Safely Remove Asbestos Code of Practice&amp;mdash;December 2011&lt;/p&gt;&lt;p&gt;AS 1319&amp;ndash;1994 Safety Signs for the Occupational environment&lt;/p&gt;</x:v>
      </x:c>
      <x:c r="Q151" s="6" t="n">
        <x:f>=HYPERLINK("#Q151","Source")</x:f>
      </x:c>
      <x:c r="R151"/>
      <x:c r="S151"/>
      <x:c r="T151"/>
    </x:row>
    <x:row r="152" spans="1:20" ht="15.75" x14ac:dyDescent="0.25">
      <x:c r="A152" t="n">
        <x:v>11821</x:v>
      </x:c>
      <x:c r="B152" t="str">
        <x:v>NSW,NT,QLD,SA,TAS,ACT,COMMONWEALTH</x:v>
      </x:c>
      <x:c r="C152" t="inlineStr">
        <x:is>
          <x:t xml:space="preserve">  Subobligation</x:t>
        </x:is>
      </x:c>
      <x:c r="D152" t="inlineStr">
        <x:is>
          <x:t xml:space="preserve">  Asbestos Removal Work—Decontamination and Waste Disposal</x:t>
        </x:is>
      </x:c>
      <x:c r="E152" s="31" t="n">
        <x:v>17.14</x:v>
      </x:c>
      <x:c r="F152" s="8" t="n">
        <x:f>=HYPERLINK("#Obligation()","Workplace Management—Asbestos")</x:f>
      </x:c>
      <x:c r="G152" s="8" t="n">
        <x:f>=HYPERLINK("#SubObligation()","Asbestos Removal Work—Decontamination and Waste Disposal")</x:f>
      </x:c>
      <x:c r="H152" s="6" t="n">
        <x:f>=HYPERLINK("#H152","Tools")</x:f>
      </x:c>
      <x:c r="I152" s="27" t="str">
        <x:v>&lt;b&gt;&lt;p&gt;Asbestos Removal Work—Decontamination and Waste Disposal&lt;/p&gt;Does the asbestos removalist ensure that decontamination facilities are available for asbestos removal work, that asbestos waste is disposed of correctly, and that contaminated personal protective equipment is dealt with appropriately?&lt;/b&gt;</x:v>
      </x:c>
      <x:c r="J152" s="6" t="str">
        <x:v>&lt;p&gt;An asbestos removalist must ensure that facilities are available to decontaminate the asbestos removal area, as well as any plant used in it, the workers carrying out asbestos removal work, and anyone else who has access to the area.&lt;/p&gt;&lt;p&gt;If there is anything in the area that is likely to be contaminated with asbestos, the removalist will need to make sure that the item is decontaminated before it is removed, or is placed in a sealed container that has a decontaminated exterior and is labelled correctly to indicate the presence of asbestos before the container is removed.&lt;/p&gt;&lt;p&gt;An asbestos removalist also needs to ensure that any asbestos waste is contained and labelled correctly before being removed from the area and is disposed of as soon as practicable at a site authorised to accept asbestos.&lt;/p&gt;&lt;p&gt;An asbestos removalist also needs to make sure that any personal protective equipment contaminated with asbestos is sealed in a container before being removed from the asbestos waste area and, so far as is reasonably practicable, is disposed of on completion of the work at a site authorised to accept asbestos. If it is not reasonably practicable to dispose of the personal protective equipment in this way, then the removalist must comply with the following rules as applicable:&lt;/p&gt;&lt;ul type="disc"&gt;&lt;li&gt;If the equipment is clothing, it must be laundered at a laundry equipped to launder asbestos-contaminated clothing, or if this is not practicable, it must be kept in a sealed container until reused for asbestos removal purposes.&lt;/li&gt;&lt;li&gt;If the equipment is not clothing, it must be decontaminated before being removed from the asbestos removal area, or if this is not practicable, it must be kept in a sealed container until reused for asbestos removal purposes.&lt;/li&gt;&lt;/ul&gt;&lt;p&gt;An asbestos removalist must ensure that the exterior of a sealed container used for contaminated personal protective equipment is decontaminated and labelled correctly to indicate the presence of asbestos before being removed from the asbestos removal area.&lt;/p&gt;&lt;p&gt;The asbestos removalist will need to choose the most appropriate decontamination procedure for the asbestos removal area, workers, personal protective equipment and tools to eliminate or minimise exposure to airborne asbestos fibres, so far as is reasonably practicable.&lt;/p&gt;&lt;p&gt;The two main types of decontamination processes are:&lt;/p&gt;&lt;ul type="disc"&gt;&lt;li&gt;wet decontamination, or wet wiping&amp;mdash;involves the use of damp rags to wipe down contaminated areas&lt;/li&gt;&lt;li&gt;dry decontamination&amp;mdash;involves carefully rolling or folding up and sealing plastic sheeting and/or vacuuming the asbestos removal area with an asbestos vacuum cleaner (this method is only to be used when the wet method is not suitable or poses a risk).&lt;/li&gt;&lt;/ul&gt;&lt;p&gt;Decontamination units must be used if the asbestos removal work involves friable asbestos (although exceptions apply for glove bag and wrap-and-cut removal methods). The removalist should have a procedure for ensuring that contaminated items are not removed from the asbestos removal area unless they have been decontaminated or placed in a sealed container, and the exterior of the container has been decontaminated and labelled in accordance with the labelling elements of the Globally Harmonised System of Classification and Labelling of Chemicals (the GHS).&lt;/p&gt;&lt;p&gt;When the removalist is planning how to dispose of asbestos waste, it should consider:&lt;/p&gt;&lt;ul type="disc"&gt;&lt;li&gt;how to contain the waste to eliminate the release of airborne asbestos fibres&lt;/li&gt;&lt;li&gt;details of any asbestos or asbestos-containing material to be left on the premises&lt;/li&gt;&lt;li&gt;the types of fittings and supports at the workplace and whether they need to be removed&lt;/li&gt;&lt;li&gt;the location and security of waste storage on site&lt;/li&gt;&lt;li&gt;the transport of waste within the site and offsite&lt;/li&gt;&lt;li&gt;the location of the waste disposal site&lt;/li&gt;&lt;li&gt;whether the proposed storage location and asbestos removal area will be unoccupied for the duration of the removal&lt;/li&gt;&lt;li&gt;any approvals needed from the relevant local disposal authority&lt;/li&gt;&lt;li&gt;any local disposal authority requirements that may apply to the amount and dimensions of asbestos waste.&lt;/li&gt;&lt;/ul&gt;&lt;p&gt;The waste containers must all have labels that comply with the labelling elements of the GHS. The containers should be lined with plastic and the labels should be placed on the top and side of each container with the words &amp;lsquo;Danger: Asbestos&amp;mdash;Do Not Break Seal&amp;rsquo; or a similar warning.&lt;/p&gt;&lt;p&gt;Detailed guidance on decontamination and waste disposal is available in the Model code of practice - How to Safely Remove Asbestos, December 2011 (Safe Work Australia). See Tools - Model code of practice - How to Safely Remove Asbestos, December 2011 (Safe Work Australia).&lt;/p&gt;</x:v>
      </x:c>
      <x:c r="K152" s="6" t="n">
        <x:f>=HYPERLINK("#K152","Guidance Notes")</x:f>
      </x:c>
      <x:c r="L152" s="6" t="str">
        <x:v>&lt;p&gt;Put in place procedures and resources to ensure that decontamination facilities are available for asbestos removal work, and asbestos waste and contaminated personal protective equipment are dealt with in accordance with the regulations.&lt;/p&gt;</x:v>
      </x:c>
      <x:c r="M152" s="6" t="n">
        <x:f>=HYPERLINK("#M152","Remediation")</x:f>
      </x:c>
      <x:c r="N152" s="6" t="str">
        <x:v>&lt;p&gt;The maximum penalties for failing to make decontamination facilities available for asbestos removal work are $30,000 for an organisation and $6,000 for an individual (reg 471). The same maximum penalties apply for failing to follow the correct decontamination procedures and failing to dispose of asbestos waste and deal with contaminated personal protective equipment in accordance with the regulations (regs 471 and 472).&lt;/p&gt;</x:v>
      </x:c>
      <x:c r="O152" s="6" t="n">
        <x:f>=HYPERLINK("#O152","Consequence")</x:f>
      </x:c>
      <x:c r="P152" s="6" t="str">
        <x:v>&lt;p&gt;&lt;a href="https://www.legislation.gov.au/Details/F2011L02664" target="_blank" &gt;Work Health and Safety Regulations 2011 (Cth)&lt;/a&gt; regs 471&amp;ndash;472 (see also corresponding regulations in ACT, NSW, NT, QLD, SA and TAS)&lt;/p&gt;&lt;p&gt;How to Manage and Control Asbestos in the Workplace Code of Practice&amp;mdash;December 2011&lt;/p&gt;&lt;p&gt;How to Safely Remove Asbestos Code of Practice&amp;mdash;December 2011&lt;/p&gt;&lt;p&gt;AS 1319&amp;ndash;1994 Safety Signs for the Occupational Environment&lt;/p&gt;&lt;p&gt;AS/NZS 60335.2.69:2003 Household And Similar Electrical Appliances&amp;mdash;Safety&amp;mdash;Particular Requirements for Wet and Dry Vacuum Cleaners, Including Power Brush, for Industrial and Commercial Use&lt;/p&gt;&lt;p&gt;AS 4260&amp;ndash;1997 High Efficiency Particulate Air (HEPA) Filters&amp;mdash;Classification, Construction and Performance&lt;/p&gt;&lt;p&gt;AS/NZS 1716:2012 Respiratory Protective Devices&lt;/p&gt;&lt;p&gt;AS/NZS 1715:2009 Selection, Use and Maintenance of Respiratory Protective Equipment&lt;/p&gt;</x:v>
      </x:c>
      <x:c r="Q152" s="6" t="n">
        <x:f>=HYPERLINK("#Q152","Source")</x:f>
      </x:c>
      <x:c r="R152"/>
      <x:c r="S152"/>
      <x:c r="T152"/>
    </x:row>
    <x:row r="153" spans="1:20" ht="15.75" x14ac:dyDescent="0.25">
      <x:c r="A153" t="n">
        <x:v>11732</x:v>
      </x:c>
      <x:c r="B153" t="str">
        <x:v>NSW,NT,QLD,SA,TAS,ACT,COMMONWEALTH</x:v>
      </x:c>
      <x:c r="C153" t="inlineStr">
        <x:is>
          <x:t xml:space="preserve">  Subobligation</x:t>
        </x:is>
      </x:c>
      <x:c r="D153" t="inlineStr">
        <x:is>
          <x:t xml:space="preserve">  Asbestos Removal Work—Clearance Inspections and Certificates</x:t>
        </x:is>
      </x:c>
      <x:c r="E153" s="31" t="n">
        <x:v>17.15</x:v>
      </x:c>
      <x:c r="F153" s="8" t="n">
        <x:f>=HYPERLINK("#Obligation()","Workplace Management—Asbestos")</x:f>
      </x:c>
      <x:c r="G153" s="8" t="n">
        <x:f>=HYPERLINK("#SubObligation()","Asbestos Removal Work—Clearance Inspections and Certificates")</x:f>
      </x:c>
      <x:c r="H153" s="6" t="n">
        <x:f>=HYPERLINK("#H153","Tools")</x:f>
      </x:c>
      <x:c r="I153" s="27" t="str">
        <x:v>&lt;b&gt;&lt;p&gt;Asbestos Removal Work—Clearance Inspections and Certificates&lt;/p&gt;Does the organisation that commissions licensed asbestos removal work at a workplace (or the licensed asbestos removalist in the case of domestic premises) ensure that a clearance inspection is carried out when the work is completed?&lt;/b&gt;</x:v>
      </x:c>
      <x:c r="J153" s="6" t="str">
        <x:v>&lt;p&gt;When licensed asbestos removal work is completed, the organisation that commissioned the work (or if the workplace is domestic premises, the licensed asbestos removalist) must ensure that a clearance inspection of the asbestos removal area is carried out by:&lt;/p&gt;&lt;ul&gt;&lt;li&gt;an independent licensed asbestos assessor (if the removal work must be carried out by a Class A licence holder), or&lt;/li&gt;&lt;li&gt;an independent competent person (in any other case).&lt;/li&gt;&lt;/ul&gt;&lt;p&gt;Note: In the ACT, all clearance inspections must be carried out by a licensed asbestos assessor.&lt;/p&gt;&lt;p&gt;A clearance inspection is an inspection of the asbestos removal area after the work has been completed to verify that the area is safe for normal use. It must include a visual inspection and may include air monitoring.&lt;/p&gt;&lt;p&gt;A competent person for a clearance inspection means a person who has acquired, through training or experience, the knowledge and skills of relevant asbestos removal industry practice and holds:&lt;/p&gt;&lt;ul&gt;&lt;li&gt;a certification in relation to the specified vocational education and training (VET) course for asbestos assessor work, or&lt;/li&gt;&lt;li&gt;a tertiary qualification in occupational health and safety, occupational hygiene, science, building, construction or environmental health.&lt;/li&gt;&lt;/ul&gt;&lt;p&gt;If it is not reasonable for the licensed asbestos assessor or competent person to be independent, the organisation or the licensed asbestos removalist may apply to the regulator for an exemption from the requirement that the assessor or competent person be independent.&lt;/p&gt;&lt;p&gt;The licensed asbestos assessor or competent person who carries out the clearance inspection must issue a clearance certificate before the asbestos removal area can be reoccupied and must ensure that the area does not pose a risk to health and safety from exposure to asbestos. Before issuing the certificate, the assessor or competent person must be satisfied that the area and its immediate surrounds are free from visible asbestos contamination and, if air monitoring was undertaken, the monitoring shows asbestos fibres below 0.01 fibres/ml.&lt;/p&gt;&lt;p&gt;The clearance certificate needs to be in writing and must state that:&lt;/p&gt;&lt;ul&gt;&lt;li&gt;the assessor or competent person found no visible asbestos residue from asbestos removal work in the area, or in the vicinity of the area, where the work was carried out, and&lt;/li&gt;&lt;li&gt;if air monitoring was carried out by the assessor or competent person as part of the clearance inspection&amp;mdash;the airborne asbestos fibre level was less than 0.01 asbestos fibres/ml.&lt;/li&gt;&lt;/ul&gt;&lt;p&gt;When arranging a clearance inspection for asbestos removal work that requires a Class A licence, the organisation (or the licensed asbestos removalist, if the workplace is domestic premises) should consult the regulator&amp;rsquo;s register of licensed asbestos assessors in the applicable state or territory.&lt;/p&gt;&lt;p&gt;When arranging a competent person to carry out a clearance inspection for other types of asbestos removal work, the organisation (or the licensed asbestos removalist if domestic premises) should satisfy itself that the person has the specified VET or tertiary qualification and relevant experience. For example, the organisation may require the person to show a certification document as evidence of having successfully completed a VET or tertiary course.&lt;/p&gt;&lt;p&gt;The organisation (or the licensed asbestos removalist if domestic premises) needs to make sure that the licensed asbestos assessor or competent person who carries out the clearance inspection is independent. This means that the asbestos assessor or competent person must not be involved in the asbestos removal for that specific job, and also cannot be part of the same organisation that has been involved in the asbestos removal for the job. In Queensland, a competent person from the same organisation that performs Class B asbestos removal work can carry out a clearance inspection, as long as that person is not directly involved in the removal work.&lt;/p&gt;&lt;p&gt;If it is not reasonably practicable to arrange an independent clearance inspection, the organisation or licensed asbestos removalist should have a procedure for applying to the regulator for an exemption from the requirement for the assessor or competent person to be independent.&lt;/p&gt;&lt;p&gt;The organisation (or licensed asbestos removalist if domestic premises) should ensure that clearance of the area has been completed and a clearance certificate has been issued before the work area is reoccupied. The organisation should keep a copy of the clearance certificate with the asbestos register and asbestos management plan for the workplace.&lt;/p&gt;&lt;p&gt;In Queensland, a competent person can issue an initial clearance certificate for an asbestos removal area, or the area immediately surrounding it, if the area is not free from visible asbestos contamination. The competent person must also issue an improvement notice or prohibition notice to the licensed asbestos removalist, requiring or directing the removalist to take steps necessary to ensure the asbestos removal area, and the area immediately surrounding it, are free from visible asbestos contamination. An independent competent person who did not issue the first clearance certificate must then carry out a new clearance inspection once the cleanup of the site is complete.&lt;/p&gt;&lt;p&gt;Air monitoring is compulsory for asbestos removal work requiring a Class A licence (see sub-obligation &amp;lsquo;Controls for Asbestos Removal Requiring a Class A Licence&amp;rsquo; in this section of the module).&lt;/p&gt;&lt;p&gt;Further information on clearance inspections and certificates is available in the Model code of practice - How to Safely Remove Asbestos, December 2011 (Safe Work Australia). See Tools - Model code of practice - How to Safely Remove Asbestos, December 2011 (Safe Work Australia). Appendix C of the code provides an example of a clearance certificate.&lt;/p&gt;</x:v>
      </x:c>
      <x:c r="K153" s="6" t="n">
        <x:f>=HYPERLINK("#K153","Guidance Notes")</x:f>
      </x:c>
      <x:c r="L153" s="6" t="str">
        <x:v>&lt;p&gt;Put in place procedures to ensure that a clearance inspection is carried out at the completion of licensed asbestos removal work, and a clearance certificate is issued if the inspection shows that all health and safety requirements have been met.&lt;/p&gt;</x:v>
      </x:c>
      <x:c r="M153" s="6" t="n">
        <x:f>=HYPERLINK("#M153","Remediation")</x:f>
      </x:c>
      <x:c r="N153" s="6" t="str">
        <x:v>&lt;p&gt;The maximum penalties for failing to ensure that a clearance inspection is carried out correctly at the completion of licensed asbestos removal work are $30,000 for an organisation and $6,000 for an individual (reg 473). The same maximum penalties apply for failing to:&lt;/p&gt;&lt;ul&gt;&lt;li&gt;issue a clearance certificate correctly before the asbestos removal area at the workplace is reoccupied (reg 474)&lt;/li&gt;&lt;li&gt;ensure that the asbestos removal area does not pose a risk to health and safety from exposure to asbestos (reg 474).&lt;/li&gt;&lt;/ul&gt;&lt;p&gt;Penalties also apply for issuing a clearance certificate without ensuring that the asbestos removal area is free from visible asbestos contamination and (if applicable) that air monitoring results show the asbestos fibre level at less than 0.01 fibres/ml. The maximum penalties are $30,000 for an organisation and $6,000 for an individual (reg 474).&lt;/p&gt;</x:v>
      </x:c>
      <x:c r="O153" s="6" t="n">
        <x:f>=HYPERLINK("#O153","Consequence")</x:f>
      </x:c>
      <x:c r="P153" s="6" t="str">
        <x:v>&lt;p&gt;&lt;a href="https://www.legislation.gov.au/Details/F2011L02664" target="_blank" &gt;Work Health and Safety Regulations 2011 (Cth)&lt;/a&gt; regs 473&amp;ndash;474, 684&amp;ndash;685 (see also corresponding regulations in ACT, NSW, NT, QLD, SA and TAS)&lt;/p&gt;&lt;p&gt;How to Manage and Control Asbestos in the Workplace Code of Practice&amp;mdash;December 2011&lt;/p&gt;&lt;p&gt;How to Safely Remove Asbestos Code of Practice&amp;mdash;December 2011&lt;/p&gt;&lt;p&gt;AS/NZS ISO/IEC 17020:2000 General Criteria for the Operation of Various Types of Bodies Performing Inspection&lt;/p&gt;</x:v>
      </x:c>
      <x:c r="Q153" s="6" t="n">
        <x:f>=HYPERLINK("#Q153","Source")</x:f>
      </x:c>
      <x:c r="R153"/>
      <x:c r="S153"/>
      <x:c r="T153"/>
    </x:row>
    <x:row r="154" spans="1:20" ht="15.75" x14ac:dyDescent="0.25">
      <x:c r="A154" t="n">
        <x:v>11830</x:v>
      </x:c>
      <x:c r="B154" t="str">
        <x:v>NSW,NT,QLD,SA,TAS,ACT,COMMONWEALTH</x:v>
      </x:c>
      <x:c r="C154" t="inlineStr">
        <x:is>
          <x:t xml:space="preserve">  Subobligation</x:t>
        </x:is>
      </x:c>
      <x:c r="D154" t="inlineStr">
        <x:is>
          <x:t xml:space="preserve">  Controls for Asbestos Removal Requiring a Class A Licence</x:t>
        </x:is>
      </x:c>
      <x:c r="E154" s="31" t="n">
        <x:v>17.16</x:v>
      </x:c>
      <x:c r="F154" s="8" t="n">
        <x:f>=HYPERLINK("#Obligation()","Workplace Management—Asbestos")</x:f>
      </x:c>
      <x:c r="G154" s="8" t="n">
        <x:f>=HYPERLINK("#SubObligation()","Controls for Asbestos Removal Requiring a Class A Licence")</x:f>
      </x:c>
      <x:c r="H154" s="6" t="n">
        <x:f>=HYPERLINK("#H154","Tools")</x:f>
      </x:c>
      <x:c r="I154" s="27" t="str">
        <x:v>&lt;b&gt;&lt;p&gt;Controls for Asbestos Removal Requiring a Class A Licence&lt;/p&gt;Does the organisation or licensed asbestos removalist ensure that a licensed asbestos assessor undertakes air monitoring for asbestos removal work requiring a Class A licence, and does the removalist comply with mandatory control measures for friable asbestos?&lt;/b&gt;</x:v>
      </x:c>
      <x:c r="J154" s="6" t="str">
        <x:v>&lt;p&gt;Certain asbestos removal work requires a Class A asbestos removal licence. A removalist that holds a Class A licence will be able to remove any amount of asbestos or asbestos-containing material (ACM), including:&lt;/p&gt;&lt;ul type="disc"&gt;&lt;li&gt;any amount of friable asbestos or ACM&lt;/li&gt;&lt;li&gt;any amount of asbestos contaminated dust or debris (ACD)&lt;/li&gt;&lt;li&gt;any amount of non-friable asbestos or ACM.&lt;/li&gt;&lt;/ul&gt;&lt;p&gt;Friable asbestos (that is, asbestos that is in powder form, or can be crumbled, pulverised or reduced to a powder by hand pressure when dry) can only be removed by a Class A licence holder.&lt;/p&gt;&lt;p&gt;An organisation that commissions asbestos removal work requiring a Class A licence must arrange for an independent licensed asbestos removal assessor to undertake air monitoring of the asbestos removal area. If the work is being done on domestic premises, the licensed asbestos removalist has the responsibility to ensure that an independent licensed asbestos removal assessor undertakes the air monitoring of the asbestos removal area at the premises. (Note: In South Australia, the air monitoring requirement extends to Class B removal work as well, but only until 1 January 2017.)&lt;/p&gt;&lt;p&gt;The air monitoring must be carried out immediately before the work commences, unless glove bags are to be used for the removal, as well as while the work is being carried out. The licensed asbestos assessor must use the membrane filter method for the air monitoring. The organisation that commissions the work must ensure that the air monitoring results are given to:&lt;/p&gt;&lt;ul type="disc"&gt;&lt;li&gt;workers and their health and safety representatives&lt;/li&gt;&lt;li&gt;organisations at the workplace&lt;/li&gt;&lt;li&gt;any other people at the workplace.&lt;/li&gt;&lt;/ul&gt;&lt;p&gt;If the workplace is domestic premises, the licensed asbestos removalist must ensure that the air monitoring results are given to:&lt;/p&gt;&lt;ul type="disc"&gt;&lt;li&gt;the organisation that commissioned the work&lt;/li&gt;&lt;li&gt;the workers and their health and safety representatives&lt;/li&gt;&lt;li&gt;the organisations at the workplace&lt;/li&gt;&lt;li&gt;the occupier of the premises&lt;/li&gt;&lt;li&gt;the owner of the premises&lt;/li&gt;&lt;li&gt;any other people at the workplace.&lt;/li&gt;&lt;/ul&gt;&lt;p&gt;The licensed asbestos removalist must take the following action, depending on the results of the air monitoring in the asbestos removal area:&lt;/p&gt;&lt;ul type="disc"&gt;&lt;li&gt;If respirable asbestos fibre levels are recorded at 0.01&amp;nbsp;fibres/ml or more, but not more than 0.02 fibres/ml&amp;mdash;the removalist must immediately investigate the cause of the respirable asbestos fibre level, implement controls to prevent exposure of anyone to asbestos and prevent the further release of respirable asbestos fibres.&lt;/li&gt;&lt;li&gt;If respirable asbestos fibre levels are recorded at more than 0.02 fibres/ml&amp;mdash;the removalist must immediately order the work to stop, notify the regulator, investigate the cause of the respirable asbestos fibre level, implement controls to prevent anyone from being exposed to the asbestos and prevent the further release of the fibre.&lt;/li&gt;&lt;/ul&gt;&lt;p&gt;If work has stopped because the recorded respirable asbestos fibre level exceeds 0.02 fibres/ml, the removalist will need to ensure that no asbestos removal work resumes until the air monitoring shows that the recorded respirable asbestos fibre level is below 0.01&amp;nbsp;fibres/ml.&lt;/p&gt;&lt;p&gt;When removing friable asbestos, a licensed asbestos removalist must ensure, so far as is reasonably practicable, that:&lt;/p&gt;&lt;ul type="disc"&gt;&lt;li&gt;the asbestos removal area is enclosed to prevent the release of fibres&lt;/li&gt;&lt;li&gt;negative pressure is used (unless glove bags are used)&lt;/li&gt;&lt;li&gt;the wet method of asbestos removal is used&lt;/li&gt;&lt;li&gt;the removal work does not start until the licensed asbestos assessor starts the air monitoring (unless glove bags are used)&lt;/li&gt;&lt;li&gt;air monitoring is undertaken during the asbestos removal work, at times decided by the independent licensed asbestos assessor&lt;/li&gt;&lt;li&gt;any glove bag used to enclose the asbestos removal area is dismantled and disposed of safely.&lt;/li&gt;&lt;/ul&gt;&lt;p&gt;The licensed asbestos removalist will need to make sure that any enclosure used in removing friable asbestos is tested for leaks. It must not dismantle the enclosure until it receives air monitoring results&amp;mdash;showing that the recorded respirable asbestos fibre level within the enclosure is below 0.01&amp;nbsp;fibres/ml&amp;mdash;from the licensed asbestos assessor (in the case of domestic premises) or from the organisation that commissioned the removal work (in any other case).&lt;/p&gt;&lt;p&gt;The licensed asbestos removalist must ensure that an enclosure for a friable asbestos removal area is dismantled in a way that, so far as is reasonably practicable, eliminates the release of respirable asbestos fibre. Also, the organisation that commissioned the removal needs to obtain a clearance certificate from a licensed asbestos assessor after the enclosure has been dismantled.&lt;/p&gt;&lt;p&gt;Air monitoring assists in assessing any exposure to asbestos and whether control measures that have been implemented are effective. Air monitoring requirements will vary depending on the type of asbestos being removed, the location and position of the asbestos, if an enclosure is being used and whether the work is occurring in a building or outside.&lt;/p&gt;&lt;p&gt;When selecting an independent licensed asbestos assessor to undertake air monitoring for asbestos removal work that requires a Class A licence, the organisation that commissions the work (or the licensed asbestos removalist, if the workplace is domestic premises) should consult the regulator&amp;rsquo;s register of licensed asbestos assessors in the applicable state or territory. The organisation or removalist should also have a process for communicating air monitoring results to the required people.&lt;/p&gt;&lt;p&gt;The licensed asbestos removalist carrying out removal work that requires a Class A licence should ensure that it complies with the mandatory control measures for removing friable asbestos. It is important that the removalist eliminates or minimises the release of airborne asbestos fibres, so far as is reasonably practicable, by enclosing the area where friable asbestos is to be removed. The enclosure should:&lt;/p&gt;&lt;ul type="disc"&gt;&lt;li&gt;be constructed of 200 μm thick heavy-duty plastic sheeting&lt;/li&gt;&lt;li&gt;have viewing panels so that the area can be seen from outside the enclosure&lt;/li&gt;&lt;li&gt;have adequate lighting, either naturally or artificially, using clear plastic or perspex panels.&lt;/li&gt;&lt;/ul&gt;&lt;p&gt;Before any work commences, the removalist should ensure that a licensed asbestos assessor tests the enclosure to ensure that there are no leaks or deficiencies. An exhaust extraction fan should also be installed to create a negative air pressure within the removal area. The removalist should ensure that an employee is stationed outside the enclosure to undertake any necessary checks and ensure that security is maintained.&lt;/p&gt;&lt;p&gt;The enclosure should be cleaned frequently, using wetting, scraping and vacuuming methods. The removalist should only dismantle the enclosure once the work has been completed, an independent licensed asbestos assessor has visually inspected the enclosure and determined it to be satisfactory, and air monitoring results for respirable asbestos fibre indicate less than 0.01 fibres/ml.&lt;/p&gt;&lt;p&gt;If the asbestos removal work is occurring in a restricted area, the removalist should consider implementing a small-scale enclosure. The requirements for a regular enclosure also apply to a small-scale enclosure.&lt;/p&gt;&lt;p&gt;In some situations, the removalist may wish to adopt the glove bag removal technique. This should be used to remove asbestos that is lagging from individual valves, joints and piping. A glove bag is a single-use bag made of transparent, heavy-duty polyethylene with built-in arms and access ports. It can be used to isolate small removal jobs and provide a flexible, easily installed and quickly dismantled temporary enclosure for small-scale removal work.&lt;/p&gt;&lt;p&gt;There are some high-risk situations in which removalists will need to show particular caution. Soil can become contaminated with asbestos where non-attached pieces of asbestos cement products and other asbestos-contaminated material mix with soil during work activities. Friable asbestos can attach to hot metal or machinery, and friable asbestos can also be located in plants, pipes or pits. In all of these situations, the removalist should take extreme care when removing the asbestos.&lt;/p&gt;&lt;p&gt;Detailed guidance on asbestos removal work requiring a Class A licence and associated air monitoring is available in the Model code of practice - How to Safely Remove Asbestos, December 2011 (Safe Work Australia). See Tools - Model code of practice - How to Safely Remove Asbestos, December 2011 (Safe Work Australia).&lt;/p&gt;</x:v>
      </x:c>
      <x:c r="K154" s="6" t="n">
        <x:f>=HYPERLINK("#K154","Guidance Notes")</x:f>
      </x:c>
      <x:c r="L154" s="6" t="str">
        <x:v>&lt;p&gt;Put in place procedures and resources to ensure that that air monitoring is carried out for all asbestos removal work requiring a Class A licence, and that friable asbestos is removed in accordance with the regulations.&lt;/p&gt;</x:v>
      </x:c>
      <x:c r="M154" s="6" t="n">
        <x:f>=HYPERLINK("#M154","Remediation")</x:f>
      </x:c>
      <x:c r="N154" s="6" t="str">
        <x:v>&lt;p&gt;The maximum penalties for an organisation or a licensed asbestos removalist that fails to arrange appropriate air monitoring for Class A asbestos removal work are $30,000 for an organisation and $6,000 for an individual (reg 475). The same maximum penalties apply for failing to:&lt;/p&gt;&lt;ul type="disc"&gt;&lt;li&gt;give the air monitoring results to all relevant people (reg 475)&lt;/li&gt;&lt;li&gt;use the membrane filter method for air monitoring (reg 475)&lt;/li&gt;&lt;li&gt;take appropriate action where the respirable asbestos fibre level is too high (reg 476)&lt;/li&gt;&lt;li&gt;ensure that asbestos removal work that has been stopped due to air monitoring results does not resume until the respirable asbestos fibre level returns to a safe level (reg 476)&lt;/li&gt;&lt;li&gt;remove friable asbestos in accordance with the regulations (reg 477)&lt;/li&gt;&lt;li&gt;test an enclosure for leaks (reg 477)&lt;/li&gt;&lt;li&gt;keep an enclosure in place until air monitoring results show a safe level of respirable asbestos fibres within the enclosure (reg 477)&lt;/li&gt;&lt;li&gt;dismantle the enclosure correctly (reg 477)&lt;/li&gt;&lt;/ul&gt;&lt;p&gt;obtain a clearance certificate from a licensed asbestos assessor after the enclosure is dismantled (reg 477).&lt;/p&gt;</x:v>
      </x:c>
      <x:c r="O154" s="6" t="n">
        <x:f>=HYPERLINK("#O154","Consequence")</x:f>
      </x:c>
      <x:c r="P154" s="6" t="str">
        <x:v>&lt;p&gt;&lt;a href="https://www.legislation.gov.au/Details/F2011L02664" target="_blank" &gt;Work Health and Safety Regulations 2011 (Cth)&lt;/a&gt; regs 475&amp;ndash;477 (see also corresponding regulations in ACT, NSW, NT, QLD, SA and TAS)&lt;/p&gt;&lt;p&gt;How to Manage and Control Asbestos in the Workplace Code of Practice&amp;mdash;December 2011&lt;/p&gt;&lt;p&gt;How to Safely Remove Asbestos Code of Practice&amp;mdash;December 2011&lt;/p&gt;</x:v>
      </x:c>
      <x:c r="Q154" s="6" t="n">
        <x:f>=HYPERLINK("#Q154","Source")</x:f>
      </x:c>
      <x:c r="R154"/>
      <x:c r="S154"/>
      <x:c r="T154"/>
    </x:row>
    <x:row r="155" spans="1:20" ht="15.75" x14ac:dyDescent="0.25">
      <x:c r="A155" t="n">
        <x:v>11836</x:v>
      </x:c>
      <x:c r="B155" t="str">
        <x:v>NSW,NT,QLD,SA,TAS,ACT,COMMONWEALTH</x:v>
      </x:c>
      <x:c r="C155" t="inlineStr">
        <x:is>
          <x:t xml:space="preserve">  Subobligation</x:t>
        </x:is>
      </x:c>
      <x:c r="D155" t="inlineStr">
        <x:is>
          <x:t xml:space="preserve">  Asbestos-Related Work—General Requirements</x:t>
        </x:is>
      </x:c>
      <x:c r="E155" s="31" t="n">
        <x:v>17.17</x:v>
      </x:c>
      <x:c r="F155" s="8" t="n">
        <x:f>=HYPERLINK("#Obligation()","Workplace Management—Asbestos")</x:f>
      </x:c>
      <x:c r="G155" s="8" t="n">
        <x:f>=HYPERLINK("#SubObligation()","Asbestos-Related Work—General Requirements")</x:f>
      </x:c>
      <x:c r="H155" s="6" t="n">
        <x:f>=HYPERLINK("#H155","Tools")</x:f>
      </x:c>
      <x:c r="I155" s="27" t="str">
        <x:v>&lt;b&gt;&lt;p&gt;Asbestos-Related Work—General Requirements&lt;/p&gt;Does the organisation ensure that asbestos-related work is carried out safely and in accordance with the regulations, and that air monitoring is undertaken if there is uncertainty whether the exposure standard for asbestos is likely to be exceeded?&lt;/b&gt;</x:v>
      </x:c>
      <x:c r="J155" s="6" t="str">
        <x:v>&lt;p&gt;Asbestos-related work is any work involving asbestos (other than asbestos removal work) that is permitted under the harmonised Work Health and Safety (WHS) Regulations.&lt;/p&gt;&lt;p&gt;If there is any uncertainty (based on reasonable grounds) as to whether the work to be carried out is asbestos-related work, the organisation will need to arrange for analysis of a sample to determine if asbestos or asbestos-containing material (ACM) is present at the workplace. However, this will not apply if the organisation assumes that asbestos is present. The sample can only be analysed by:&lt;/p&gt;&lt;ul type="disc"&gt;&lt;li&gt;a laboratory that is accredited by the National Association of Testing Authorities and is accredited for the relevant test method&lt;/li&gt;&lt;li&gt;a laboratory approved by the regulator in accordance with Safe Work Australia guidelines&lt;/li&gt;&lt;li&gt;a laboratory operated by the regulator.&lt;/li&gt;&lt;/ul&gt;&lt;p&gt;An organisation will need to give the following information to a person who is likely to be engaged to carry out asbestos-related work before the person is engaged to carry out the work:&lt;/p&gt;&lt;ul type="disc"&gt;&lt;li&gt;the health risks and effects associated with asbestos exposure&lt;/li&gt;&lt;li&gt;the need for, and details of, health monitoring of a worker carrying out asbestos-related work.&lt;/li&gt;&lt;/ul&gt;&lt;p&gt;An organisation also needs to ensure that the asbestos-related work area is separate from other work areas, that signs alerting people to the presence of asbestos are placed to indicate where the asbestos-related work is being carried out, and that barricades are erected to delineate the asbestos-related work area.&lt;/p&gt;&lt;p&gt;The organisation will need to arrange for a competent person to undertake air monitoring where the asbestos-related work is being carried out if there is any uncertainty as to whether the exposure standard is likely to be exceeded. If this person determines that the exposure standard has been exceeded at any time in a work area, the organisation must, so far as is reasonably practicable:&lt;/p&gt;&lt;ul type="disc"&gt;&lt;li&gt;determine which workers and other people were in the work area at that time&lt;/li&gt;&lt;li&gt;warn those workers and other people about possible exposure to respirable asbestos fibres.&lt;/li&gt;&lt;/ul&gt;&lt;p&gt;The organisation will need to make any information about exposure to respirable asbestos fibres readily accessible to those workers and other people who were in the work area at the time the exposure standard was exceeded. This information must include the determination made by the competent person and the air monitoring results.&lt;/p&gt;&lt;p&gt;An organisation must also comply with decontamination and waste disposal regulations when carrying out asbestos-related work.&lt;/p&gt;&lt;p&gt;Asbestos-related work includes any of the following activities permitted under the harmonised WHS Regulations:&lt;/p&gt;&lt;ul type="disc"&gt;&lt;li&gt;genuine research and analysis&lt;/li&gt;&lt;li&gt;sampling and identification in accordance with the WHS Regulations&lt;/li&gt;&lt;li&gt;maintenance of, or service work on, non-friable asbestos or ACM that was fixed or installed prior to 31 December 2003&lt;/li&gt;&lt;li&gt;the transportation and disposal of asbestos or asbestos waste, according to the relevant jurisdiction&amp;rsquo;s legislation&lt;/li&gt;&lt;li&gt;demonstrations, education or practical training relating to asbestos or ACM&lt;/li&gt;&lt;li&gt;the display of an artefact or thing that includes asbestos or ACM&lt;/li&gt;&lt;li&gt;management of in situ asbestos that was installed or fixed prior to 31 December 2003&lt;/li&gt;&lt;li&gt;work that disturbs asbestos during mining operations involving extraction of, or exploration for, a mineral other than asbestos&lt;/li&gt;&lt;li&gt;laundering asbestos-contaminated clothing&lt;/li&gt;&lt;li&gt;implementing regulator-approved methods for managing risks associated with asbestos&lt;/li&gt;&lt;li&gt;work involving asbestos-contaminated soil that a competent person has determined does not contain visible ACM or friable asbestos or (if friable asbestos is visible) more than trace levels of asbestos&lt;/li&gt;&lt;li&gt;managing naturally occurring asbestos in accordance with an asbestos management plan.&lt;/li&gt;&lt;/ul&gt;&lt;p&gt;The organisation should ensure that it has procedures in place to comply with all requirements for asbestos-related work. It is important that the organisation gives all workers appropriate training, correct tools and personal protective equipment (including clothing) before any work begins.&lt;/p&gt;&lt;p&gt;The organisation should also consider what control measures will be implemented for the asbestos-related work in accordance with the hierarchy of controls. These measures may include:&lt;/p&gt;&lt;ul type="disc"&gt;&lt;li&gt;eliminating the risk by not conducting the work, or carrying out the work in a way that does not disturb the asbestos&lt;/li&gt;&lt;li&gt;minimising the risk by isolating people from the asbestos or implementing an engineering control such as a mini-enclosure (or a combination of the two)&lt;/li&gt;&lt;li&gt;implementing administrative controls, if isolation or engineering controls do not provide sufficient protection&lt;/li&gt;&lt;li&gt;using personal protective equipment to supplement higher-order controls.&lt;/li&gt;&lt;/ul&gt;&lt;p&gt;The organisation should also consult the guidance provided in the sub-obligations &amp;lsquo;Asbestos Removal Areas&amp;mdash;Signage, Barricades and Limiting Access&amp;rsquo; and &amp;lsquo;Asbestos-Related Work&amp;mdash;Decontamination and Waste Disposal&amp;rsquo; in this section of the module.&lt;/p&gt;&lt;p&gt;Detailed guidance on asbestos-related work and examples of recommended safe work practices are available in the Model code of practice - How to Safely Remove Asbestos, December 2011 (Safe Work Australia). See Tools - Model code of practice - How to Safely Remove Asbestos, December 2011 (Safe Work Australia).&lt;/p&gt;</x:v>
      </x:c>
      <x:c r="K155" s="6" t="n">
        <x:f>=HYPERLINK("#K155","Guidance Notes")</x:f>
      </x:c>
      <x:c r="L155" s="6" t="str">
        <x:v>&lt;p&gt;Put in place procedures and resources to ensure that asbestos-related work is carried out safely and in accordance with the regulations.&lt;/p&gt;</x:v>
      </x:c>
      <x:c r="M155" s="6" t="n">
        <x:f>=HYPERLINK("#M155","Remediation")</x:f>
      </x:c>
      <x:c r="N155" s="6" t="str">
        <x:v>&lt;p&gt;The maximum penalties for failing to arrange for analysis of a sample to be undertaken (if uncertain as to whether work is asbestos-related work) are $30,000 for an organisation and $6,000 for an individual (reg 479). The same maximum penalties apply for failing to:&lt;/p&gt;&lt;ul&gt;&lt;li&gt;give workers the relevant information about health risks and health monitoring before the workers are engaged to carry out asbestos-related work (reg 480)&lt;/li&gt;&lt;li&gt;separate asbestos-related work from other areas and put up signs and barricades (reg 481)&lt;/li&gt;&lt;li&gt;arrange for a competent person to undertake air monitoring if uncertain as to whether the exposure standard will be exceeded (reg 482)&lt;/li&gt;&lt;li&gt;warn workers and other people about possible exposure to respirable asbestos fibres (reg&amp;nbsp;482)&lt;/li&gt;&lt;li&gt;make the relevant information about exposure readily accessible to the workers and other people (reg 482).&lt;/li&gt;&lt;/ul&gt;&lt;p&gt;Further penalties that apply to asbestos-related work are outlined in the sub-obligation &amp;lsquo;Asbestos-Related Work&amp;mdash;Decontamination and Waste Disposal&amp;rsquo; in this section of the module.&lt;/p&gt;</x:v>
      </x:c>
      <x:c r="O155" s="6" t="n">
        <x:f>=HYPERLINK("#O155","Consequence")</x:f>
      </x:c>
      <x:c r="P155" s="6" t="str">
        <x:v>&lt;p&gt;&lt;a href="https://www.legislation.gov.au/Details/F2011L02664" target="_blank" &gt;Work Health and Safety Regulations 2011 (Cth)&lt;/a&gt; regs 478&amp;ndash;482 (see also corresponding regulations in ACT, NSW, NT, QLD, SA and TAS)&lt;/p&gt;&lt;p&gt;How to Manage and Control Asbestos in the Workplace Code of Practice&amp;mdash;December 2011&lt;/p&gt;&lt;p&gt;How to Safely Remove Asbestos Code of Practice&amp;mdash;December 2011&lt;/p&gt;&lt;p&gt;AS 1319&amp;ndash;1994 Safety Signs for the Occupational Environment&lt;/p&gt;</x:v>
      </x:c>
      <x:c r="Q155" s="6" t="n">
        <x:f>=HYPERLINK("#Q155","Source")</x:f>
      </x:c>
      <x:c r="R155"/>
      <x:c r="S155"/>
      <x:c r="T155"/>
    </x:row>
    <x:row r="156" spans="1:20" ht="15.75" x14ac:dyDescent="0.25">
      <x:c r="A156" t="n">
        <x:v>11842</x:v>
      </x:c>
      <x:c r="B156" t="str">
        <x:v>NSW,NT,QLD,SA,TAS,ACT,COMMONWEALTH</x:v>
      </x:c>
      <x:c r="C156" t="inlineStr">
        <x:is>
          <x:t xml:space="preserve">  Subobligation</x:t>
        </x:is>
      </x:c>
      <x:c r="D156" t="inlineStr">
        <x:is>
          <x:t xml:space="preserve">  Asbestos-Related Work—Decontamination and Waste Disposal</x:t>
        </x:is>
      </x:c>
      <x:c r="E156" s="31" t="n">
        <x:v>17.18</x:v>
      </x:c>
      <x:c r="F156" s="8" t="n">
        <x:f>=HYPERLINK("#Obligation()","Workplace Management—Asbestos")</x:f>
      </x:c>
      <x:c r="G156" s="8" t="n">
        <x:f>=HYPERLINK("#SubObligation()","Asbestos-Related Work—Decontamination and Waste Disposal")</x:f>
      </x:c>
      <x:c r="H156" s="6" t="n">
        <x:f>=HYPERLINK("#H156","Tools")</x:f>
      </x:c>
      <x:c r="I156" s="27" t="str">
        <x:v>&lt;b&gt;&lt;p&gt;Asbestos-Related Work—Decontamination and Waste Disposal&lt;/p&gt;Does the organisation ensure that decontamination facilities are available for asbestos-related work, that asbestos waste is disposed of correctly, and that contaminated personal protective equipment is dealt with appropriately?&lt;/b&gt;</x:v>
      </x:c>
      <x:c r="J156" s="6" t="str">
        <x:v>&lt;p&gt;An organisation for which asbestos-related work is carried out needs to ensure that facilities are available to decontaminate the asbestos-related work area, any plant used in the work area, and the workers carrying out the work.&lt;/p&gt;&lt;p&gt;If anything in the asbestos-related work area is likely to be contaminated with asbestos, the organisation must ensure that the item is decontaminated before it is removed, or is placed in a sealed container that has a decontaminated exterior and is labelled correctly to indicate the presence of asbestos before the container is removed.&lt;/p&gt;&lt;p&gt;An organisation will need to ensure that asbestos waste is contained and labelled correctly before the waste is removed from the asbestos-related work area and is disposed of as soon as practicable at a site authorised to accept asbestos waste.&lt;/p&gt;&lt;p&gt;An organisation also needs to ensure that any personal protective equipment used in asbestos-related work and contaminated with asbestos:&lt;/p&gt;&lt;ul type="disc"&gt;&lt;li&gt;is sealed in a container and the exterior of the container is decontaminated and labelled correctly to indicate the presence of asbestos before the container is removed&lt;/li&gt;&lt;li&gt;so far as is reasonably practicable, is disposed of on the completion of the work at a site authorised to accept asbestos waste.&lt;/li&gt;&lt;/ul&gt;&lt;p&gt;If it is not reasonably practicable to dispose of the personal protective equipment in the way described above, then the organisation must comply with the following rules as applicable:&lt;/p&gt;&lt;ul type="disc"&gt;&lt;li&gt;If the equipment is clothing, it must be laundered at a laundry equipped to launder asbestos-contaminated clothing, or if this is not practicable, it must be kept in the sealed container until it is reused for asbestos-related work.&lt;/li&gt;&lt;li&gt;If the equipment is not clothing, it must be decontaminated before it is removed from the asbestos-related work area, or if this is not practicable, it must be kept in the sealed container until it is reused for the purposes of asbestos-related work.&lt;/li&gt;&lt;li&gt;The organisation must ensure that a sealed container used for contaminated personal protective equipment is decontaminated and labelled correctly to indicate the presence of asbestos before being removed from the asbestos-related work area.&lt;/li&gt;&lt;/ul&gt;&lt;p&gt;The organisation for which the asbestos-related work is being carried out will need to choose the most appropriate decontamination procedure for the asbestos-related work area, workers, personal protective equipment and tools to eliminate or minimise exposure to airborne asbestos fibres, so far as is reasonably practicable.&lt;/p&gt;&lt;p&gt;The two main types of decontamination processes are:&lt;/p&gt;&lt;ul type="disc"&gt;&lt;li&gt;wet decontamination, or wet wiping&amp;mdash;involves the use of damp rags to wipe down contaminated areas&lt;/li&gt;&lt;li&gt;dry decontamination&amp;mdash;involves carefully rolling or folding up and sealing plastic sheeting and/or vacuuming the asbestos-related work area with an asbestos vacuum cleaner (this method is only to be used when the wet method is not suitable or poses a risk).&lt;/li&gt;&lt;/ul&gt;&lt;p&gt;The organisation should have a procedure for ensuring that contaminated items are not removed from the asbestos-related work area unless they have been decontaminated or placed in a sealed container, and the exterior of the container has been decontaminated and labelled in accordance with the labelling elements of the Globally Harmonised System of Classification and Labelling of Chemicals (the GHS).&lt;/p&gt;&lt;p&gt;When the organisation is planning how to dispose of asbestos waste from the asbestos-related work area, it should consider:&lt;/p&gt;&lt;ul type="disc"&gt;&lt;li&gt;how to contain the waste to eliminate the release of airborne asbestos fibres&lt;/li&gt;&lt;li&gt;details of any asbestos or asbestos-containing material to be left on the premises&lt;/li&gt;&lt;li&gt;the types of fittings and supports at the workplace and whether they need to be removed&lt;/li&gt;&lt;li&gt;the location and security of waste storage on site&lt;/li&gt;&lt;li&gt;the transport of waste within the site and offsite&lt;/li&gt;&lt;li&gt;the location of the waste disposal site&lt;/li&gt;&lt;li&gt;any approvals needed from the relevant local disposal authority&lt;/li&gt;&lt;li&gt;any local disposal authority requirements that may apply to the amount and dimensions of asbestos waste.&lt;/li&gt;&lt;/ul&gt;&lt;p&gt;The waste containers must all have labels that comply with the labelling elements of the GHS. The containers should be lined with plastic and the labels should be placed on the top and side of each container with the words &amp;lsquo;Danger: Asbestos&amp;mdash;Do Not Break Seal&amp;rsquo; or a similar warning.&lt;/p&gt;&lt;p&gt;Detailed guidance on decontamination and waste disposal for asbestos-related work is available in the Model code of practice - How to Safely Remove Asbestos, December 2011 (Safe Work Australia). See Tools - Model code of practice - How to Safely Remove Asbestos, December 2011 (Safe Work Australia).&lt;/p&gt;</x:v>
      </x:c>
      <x:c r="K156" s="6" t="n">
        <x:f>=HYPERLINK("#K156","Guidance Notes")</x:f>
      </x:c>
      <x:c r="L156" s="6" t="str">
        <x:v>&lt;p&gt;Put in place procedures and resources to ensure that decontamination facilities are available for asbestos-related work, and asbestos waste and contaminated personal protective equipment are dealt with in accordance with the regulations.&lt;/p&gt;</x:v>
      </x:c>
      <x:c r="M156" s="6" t="n">
        <x:f>=HYPERLINK("#M156","Remediation")</x:f>
      </x:c>
      <x:c r="N156" s="6" t="str">
        <x:v>&lt;p&gt;The maximum penalties for failing to make decontamination facilities available for asbestos-related work are $30,000 for an organisation and $6,000 for an individual (reg 483). The same maximum penalties apply for failing to follow the correct decontamination procedures and failing to dispose of asbestos waste and deal with contaminated personal protective equipment in accordance with the regulations (regs 483 and 484).&lt;/p&gt;</x:v>
      </x:c>
      <x:c r="O156" s="6" t="n">
        <x:f>=HYPERLINK("#O156","Consequence")</x:f>
      </x:c>
      <x:c r="P156" s="6" t="str">
        <x:v>&lt;p&gt;&lt;a href="https://www.legislation.gov.au/Details/F2011L02664" target="_blank" &gt;Work Health and Safety Regulations 2011 (Cth)&lt;/a&gt; regs 483&amp;ndash;484 (see also corresponding regulations in ACT, NSW, NT, QLD, SA and TAS)&lt;/p&gt;&lt;p&gt;How to Manage and Control Asbestos in the Workplace Code of Practice&amp;mdash;December 2011&lt;/p&gt;&lt;p&gt;How to Safely Remove Asbestos Code of Practice&amp;mdash;December 2011&lt;/p&gt;&lt;p&gt;AS 1319&amp;ndash;1994 Safety Signs for the Occupational Environment&lt;/p&gt;&lt;p&gt;AS/NZS 60335.2.69:2003 Household and Similar Electrical Appliances&amp;mdash;Safety&amp;mdash;Particular Requirements for Wet and Dry Vacuum Cleaners, Including Power Brush, for Industrial and Commercial Use&lt;/p&gt;&lt;p&gt;AS 4260&amp;ndash;1997 High Efficiency Particulate Air (HEPA) Filters&amp;mdash;Classification, Construction and Performance&lt;/p&gt;&lt;p&gt;AS/NZS 1716:2012 Respiratory Protective Devices&lt;/p&gt;&lt;p&gt;AS/NZS 1715:2009 Selection, Use and Maintenance of Respiratory Protective Equipment&lt;/p&gt;</x:v>
      </x:c>
      <x:c r="Q156" s="6" t="n">
        <x:f>=HYPERLINK("#Q156","Source")</x:f>
      </x:c>
      <x:c r="R156"/>
      <x:c r="S156"/>
      <x:c r="T156"/>
    </x:row>
    <x:row r="157" spans="1:20" ht="15.75" x14ac:dyDescent="0.25">
      <x:c r="A157" t="n">
        <x:v>11851</x:v>
      </x:c>
      <x:c r="B157" t="str">
        <x:v>NSW,NT,QLD,SA,TAS,ACT,COMMONWEALTH</x:v>
      </x:c>
      <x:c r="C157" t="inlineStr">
        <x:is>
          <x:t xml:space="preserve">  Subobligation</x:t>
        </x:is>
      </x:c>
      <x:c r="D157" t="inlineStr">
        <x:is>
          <x:t xml:space="preserve">  Applying for an Asbestos Removal or Asbestos Assessor Licence</x:t>
        </x:is>
      </x:c>
      <x:c r="E157" s="31" t="n">
        <x:v>17.19</x:v>
      </x:c>
      <x:c r="F157" s="8" t="n">
        <x:f>=HYPERLINK("#Obligation()","Workplace Management—Asbestos")</x:f>
      </x:c>
      <x:c r="G157" s="8" t="n">
        <x:f>=HYPERLINK("#SubObligation()","Applying for an Asbestos Removal or Asbestos Assessor Licence")</x:f>
      </x:c>
      <x:c r="H157" s="6" t="n">
        <x:f>=HYPERLINK("#H157","Tools")</x:f>
      </x:c>
      <x:c r="I157" s="27" t="str">
        <x:v>&lt;b&gt;&lt;p&gt;Applying for an Asbestos Removal or Asbestos Assessor Licence&lt;/p&gt;Does the applicant for an asbestos removal or asbestos assessor licence ensure that the application contains all the required information, and does the licence holder advise the regulator of any material changes to information provided to the regulator?&lt;/b&gt;</x:v>
      </x:c>
      <x:c r="J157" s="6" t="str">
        <x:v>&lt;p&gt;The harmonised Work Health and Safety (WHS) Regulations (except in the Commonwealth jurisdiction) set out the process for licensing asbestos removalists and asbestos assessors.&lt;/p&gt;&lt;p&gt;Only an organisation or an individual who conducts (or proposes to conduct) a business or undertaking can apply to the regulator for an asbestos removal licence.&lt;/p&gt;&lt;p&gt;Only an individual who holds the necessary vocational education and training (VET) or tertiary qualification and has the necessary knowledge and skills can apply to the regulator for an asbestos assessor licence. The specified VET qualification for asbestos assessor work is a certificate in the VET course &amp;lsquo;Conduct asbestos assessment associated with removal&amp;rsquo;.&lt;/p&gt;&lt;p&gt;Licence applications must be submitted in the manner and form required by the regulator in the applicable state or territory. The content of the application will vary depending on whether the application is for a Class A or Class B asbestos removal licence, or an asbestos assessor licence. (Note: The Commonwealth regulator, Comcare, does not issue asbestos removal or asbestos assessor licences.)&lt;/p&gt;&lt;p&gt;The regulator must grant a licence if satisfied that the applicant meets all the requirements and is able to comply with any conditions that may apply to the licence. If the regulator decides to grant a licence, it must notify the applicant within 14 days after making the decision.&lt;/p&gt;&lt;p&gt;If the regulator decides to refuse to grant a licence, it must give the applicant written notice outlining the reasons for the proposed refusal and advising the applicant that they may make a submission to the regulator about the proposed refusal. After considering a submission, the regulator must decide whether to grant or refuse the licence, and advise the applicant of the decision (and the reasons for the decision) within 14 days after making the decision. The applicant may seek a review of the regulator&amp;rsquo;s decision to refuse to grant a licence.&lt;/p&gt;&lt;p&gt;The regulator may impose any conditions it considers appropriate on an asbestos removal or asbestos assessor licence. The organisation or individual must comply with the licence conditions, and can also seek a review of the regulator&amp;rsquo;s decision to impose a condition on a licence.&lt;/p&gt;&lt;p&gt;An asbestos removal or asbestos assessor licence is valid for 5 years unless it is cancelled earlier. The regulator must issue a licence document to the applicant. The licence holder must keep the licence document available for inspection under the relevant WHS Act (unless the document has been returned to the regulator for amendment or the licence holder has applied for, but not received, a replacement licence document).&lt;/p&gt;&lt;p&gt;If there is any material change to information given at any time by the licence holder to the regulator, the licence holder must give the regulator written advice within 14 days after becoming aware of the change.&lt;/p&gt;&lt;p&gt;If there is a change in relation to a supervisor named to the regulator by the holder of an asbestos removal licence (other than a licence holder who is an individual), the licence holder must:&lt;/p&gt;&lt;ul&gt;&lt;li&gt;if the change is to remove a supervisor&amp;mdash;within 14 days after the change, ask the regulator to amend the licence&lt;/li&gt;&lt;li&gt;if the change is to add a supervisor&amp;mdash;give the regulator the required information about the supervisor (the supervisor is not a nominated supervisor for the purpose of asbestos removal work until the regulator has approved the nomination).&lt;/li&gt;&lt;/ul&gt;&lt;p&gt;The regulator may, on its own initiative, amend a licence, including by varying or deleting a condition on the licence, or imposing a new condition. The regulator must give the licence holder written notice of any amendments, and advise the licence holder that they may make a submission in relation to the proposed amendment. After considering a submission, the regulator must decide whether to amend the licence, and advise the licence holder of the decision (including any variation to an amendment) within 14 days after making the decision. The licence holder may seek a review of the regulator&amp;rsquo;s decision to amend a licence.&lt;/p&gt;&lt;p&gt;A licence holder may also apply to the regulator to have the licence amended. If the regulator refuses to amend the licence, it must give the licence holder written notice of the proposed refusal, and advise the licence holder that they may make a submission in relation to the proposed refusal. After considering a submission, the regulator must decide whether to amend the licence, and advise the licence holder of the decision (including any variation to an amendment) within 14 days after making the decision. The licence holder may seek a review of the regulator&amp;rsquo;s decision to refuse the amendment applied for, or to make a different amendment.&lt;/p&gt;&lt;p&gt;The regulator must give an amended licence document to the licence holder within 14 days after making the decision to amend the licence. The licence holder must return the licence document to the regulator for amendment at the regulator&amp;rsquo;s written request and within the timeframe specified in the request.&lt;/p&gt;&lt;p&gt;A licence holder must give written notice to the regulator as soon as practicable if the licence document is lost, stolen or destroyed. The licence holder may apply to the regulator for a replacement document. The application must be in the manner and form required by the regulator, include a declaration describing the circumstances in which the document was lost, stolen or destroyed, and be accompanied by the relevant fee. The regulator must issue a replacement document if satisfied that the original document was lost, stolen or destroyed. If the regulator refuses to issue a replacement document, it must give the licence holder written notice of this decision (including the reasons for the decision) within 14 days after making the decision. The licence holder may seek a review of a decision to refuse to issue a replacement licence document.&lt;/p&gt;&lt;p&gt;To improve the likelihood that the regulator will approve a licence application, the applicant should take care to ensure that the information is complete, all details in the application are correct and the application is in the required format. Knowingly providing false or misleading information in an application is a serious offence.&lt;/p&gt;&lt;p&gt;The licence holder should have a procedure for advising the regulator promptly if there are any material changes to the information that the licence holder has provided to the regulator at any time.&lt;/p&gt;&lt;p&gt;An applicant for an asbestos removal licence should have written evidence that each supervisor named in the licence application has the necessary qualifications and experience. An applicant for an asbestos assessor licence should have written evidence of his or her VET or tertiary qualifications, and relevant skills and experience.&lt;/p&gt;&lt;p&gt;If the regulator grants a licence, the licence holder should check whether the regulator has imposed any conditions on the licence. The licence holder should put in place a process and procedures to ensure compliance with the conditions, and keep a record of actions taken to comply with the conditions.&lt;/p&gt;&lt;p&gt;If making a submission to the regulator about an adverse decision, the applicant should take care to include all relevant information and written evidence, and ensure that the submission directly addresses the regulator&amp;rsquo;s stated reasons for the adverse decision. The applicant may wish to seek expert advice (such as legal advice) when preparing the submission.&lt;/p&gt;&lt;p&gt;The licence holder should ensure that it keeps the licence document in a secure place and that the document can be easily retrieved if required. The licence holder should advise the regulator promptly if the licence document is lost, stolen or destroyed.&lt;/p&gt;</x:v>
      </x:c>
      <x:c r="K157" s="6" t="n">
        <x:f>=HYPERLINK("#K157","Guidance Notes")</x:f>
      </x:c>
      <x:c r="L157" s="6" t="str">
        <x:v>&lt;p&gt;Put in place a process to ensure that all relevant information is provided to the regulator in a licence application, and that the regulator is advised of any subsequent material changes to the information provided.&lt;/p&gt;</x:v>
      </x:c>
      <x:c r="M157" s="6" t="n">
        <x:f>=HYPERLINK("#M157","Remediation")</x:f>
      </x:c>
      <x:c r="N157" s="6" t="str">
        <x:v>&lt;p&gt;The harmonised WHS Acts impose penalties on organisations that carry out unauthorised work (for example, carrying out work without the required licence), or direct or allow a worker to carry out unauthorised work. The maximum penalties are $100,000 for an organisation and $20,000 for an individual (s 43). The same maximum penalties apply for failing to comply with any conditions of an authorisation such as a licence (s 45).&lt;/p&gt;&lt;p&gt;The state and territory harmonised WHS Regulations impose various penalties in relation to asbestos removal and asbestos assessor licences. A licence holder that fails to keep the licence document available for inspection faces maximum penalties of $6,000 for an organisation and $1,250 for an individual (reg 505). The same maximum penalties apply for failing to:&lt;/p&gt;&lt;ul&gt;&lt;li&gt;give the regulator written notice of any material changes to information given at any time by the licence holder to the regulator (reg 506)&lt;/li&gt;&lt;li&gt;advise the regulator of a change in relation to a supervisor named to the regulator by the holder of an asbestos removal licence (reg 507)&lt;/li&gt;&lt;li&gt;return a licence document to the regulator for amendment within the specified timeframe (reg 512)&lt;/li&gt;&lt;li&gt;give written notice to the regulator if a licence document is lost, stolen or destroyed (reg&amp;nbsp;513).&lt;/li&gt;&lt;/ul&gt;&lt;p&gt;In all the harmonised jurisdictions except the ACT and the Commonwealth, the maximum penalties for knowingly providing false or misleading information or documents are $50,000 for an organisation and $10,000 for an individual (s 268). Section 268 of the ACT&amp;rsquo;s WHS Act refers to the Criminal Code 2002 (ACT), which imposes maximum penalties of $75,000 for an organisation, and $15,000 and/or 12&amp;nbsp;months&amp;rsquo; imprisonment for an individual, for knowingly giving false or misleading information or knowingly providing a false or misleading document (Criminal Code, ss 338&amp;ndash;339).&lt;/p&gt;</x:v>
      </x:c>
      <x:c r="O157" s="6" t="n">
        <x:f>=HYPERLINK("#O157","Consequence")</x:f>
      </x:c>
      <x:c r="P157" s="6" t="str">
        <x:v>&lt;p&gt;&lt;a href="https://www.legislation.gov.au/Details/C2011A00137" target="_blank" &gt;Work Health and Safety Act 2011 (Cth)&lt;/a&gt; ss 43, 45, 268 (see also corresponding Acts in NSW, NT, QLD, SA and TAS)&lt;/p&gt;&lt;p&gt;&lt;a href="http://www.legislation.nsw.gov.au/#/view/regulation/2011/674" target="_blank" &gt;Work Health and Safety Regulation 2011 (NSW)&lt;/a&gt; regs 491&amp;ndash;514, 676 (see also corresponding regulations in ACT, NT, QLD, SA and TAS)&lt;/p&gt;&lt;p&gt;&lt;a href="http://www.legislation.act.gov.au/a/2002-51" target="_blank" &gt;Criminal Code 2002 (ACT)&lt;/a&gt; ss&amp;nbsp;338&amp;ndash;339&lt;/p&gt;&lt;p&gt;How to Manage and Control Asbestos in the Workplace Code of Practice&amp;mdash;December 2011&lt;/p&gt;&lt;p&gt;How to Safely Remove Asbestos Code of Practice&amp;mdash;December 2011&lt;/p&gt;</x:v>
      </x:c>
      <x:c r="Q157" s="6" t="n">
        <x:f>=HYPERLINK("#Q157","Source")</x:f>
      </x:c>
      <x:c r="R157"/>
      <x:c r="S157"/>
      <x:c r="T157"/>
    </x:row>
    <x:row r="158" spans="1:20" ht="15.75" x14ac:dyDescent="0.25">
      <x:c r="A158" t="n">
        <x:v>11862</x:v>
      </x:c>
      <x:c r="B158" t="str">
        <x:v>NSW,NT,QLD,SA,TAS,ACT,COMMONWEALTH</x:v>
      </x:c>
      <x:c r="C158" t="inlineStr">
        <x:is>
          <x:t xml:space="preserve">  Subobligation</x:t>
        </x:is>
      </x:c>
      <x:c r="D158" t="inlineStr">
        <x:is>
          <x:t xml:space="preserve">  Renewal, Suspension or Cancellation of a Licence</x:t>
        </x:is>
      </x:c>
      <x:c r="E158" s="31" t="n">
        <x:v>17.20</x:v>
      </x:c>
      <x:c r="F158" s="8" t="n">
        <x:f>=HYPERLINK("#Obligation()","Workplace Management—Asbestos")</x:f>
      </x:c>
      <x:c r="G158" s="8" t="n">
        <x:f>=HYPERLINK("#SubObligation()","Renewal, Suspension or Cancellation of a Licence")</x:f>
      </x:c>
      <x:c r="H158" s="6" t="n">
        <x:f>=HYPERLINK("#H158","Tools")</x:f>
      </x:c>
      <x:c r="I158" s="27" t="str">
        <x:v>&lt;b&gt;&lt;p&gt;Renewal, Suspension or Cancellation of a Licence&lt;/p&gt;Does the licence holder apply for renewal of an asbestos removal or asbestos assessor licence before the licence expires, and return the licence document to the regulator if the licence is suspended or cancelled?&lt;/b&gt;</x:v>
      </x:c>
      <x:c r="J158" s="6" t="str">
        <x:v>&lt;p&gt;Applications for the renewal of an asbestos removal or asbestos assessor licence must be submitted in the manner and form required by the regulator in the applicable state or territory. The licence holder must apply for renewal before the licence expires. The renewal application must include all the information required by the regulator in the relevant state or territory.&lt;/p&gt;&lt;p&gt;The regulator must not renew a licence unless satisfied that the licence holder continues to meet all the requirements of the licence, including any conditions imposed on the licence (such as the licence holder undergoing retraining or reassessment during the term of the licence). Before renewing an asbestos removal licence, the regulator must be satisfied that:&lt;/p&gt;&lt;ul type="disc"&gt;&lt;li&gt;each supervisor named by the applicant holds a certification for the specified vocational education and training (VET) course for supervision of the asbestos removal work to be authorised by the licence, and has appropriate experience in that work&lt;/li&gt;&lt;li&gt;asbestos removal work of the type authorised by the licence has been carried out by or on behalf of the applicant during the term of the licence.&lt;/li&gt;&lt;/ul&gt;&lt;p&gt;If the regulator decides to refuse to renew a licence, it must give the licence holder written notice outlining the reasons for the proposed refusal and advising the licence holder that they may make a submission to the regulator about the proposed refusal. After considering a submission, the regulator must decide whether or not to renew the licence, and advise the licence holder of the decision (and the reasons for the decision) within 14 days after making the decision. The licence holder may seek a review of the regulator&amp;rsquo;s decision to refuse to renew a licence.&lt;/p&gt;&lt;p&gt;The regulator may impose any conditions it considers appropriate when renewing an asbestos removal or asbestos assessor licence. The licence holder must comply with the licence conditions, and can also seek a review of the regulator&amp;rsquo;s decision to impose a condition on a licence.&lt;/p&gt;&lt;p&gt;The regulator may suspend or cancel an asbestos removal or asbestos assessor licence if satisfied about one or more of the following:&lt;/p&gt;&lt;ul type="disc"&gt;&lt;li&gt;the licence holder has failed to ensure that the work or other activities authorised by the licence are carried out safely and competently&lt;/li&gt;&lt;li&gt;the licence holder has failed to comply with a condition of the licence&lt;/li&gt;&lt;li&gt;the licence holder gave false or misleading information in an application or failed to give material information that should have been given&lt;/li&gt;&lt;li&gt;in relation to an asbestos removal licence&amp;mdash;the licence was granted or renewed on the basis of a certification that was obtained by giving false or misleading information&lt;/li&gt;&lt;li&gt;in relation to a Class A asbestos removal licence&amp;mdash;the licence holder has failed to have a certified safety management system in place.&lt;/li&gt;&lt;/ul&gt;&lt;p&gt;The regulator may cancel an asbestos removal licence if the licence holder does not have a qualified nominated asbestos removal supervisor (in Queensland, this only applies to Class A asbestos removal licences).&lt;/p&gt;&lt;p&gt;If the regulator suspends or cancels a licence, it may also disqualify the licence holder from applying for a further licence of the same type, or another licence that requires similar skills.&lt;/p&gt;&lt;p&gt;Before suspending or cancelling a licence, the regulator must give the licence holder a written notice of the proposed suspension or cancellation and any proposed disqualification. The licence holder will have the opportunity to make a submission in relation to the proposed suspension, cancellation or disqualification by the date specified in the notice.&lt;/p&gt;&lt;p&gt;After considering any submission, the regulator must give the licence holder written notice of a decision to suspend or cancel a licence within 14 days after making the decision. The licence holder may seek a review of the regulator&amp;rsquo;s decision to suspend or cancel a licence or disqualify the licence holder from applying for a further licence.&lt;/p&gt;&lt;p&gt;The regulator may also suspend a licence immediately (without giving prior written notice) if satisfied that:&lt;/p&gt;&lt;ul type="disc"&gt;&lt;li&gt;work carried out under the licence should cease because the work may involve an imminent serious risk to the health and safety of any person, or&lt;/li&gt;&lt;li&gt;a corresponding regulator has suspended an equivalent licence held by the licence holder in the corresponding jurisdiction.&lt;/li&gt;&lt;/ul&gt;&lt;p&gt;The regulator must give the licence holder written notice of the immediate suspension (including the reasons for the suspension). The suspension takes effect when the notice is given to the licence holder. The regulator must then give the licence holder another written notice (within 14 days after giving the first notice) advising that the licence holder can make a submission in relation to the suspension. The regulator must consider any submission before advising the licence holder of a final decision on the suspension.&lt;/p&gt;&lt;p&gt;On receiving a suspension or cancellation notice from the regulator, the licence holder must return the licence document to the regulator in accordance with the notice. In the case of a suspended licence, the regulator must return the licence document to the licence holder within 14 days after the licence suspension ends.&lt;/p&gt;&lt;p&gt;The licence holder should allow sufficient time before a licence is due to expire to prepare a renewal application. To improve the likelihood that the regulator will approve a licence renewal application, the licence holder should take care to ensure that the information is complete, all details in the application are correct and the application is in the required format. Knowingly providing false or misleading information in an application is a serious offence.&lt;/p&gt;&lt;p&gt;The licence holder should have a procedure for advising the regulator promptly if there are any material changes to the information that the licence holder has provided to the regulator at any time.&lt;/p&gt;&lt;p&gt;If the condition of a licence includes the requirement to undergo retraining or reassessment during the term of the licence, the licence holder should ensure that the necessary retraining or reassessment is undertaken before the expiry of the licence. When submitting a licence renewal application, the licence holder should ensure that it can provide the regulator with written evidence (such as certificates) to show that the required retraining or reassessment was undertaken.&lt;/p&gt;&lt;p&gt;The holder of an asbestos removal licence should have written evidence that each supervisor named in the renewal application has the necessary qualifications and experience. The licence holder should also have written evidence of the type of asbestos removal work carried out during the term of the licence.&lt;/p&gt;&lt;p&gt;If the regulator renews a licence, the licence holder should check whether the regulator has imposed any conditions on the licence. The licence holder should put in place a process and procedures to ensure compliance with the conditions, and keep a record of actions taken to comply with the conditions.&lt;/p&gt;&lt;p&gt;If making a submission to the regulator about an adverse decision, the licence holder should take care to include all relevant information and written evidence, and ensure that the submission directly addresses the regulator&amp;rsquo;s stated reasons for the adverse decision. The licence holder may wish to seek expert advice (such as legal advice) when preparing the submission.&lt;/p&gt;&lt;p&gt;The licence holder should ensure that it keeps the licence document in a secure place and that the document can be easily retrieved if required. The licence holder should have a procedure for promptly returning the licence document to the regulator if the licence is suspended or cancelled.&lt;/p&gt;</x:v>
      </x:c>
      <x:c r="K158" s="6" t="n">
        <x:f>=HYPERLINK("#K158","Guidance Notes")</x:f>
      </x:c>
      <x:c r="L158" s="6" t="str">
        <x:v>&lt;p&gt;Put in place a process to ensure that all relevant information is provided to the regulator in a licence renewal application, and that the licence document is returned to the regulator if the licence is suspended or cancelled.&lt;/p&gt;</x:v>
      </x:c>
      <x:c r="M158" s="6" t="n">
        <x:f>=HYPERLINK("#M158","Remediation")</x:f>
      </x:c>
      <x:c r="N158" s="6" t="str">
        <x:v>&lt;p&gt;The harmonised Work Health and Safety (WHS) Acts impose penalties on organisations that carry out unauthorised work (for example, carrying out work without the required licence), or direct or allow a worker to carry out unauthorised work. The maximum penalties are $100,000 for an organisation and $20,000 for an individual (s 43). The same maximum penalties apply for failing to comply with any conditions of an authorisation such as a licence (s 45).&lt;/p&gt;&lt;p&gt;The maximum penalties for failing to return a licence document to the regulator when a licence is suspended or cancelled are $6,000 for an organisation and $1,250 for an individual (reg 525).&lt;/p&gt;&lt;p&gt;In all the harmonised jurisdictions except the ACT and the Commonwealth, the maximum penalties for knowingly providing false or misleading information or documents are $50,000 for an organisation and $10,000 for an individual (s 268). Section 268 of the ACT&amp;rsquo;s WHS Act refers to the Criminal Code 2002 (ACT), which imposes maximum penalties of $75,000 for an organisation, and $15,000 and/or 12&amp;nbsp;months&amp;rsquo; imprisonment for an individual, for knowingly giving false or misleading information or knowingly providing a false or misleading document (Criminal Code, ss 338&amp;ndash;339).&lt;/p&gt;</x:v>
      </x:c>
      <x:c r="O158" s="6" t="n">
        <x:f>=HYPERLINK("#O158","Consequence")</x:f>
      </x:c>
      <x:c r="P158" s="6" t="str">
        <x:v>&lt;p&gt;&lt;a href="https://www.legislation.gov.au/Details/C2011A00137" target="_blank" &gt;Work Health and Safety Act 2011 (Cth)&lt;/a&gt; ss 43, 45, 268 (see also corresponding Acts in NSW, NT, QLD, SA and TAS)&lt;/p&gt;&lt;p&gt;&lt;a href="http://www.legislation.nsw.gov.au/#/view/regulation/2011/674" target="_blank" &gt;Work Health and Safety Regulation 2011 (NSW)&lt;/a&gt; regs 515&amp;ndash;526, 676 (see also corresponding regulations in ACT, NT, QLD, SA and TAS)&lt;/p&gt;&lt;p&gt;&lt;a href="http://www.legislation.act.gov.au/a/2002-51" target="_blank" &gt;Criminal Code 2002 (ACT)&lt;/a&gt; ss&amp;nbsp;338&amp;ndash;339&lt;/p&gt;&lt;p&gt;How to Manage and Control Asbestos in the Workplace Code of Practice&amp;mdash;December 2011&lt;/p&gt;&lt;p&gt;How to Safely Remove Asbestos Code of Practice&amp;mdash;December 2011&lt;/p&gt;</x:v>
      </x:c>
      <x:c r="Q158" s="6" t="n">
        <x:f>=HYPERLINK("#Q158","Source")</x:f>
      </x:c>
      <x:c r="R158"/>
      <x:c r="S158"/>
      <x:c r="T158"/>
    </x:row>
    <x:row r="159" spans="1:20" ht="15.75" x14ac:dyDescent="0.25">
      <x:c r="A159" t="n">
        <x:v>11867</x:v>
      </x:c>
      <x:c r="B159" t="str">
        <x:v>NSW,NT,QLD,SA,TAS,ACT,COMMONWEALTH</x:v>
      </x:c>
      <x:c r="C159" t="str">
        <x:v>Obligation</x:v>
      </x:c>
      <x:c r="D159" t="str">
        <x:v>Major Hazard Facilities</x:v>
      </x:c>
      <x:c r="E159" s="31" t="n">
        <x:v>18.00</x:v>
      </x:c>
      <x:c r="F159" s="8" t="n">
        <x:f>=HYPERLINK("#Obligation()","Major Hazard Facilities")</x:f>
      </x:c>
      <x:c r="G159" s="8"/>
      <x:c r="H159" s="6" t="n">
        <x:f>=HYPERLINK("#H159","Tools")</x:f>
      </x:c>
      <x:c r="I159" s="27" t="str">
        <x:v>&lt;b&gt;&lt;p&gt;Major Hazard Facilities&lt;/p&gt;Has the operator of a major hazard facility (MHF) ensured that it eliminates or minimises risks, so far as is reasonably practicable, to prevent major incidents from occurring at the MHF?&lt;/b&gt;</x:v>
      </x:c>
      <x:c r="J159" s="6" t="str">
        <x:v>&lt;p&gt;The harmonised Work Health and Safety (WHS) Regulations place specific duties on operators of major hazard facilities (MHFs)&amp;mdash;except in the ACT, where dangerous goods are regulated by the dangerous substances legislation.&lt;/p&gt;&lt;p&gt;An MHF is a facility where large quantities of certain chemicals are stored, handled or processed, such as an oil refinery, a chemical plant or a large fuel or chemical storage site. Schedule 15 of the WHS Regulations lists the relevant chemicals and their threshold quantities, which are used to determine whether a facility is an MHF.&lt;/p&gt;&lt;p&gt;An operator must notify the regulator of the quantity of Schedule 15 chemicals present at a facility if they exceed, or are likely to exceed, 10% of their threshold quantities. The facility may be an existing site, a modification to an existing site or a facility under construction. The reason for notification is to ensure that all potential major hazard facilities are made known to the regulator.&lt;/p&gt;&lt;p&gt;If the regulator is satisfied that the quantity of chemicals at a facility exceeds the threshold quantity, the regulator must make a determination confirming that the facility is an MHF. If the quantity of chemicals at a facility exceeds 10% of the threshold quantity but does not exceed the threshold quantity, the regulator may make a determination (after an inquiry) that the facility is an MHF. The term &amp;lsquo;determined major hazard facility&amp;rsquo; is used to describe a facility that the regulator has confirmed to be an MHF.&lt;/p&gt;&lt;p&gt;The operator of a determined MHF must apply to the regulator for an MHF licence within 24 months of the regulator making its determination. Once the regulator issues a licence, the facility is referred to as a &amp;lsquo;licensed major hazard facility&amp;rsquo;. The operator can subsequently apply for renewal, transfer or cancellation of the licence. The regulator has the power to suspend or cancel a licence, or disqualify an operator, if there is sufficient reason to do so.&lt;/p&gt;&lt;p&gt;An operator has a duty to conduct a safety assessment of the MHF to ensure that all health and safety risks are investigated and analysed. It also has a duty to implement control measures to eliminate or minimise the risks arising from major incidents or major incident hazards, so far as is reasonably practicable. It must prepare an emergency plan that addresses all health and safety consequences of a major incident and provides for testing of emergency procedures at the MHF.&lt;/p&gt;&lt;p&gt;The operator also needs to establish a safety management system for managing risks relating to actual or potential hazards at the MHF. In addition, it needs to prepare a safety case that:&lt;/p&gt;&lt;ul type="disc"&gt;&lt;li&gt;identifies all major incidents that could potentially occur at the facility, and all hazards that could cause a major incident&lt;/li&gt;&lt;li&gt;shows that the safety management system will control any risks arising from major incidents or major incident hazards&lt;/li&gt;&lt;li&gt;demonstrates that the measures to be implemented are adequate to control any risks associated with major incidents arising from the MHF.&lt;/li&gt;&lt;/ul&gt;&lt;p&gt;A safety case outline must first be prepared, which is essentially a plan to assist the operator in preparing a safety case for the MHF.&lt;/p&gt;&lt;p&gt;The operator needs to ensure that all workers at the MHF are provided with sufficient information, training and instruction to carry out their roles safely and effectively, and must implement a safety role for the workers that enables them to contribute to (among other things) the identification of major incidents and major incident hazards. The operator also must consult with workers on health and safety matters, including the preparation of the safety case outline, safety case and emergency plan.&lt;/p&gt;&lt;p&gt;When a visitor arrives at the MHF, the operator must provide that person with appropriate information and instruction relating to hazards and safety precautions. The operator also needs to provide the local community and the local authority with all necessary information relevant to the MHF. There are a number of &amp;lsquo;touch points&amp;rsquo; at which consultation with the local community is required, including after a major incident. Operators of MHFs are not required to share information which would increase the exposure of the MHF as a target for terrorist activity or sabotage.&lt;/p&gt;&lt;p&gt;The ACT has omitted the chapter on MHFs from its WHS Regulation 2011, instead preserving the provisions of the Dangerous Substances Act 2004 and Dangerous Substances (General) Regulation 2004. The duties in the ACT&amp;rsquo;s work health and safety legislation, such as an organisation&amp;rsquo;s primary duty of care or an officer&amp;rsquo;s duty to exercise due diligence, remain applicable to a workplace that stores, handles or processes large quantities of hazardous chemicals.&lt;/p&gt;&lt;p&gt;When notifying the regulator of a facility that has a quantity of Schedule 15 chemicals that exceeds 10% of their threshold quantities, the operator should include information about the facility, the operator, the Schedule 15 chemicals and contact details of someone with whom the regulator can communicate.&lt;/p&gt;&lt;p&gt;If the regulator has made a determination confirming that the facility is an MHF, the operator will then need to apply for a licence. The application should include details such as the operator&amp;rsquo;s name, other evidence of the operator&amp;rsquo;s identity, the safety case and details of any previous convictions or wrongdoings. Where necessary, the operator should seek guidance from the regulator on the format of the application and the level of detail required.&lt;/p&gt;&lt;p&gt;A safety assessment is needed for both determined and licensed MHFs. The operator of the MHF must ensure that it conducts a thorough analysis of all health and safety risks associated with major incidents that could occur, including the nature of each incident or hazard and their likelihood, the potential magnitude and severity of an incident, the range of control measures considered and the control measures that the operator decides to implement.&lt;/p&gt;&lt;p&gt;The operator should ensure that the facility&amp;rsquo;s emergency plan includes details of the MHF site and any hazards, the command structure and details of the relevant personnel, the notification procedures, the relevant resources and equipment, and the relevant procedures to implement.&lt;/p&gt;&lt;p&gt;The safety management system is the primary means of ensuring that the MHF is operated safely, and needs to provide a comprehensive and integrated system for managing the risk of actual or potential major incidents. The operator should consider factors such as what information is needed, who will be involved in risk management, how much time and what resources are needed for each task, what techniques will be used and how the process and outcomes will be documented.&lt;/p&gt;&lt;p&gt;It is very important that an operator prepares an effective safety case outline and safety case. When drafting the outline, the operator should identify what information is required to prepare the safety case, identify and review existing information that could be used and determine its validity, and undertake a gap analysis to determine what additional work is needed. The safety case itself needs to show that the implemented control measures are adequate to control risks associated with possible major incidents.&lt;/p&gt;&lt;p&gt;When an operator consults with its workers, it should ensure that this involves sharing relevant information to give workers an opportunity to express their views, and the operator should consider these views before its makes decisions on health and safety matters.&lt;/p&gt;&lt;p&gt;When instructing visitors about the safety precautions to take at the MHF, the operator should consider using safety induction talks, safety rules and safety guidelines to allow the visitors to understand what precautions they need to take while at the MHF.&lt;/p&gt;&lt;p&gt;Major hazard facilities guidance material (Safe Work Australia, March 2012) provides further information on each of these topics. Specifically, this guidance includes:&lt;/p&gt;&lt;ul type="disc"&gt;&lt;li&gt;notification and determination of a MHF&lt;/li&gt;&lt;li&gt;safety assessment of an MHF&lt;/li&gt;&lt;li&gt;safety management systems for MHFs&lt;/li&gt;&lt;li&gt;developing a safety case outline for an MHF&lt;/li&gt;&lt;li&gt;preparation of a safety case for an MHF&lt;/li&gt;&lt;li&gt;demonstrating the adequacy of safety management and control measures in a safety case&lt;/li&gt;&lt;li&gt;information, training and instruction for workers and others at the facility&lt;/li&gt;&lt;li&gt;providing information to the community&lt;/li&gt;&lt;li&gt;developing emergency plans for an MHF.&lt;/li&gt;&lt;/ul&gt;</x:v>
      </x:c>
      <x:c r="K159" s="6" t="n">
        <x:f>=HYPERLINK("#K159","Guidance Notes")</x:f>
      </x:c>
      <x:c r="L159" s="6" t="str">
        <x:v>&lt;p&gt;Put in place procedures and resources to eliminate or minimise the risk of major incidents occurring at the MHF.&lt;/p&gt;</x:v>
      </x:c>
      <x:c r="M159" s="6" t="n">
        <x:f>=HYPERLINK("#M159","Remediation")</x:f>
      </x:c>
      <x:c r="N159" s="6" t="str">
        <x:v>&lt;p&gt;A range of penalties apply if an operator does not comply with the MHF provisions in the WHS Regulations and fails to do what is reasonably practicable to eliminate or minimise risks arising from major incidents and major incident hazards. The maximum penalties are $30,000 for an organisation and $6,000 for an individual (Chapter 9).&lt;/p&gt;&lt;p&gt;In addition, the harmonised WHS Acts impose penalties for breaches of the primary duty of care or an officer&amp;rsquo;s duty to exercise due diligence. These penalties are graduated based on the severity of the offence. The most serious offences are those that involve an element of recklessness. An operator&amp;rsquo;s failure to take reasonably practicable steps to eliminate or minimise risks at an MHF may be regarded as reckless conduct if that failure exposes someone to the risk of death or serious injury or illness, and if the operator does not have a reasonable excuse for failing to control the risks. The maximum penalties for reckless conduct are:&lt;/p&gt;&lt;ul&gt;&lt;li&gt;$3 million for a body corporate&lt;/li&gt;&lt;li&gt;$600,000 and/or 5 years&amp;rsquo; imprisonment for an individual person conducting a business or undertaking or an officer of a business or undertaking&lt;/li&gt;&lt;li&gt;$300,000 and/or 5 years&amp;rsquo; imprisonment for other individuals (s 31).&lt;/li&gt;&lt;/ul&gt;&lt;p&gt;Lesser penalties apply where the failure to comply with a duty does not involve reckless conduct (ss&amp;nbsp;32&amp;ndash;33).&lt;/p&gt;&lt;p&gt;Maximum penalties of $250,000 (for an organisation) and $50,000 (for an individual) apply for failing to have the necessary authorisation to operate an MHF (s 41).&lt;/p&gt;</x:v>
      </x:c>
      <x:c r="O159" s="6" t="n">
        <x:f>=HYPERLINK("#O159","Consequence")</x:f>
      </x:c>
      <x:c r="P159" s="6" t="str">
        <x:v>&lt;p&gt;&lt;a href="https://www.legislation.gov.au/Details/C2011A00137" target="_blank" &gt;Work Health and Safety Act 2011 (Cth)&lt;/a&gt; ss 19&amp;ndash;20, 31&amp;ndash;33, 41, 45 (see also corresponding Acts in NSW, NT, QLD, SA and TAS)&lt;/p&gt;&lt;p&gt;&lt;a href="https://www.legislation.gov.au/Details/F2011L02664" target="_blank" &gt;Work Health and Safety Regulations 2011 (Cth)&lt;/a&gt; Ch&amp;nbsp;9, Schedules 15&amp;ndash;18 (see also corresponding regulations in NSW, NT, QLD, SA and TAS)&lt;/p&gt;</x:v>
      </x:c>
      <x:c r="Q159" s="6" t="n">
        <x:f>=HYPERLINK("#Q159","Source")</x:f>
      </x:c>
      <x:c r="R159"/>
      <x:c r="S159"/>
      <x:c r="T159"/>
    </x:row>
    <x:row r="160" spans="1:20" ht="15.75" x14ac:dyDescent="0.25">
      <x:c r="A160" t="n">
        <x:v>11871</x:v>
      </x:c>
      <x:c r="B160" t="str">
        <x:v>NSW,NT,QLD,SA,TAS,COMMONWEALTH</x:v>
      </x:c>
      <x:c r="C160" t="inlineStr">
        <x:is>
          <x:t xml:space="preserve">  Subobligation</x:t>
        </x:is>
      </x:c>
      <x:c r="D160" t="inlineStr">
        <x:is>
          <x:t xml:space="preserve">  Notification and Determination of a Major Hazard Facility</x:t>
        </x:is>
      </x:c>
      <x:c r="E160" s="31" t="n">
        <x:v>18.01</x:v>
      </x:c>
      <x:c r="F160" s="8" t="n">
        <x:f>=HYPERLINK("#Obligation()","Major Hazard Facilities")</x:f>
      </x:c>
      <x:c r="G160" s="8" t="n">
        <x:f>=HYPERLINK("#SubObligation()","Notification and Determination of a Major Hazard Facility")</x:f>
      </x:c>
      <x:c r="H160" s="6" t="n">
        <x:f>=HYPERLINK("#H160","Tools")</x:f>
      </x:c>
      <x:c r="I160" s="27" t="str">
        <x:v>&lt;b&gt;&lt;p&gt;Notification and Determination of a Major Hazard Facility&lt;/p&gt;Has the operator of a facility notified the regulator if Schedule 15 chemicals are present or likely to be present at the facility and if they exceed 10% of the threshold quantity?&lt;/b&gt;</x:v>
      </x:c>
      <x:c r="J160" s="6" t="str">
        <x:v>&lt;p&gt;An operator of a facility must notify the regulator if Schedule 15 chemicals are present or likely to be present at the facility and if they exceed 10% of the threshold quantity. The operator must provide the notification as soon as practicable (but generally not more than 3 months) after becoming aware of the situation.&lt;/p&gt;&lt;p&gt;No notification is required if the quantity of Schedule 15 chemicals is less than or equal to 10% of the threshold quantity. However, the operator of the facility must notify the regulator when the threshold is crossed (or is likely to be crossed).&lt;/p&gt;&lt;p&gt;An operator of an existing licensed major hazard facility (MHF) does not need to provide notification.&lt;/p&gt;&lt;p&gt;An operator of a proposed facility (that is, an existing facility or other workplace that is to become an MHF due to the introduction of Schedule 15 chemicals, or an MHF that is being designed or constructed) may notify the regulator. While the operator is not obliged to notify the regulator, early engagement with the regulator is generally preferable, where possible.&lt;/p&gt;&lt;p&gt;The notification must include:&lt;/p&gt;&lt;ul&gt;&lt;li&gt;information about the facility&lt;/li&gt;&lt;li&gt;information about the operator (including details of any previous wrongdoings)&lt;/li&gt;&lt;li&gt;information about the Schedule 15 chemicals&lt;/li&gt;&lt;li&gt;contact details of someone with whom the regulator can communicate.&lt;/li&gt;&lt;/ul&gt;&lt;p&gt;The regulator can conduct an inquiry into the facility if a notification discloses, or the regulator reasonably suspects, that:&lt;/p&gt;&lt;ul&gt;&lt;li&gt;the quantity of Schedule 15 chemicals present or likely to be present at a facility exceeds 10% of their threshold quantity but does not exceed their threshold quantity, or&lt;/li&gt;&lt;li&gt;the operator of the facility may not be a suitable person to operate the facility.&lt;/li&gt;&lt;/ul&gt;&lt;p&gt;If an inquiry is to be held, the regulator must notify the operator in writing, informing the person of the reasons for the inquiry and advising the person that they may make a submission to the regulator in relation to the inquiry. The regulator must consider the submission and consult with interested parties, including the health and safety representative for the facility and the emergency services in the area where the facility is located.&lt;/p&gt;&lt;p&gt;If an inquiry discloses that the facility&amp;rsquo;s chemicals exceed 10% of their threshold quantity, but do not exceed 100% of their threshold quantity, the regulator may determine the facility to be an MHF, depending on the assessed level of risk posed by the facility.&lt;/p&gt;&lt;p&gt;If a notification discloses that the Schedule 15 chemicals exceed 100% of their threshold quantity, the regulator must determine the facility to be an MHF.&lt;/p&gt;&lt;p&gt;The regulator may determine that a facility&amp;rsquo;s operator is not suitable, or may impose conditions on a determination, and the operator of the determined MHF must ensure that it complies with these conditions.&lt;/p&gt;&lt;p&gt;If the regulator makes a determination, it must notify the operator of the determined MHF in writing within 14 days, with the reasons, the date it takes effect and any conditions imposed. The regulator can revoke the determination at a later date.&lt;/p&gt;&lt;p&gt;If an operator of a facility or proposed facility is aware that the quantity of Schedule 15 chemicals increases, it should re-notify the regulator of the increase.&lt;/p&gt;&lt;p&gt;A new operator of a determined MHF must notify the regulator in accordance with the normal notification requirements.&lt;/p&gt;&lt;p&gt;An operator of a determined MHF must apply for an MHF licence within 24 months after the regulator makes its determination.&lt;/p&gt;&lt;p&gt;Operators can apply for an exemption if they believe that their facility does not warrant designation as an MHF.&lt;/p&gt;&lt;p&gt;The purpose of notification is to ensure that all potential MHFs are made known to the regulator. The amount of information provided in a notification will vary&amp;mdash;generally more information is needed for a facility handling a wide range of chemicals, as compared to a simple warehouse.&lt;/p&gt;&lt;p&gt;The operator should have a system for accurately calculating the quantities of Schedule 15 chemicals at the facility and promptly notifying the regulator when they exceed 10% of the threshold quantities. When calculating the quantity of Schedule 15 chemicals at a facility, any chemicals that are being held for temporary storage or are in transit should be excluded from the calculation. Also, chemicals that are in quantities of less than 2% of their threshold quantity and are sufficiently isolated from other significant quantities may be excluded.&lt;/p&gt;&lt;p&gt;During a determination inquiry, the regulator will primarily consider whether there is potential for a major incident to occur at the facility, taking into account the quality and combination of chemicals, the type of activities at the facility and the land use and activities in the area surrounding the facility. The operator should consider whether it is desirable to make a submission to the inquiry, and what resources would be required to prepare the submission.&lt;/p&gt;&lt;p&gt;The regulator may determine a facility to be an MHF, but at the same time decide that the operator is not a suitable individual or organisation to operate the facility. If this is the case, the operator cannot apply for an MHF licence, but can seek a review of the regulator&amp;rsquo;s decision on suitability.&lt;/p&gt;&lt;p&gt;The operator can seek a review of the regulator&amp;rsquo;s determination that a facility is an MHF, or that a proposed facility is not an MHF. The operator can also seek a review of the regulator&amp;rsquo;s decision to impose a condition on a determination of an MHF.&lt;/p&gt;&lt;p&gt;Guide for major hazard facilities&amp;mdash;notification and determination (Safe Work Australia, March 2012) provides further guidance, including a flowchart of the notification and determination process. The regulators also have guides and resources available on notification and determination requirements, see Tools Guide for major hazard facilities&amp;mdash;notification and determination (Safe Work Australia, March 2012).&lt;/p&gt;</x:v>
      </x:c>
      <x:c r="K160" s="6" t="n">
        <x:f>=HYPERLINK("#K160","Guidance Notes")</x:f>
      </x:c>
      <x:c r="L160" s="6" t="str">
        <x:v>&lt;p&gt;Put in place procedures and resources to ensure that the specified quantities of Schedule 15 chemicals can be notified to the regulator within the required timeframe.&lt;/p&gt;</x:v>
      </x:c>
      <x:c r="M160" s="6" t="n">
        <x:f>=HYPERLINK("#M160","Remediation")</x:f>
      </x:c>
      <x:c r="N160" s="6" t="str">
        <x:v>&lt;p&gt;The maximum penalties for failing to notify the regulator of Schedule 15 chemicals that exceed 10% of their threshold quantity at a facility are $30,000 for an organisation and $6,000 for an individual (reg 536). Penalties also apply for failing to re-notify the regulator if the quantity of Schedule 15 chemicals increases to exceed 10% of their threshold quantity and the facility was previously determined not to be an MHF. The maximum penalties are $18,000 for an organisation and $3,600 for an individual (reg 547). The same maximum penalties apply for a new operator failing to provide notification (reg 548).&lt;/p&gt;</x:v>
      </x:c>
      <x:c r="O160" s="6" t="n">
        <x:f>=HYPERLINK("#O160","Consequence")</x:f>
      </x:c>
      <x:c r="P160" s="6" t="str">
        <x:v>&lt;p&gt;&lt;a href="https://www.legislation.gov.au/Details/F2011L02664" target="_blank" &gt;Work Health and Safety Regulations 2011 (Cth)&lt;/a&gt; (regs 536&amp;ndash;549, 676) (see also corresponding regulations in NSW, NT, QLD, SA and TAS)&lt;/p&gt;</x:v>
      </x:c>
      <x:c r="Q160" s="6" t="n">
        <x:f>=HYPERLINK("#Q160","Source")</x:f>
      </x:c>
      <x:c r="R160"/>
      <x:c r="S160"/>
      <x:c r="T160"/>
    </x:row>
    <x:row r="161" spans="1:20" ht="15.75" x14ac:dyDescent="0.25">
      <x:c r="A161" t="n">
        <x:v>12030</x:v>
      </x:c>
      <x:c r="B161" t="str">
        <x:v>NSW,NT,QLD,SA,TAS,COMMONWEALTH</x:v>
      </x:c>
      <x:c r="C161" t="inlineStr">
        <x:is>
          <x:t xml:space="preserve">  Subobligation</x:t>
        </x:is>
      </x:c>
      <x:c r="D161" t="inlineStr">
        <x:is>
          <x:t xml:space="preserve">  Safety Case Outline</x:t>
        </x:is>
      </x:c>
      <x:c r="E161" s="31" t="n">
        <x:v>18.02</x:v>
      </x:c>
      <x:c r="F161" s="8" t="n">
        <x:f>=HYPERLINK("#Obligation()","Major Hazard Facilities")</x:f>
      </x:c>
      <x:c r="G161" s="8" t="n">
        <x:f>=HYPERLINK("#SubObligation()","Safety Case Outline")</x:f>
      </x:c>
      <x:c r="H161" s="6" t="n">
        <x:f>=HYPERLINK("#H161","Tools")</x:f>
      </x:c>
      <x:c r="I161" s="27" t="str">
        <x:v>&lt;b&gt;&lt;p&gt;Safety Case Outline&lt;/p&gt;Has the operator of the determined major hazard facility (MHF) provided a safety case outline to the regulator within 3 months after the facility is determined to be an MHF?&lt;/b&gt;</x:v>
      </x:c>
      <x:c r="J161" s="6" t="str">
        <x:v>&lt;p&gt;An operator of a determined major hazard facility (MHF) has an obligation to provide a safety case outline to the regulator within 3 months after the facility is determined to be an MHF. A safety case outline is a plan that helps an operator prepare a safety case.&lt;/p&gt;&lt;p&gt;The following must be included in the safety case outline:&lt;/p&gt;&lt;ul type="disc"&gt;&lt;li&gt;a written plan for preparing the safety case&lt;/li&gt;&lt;li&gt;a description of the methods to be used in preparing the safety case&lt;/li&gt;&lt;li&gt;details of the resources to apply when preparing the safety case&lt;/li&gt;&lt;li&gt;a description of all consultation with workers&lt;/li&gt;&lt;li&gt;a draft emergency plan&lt;/li&gt;&lt;li&gt;a summary of arrangements to be made regarding the MHF&amp;rsquo;s security.&lt;/li&gt;&lt;/ul&gt;&lt;p&gt;If the regulator is not satisfied that the outline of the safety case will lead to the development of a safety case that meets the requirements of the harmonised Work Health and Safety Regulations, the regulator can ask an operator to amend the safety case outline, in which case the operator must amend the outline as required and give the amended copy to the regulator. On receiving the regulator&amp;rsquo;s written request for amendment, the operator has the option of making a submission to the regulator about the proposed amendment. The regulator must consider the submission before deciding whether the operator still needs to submit an amended safety case outline.&lt;/p&gt;&lt;p&gt;To complete a safety case outline, the operator will need to:&lt;/p&gt;&lt;ul type="disc"&gt;&lt;li&gt;understand the processes and systems required for the safety case&lt;/li&gt;&lt;li&gt;understand the purpose of the safety case&lt;/li&gt;&lt;li&gt;understand what information will be required&lt;/li&gt;&lt;li&gt;determine what information is currently available and what extra information is required&lt;/li&gt;&lt;li&gt;determine how to meet any deficiencies&lt;/li&gt;&lt;li&gt;write the safety case outline.&lt;/li&gt;&lt;/ul&gt;&lt;p&gt;The operator can engage a qualified and experienced person from outside the MHF to assist with the safety case outline; however, the operator must have overall ownership of it.&lt;/p&gt;&lt;p&gt;If the operator manages multiple MHFs, a separate document is required for each MHF.&lt;/p&gt;&lt;p&gt;The safety case outline should:&lt;/p&gt;&lt;ul type="disc"&gt;&lt;li&gt;be legible&lt;/li&gt;&lt;li&gt;set out all information clearly and logically&lt;/li&gt;&lt;li&gt;explain specific terminology and abbreviations&lt;/li&gt;&lt;li&gt;include sufficient information in the header or footer on each page to identify the MHF and the document&lt;/li&gt;&lt;li&gt;include a cover page with sufficient identification and contact details.&lt;/li&gt;&lt;/ul&gt;&lt;p&gt;When drafting the safety case outline, the operator should identify what information is required to prepare the case, identify and review existing information that could be used and determine its validity, and conduct a gap analysis to determine what additional work is needed.&lt;/p&gt;&lt;p&gt;The operator should list the major tasks and activities identified in the gap analysis, and show the order and timetable for these tasks and activities, and how they are linked.&lt;/p&gt;&lt;p&gt;When describing the resources to be applied, the operator should list the people who will be involved along with details of their relevant knowledge and experience, any relevant sources of technical information such as audit reports or emergency plans, and details of any software used for the studies and analysis.&lt;/p&gt;&lt;p&gt;The operator will need to describe any consultation with workers, including any that occurred when preparing the safety case outline, or that will occur when preparing the safety case. Consultation includes sharing information with workers and allowing them to express their views, which should be taken into account.&lt;/p&gt;&lt;p&gt;Guide for major hazard facilities&amp;mdash;notification and determination (Safe Work Australia, March 2012) provides further guidance, including a checklist for ensuring that a safety case outline addresses all the requirements.&lt;/p&gt;</x:v>
      </x:c>
      <x:c r="K161" s="6" t="n">
        <x:f>=HYPERLINK("#K161","Guidance Notes")</x:f>
      </x:c>
      <x:c r="L161" s="6" t="str">
        <x:v>&lt;p&gt;Put in place procedures and resources to ensure that an effective safety case outline can be written within the required timeframe.&lt;/p&gt;</x:v>
      </x:c>
      <x:c r="M161" s="6" t="n">
        <x:f>=HYPERLINK("#M161","Remediation")</x:f>
      </x:c>
      <x:c r="N161" s="6" t="str">
        <x:v>&lt;p&gt;The maximum penalties for failing to provide the regulator with a safety case outline within 3&amp;nbsp;months after the facility is determined to be an MHF are $18,000 for an organisation and $3,600 for an individual (reg 551). The same maximum penalties apply for failing to alter a safety case outline as required, and failing to give a copy of the altered safety case outline to the regulator (reg&amp;nbsp;553).&lt;/p&gt;</x:v>
      </x:c>
      <x:c r="O161" s="6" t="n">
        <x:f>=HYPERLINK("#O161","Consequence")</x:f>
      </x:c>
      <x:c r="P161" s="6" t="str">
        <x:v>&lt;p&gt;&lt;a href="https://www.legislation.gov.au/Details/F2011L02664" target="_blank" &gt;Work Health and Safety Regulations 2011 (Cth)&lt;/a&gt; regs 551&amp;ndash;553, 575 (see also corresponding regulations in NSW, NT, QLD, SA and TAS)&lt;/p&gt;</x:v>
      </x:c>
      <x:c r="Q161" s="6" t="n">
        <x:f>=HYPERLINK("#Q161","Source")</x:f>
      </x:c>
      <x:c r="R161"/>
      <x:c r="S161"/>
      <x:c r="T161"/>
    </x:row>
    <x:row r="162" spans="1:20" ht="15.75" x14ac:dyDescent="0.25">
      <x:c r="A162" t="n">
        <x:v>12037</x:v>
      </x:c>
      <x:c r="B162" t="str">
        <x:v>NSW,NT,QLD,SA,TAS,COMMONWEALTH</x:v>
      </x:c>
      <x:c r="C162" t="inlineStr">
        <x:is>
          <x:t xml:space="preserve">  Subobligation</x:t>
        </x:is>
      </x:c>
      <x:c r="D162" t="inlineStr">
        <x:is>
          <x:t xml:space="preserve">  Safety Case</x:t>
        </x:is>
      </x:c>
      <x:c r="E162" s="31" t="n">
        <x:v>18.03</x:v>
      </x:c>
      <x:c r="F162" s="8" t="n">
        <x:f>=HYPERLINK("#Obligation()","Major Hazard Facilities")</x:f>
      </x:c>
      <x:c r="G162" s="8" t="n">
        <x:f>=HYPERLINK("#SubObligation()","Safety Case")</x:f>
      </x:c>
      <x:c r="H162" s="6" t="n">
        <x:f>=HYPERLINK("#H162","Tools")</x:f>
      </x:c>
      <x:c r="I162" s="27" t="str">
        <x:v>&lt;b&gt;&lt;p&gt;Safety Case&lt;/p&gt;Has the operator of a determined major hazard facility (MHF) provided the regulator with a completed safety case within 24 months after the facility is determined to be an MHF?&lt;/b&gt;</x:v>
      </x:c>
      <x:c r="J162" s="6" t="str">
        <x:v>&lt;p&gt;An operator of a determined major hazard facility (MHF) must provide the regulator with a completed safety case within 24 months after the facility is determined to be an MHF. In the case of an MHF that is under construction, the safety case will typically be developed before operations at the MHF commence. A safety case is a written presentation about the hazards and risks that could lead to a major incident at an MHF, and the control of such hazards and risks. It assists operators in obtaining a licence to operate an MHF.&lt;/p&gt;&lt;p&gt;An operator will need to conduct a safety case demonstration that shows that the content of its safety case will achieve safe operation of the MHF through a satisfactory safety management system and adequate control measures.&lt;/p&gt;&lt;p&gt;The safety case must contain:&lt;/p&gt;&lt;ul type="disc"&gt;&lt;li&gt;a summary of identified major incidents and major incident hazards&lt;/li&gt;&lt;li&gt;a summary of a conducted safety assessment&lt;/li&gt;&lt;li&gt;a summary of the MHF&amp;rsquo;s emergency plan&lt;/li&gt;&lt;li&gt;a summary of the MHF&amp;rsquo;s safety management system&lt;/li&gt;&lt;li&gt;a description of any arrangements made regarding the MHF&amp;rsquo;s security&lt;/li&gt;&lt;li&gt;a description of all consultation with workers&lt;/li&gt;&lt;li&gt;any additional matters, including details of:&lt;p&gt;- the facility and its chemicals&lt;/p&gt;&lt;p&gt;- the MHF&amp;rsquo;s layout&lt;/p&gt;&lt;p&gt;- any proposed changes to the facility&lt;/p&gt;&lt;p&gt;- the surrounding area&lt;/p&gt;&lt;p&gt;- demographic information for the local community&lt;/p&gt;&lt;p&gt;- meteorological data&lt;/p&gt;&lt;p&gt;- risk control measures&lt;/p&gt;&lt;p&gt;- performance standards and indicators&lt;/p&gt;&lt;p&gt;- the safety and reliability of the MHF&lt;/p&gt;&lt;p&gt;- any major incidents in the past 5 years.&lt;/p&gt;&lt;/li&gt;&lt;/ul&gt;&lt;p&gt;The safety case must show that the MHF&amp;rsquo;s safety management system will control any risks and that the measures to be taken are adequate. The operator will need to include a signed statement with the safety case that (among other things) confirms that the control measures to be implemented by the operator will eliminate the risk of a major incident occurring, so far as is reasonably practicable. In the case of a body corporate, the statement must be made by the most senior executive of the body corporate who resides in the relevant jurisdiction where the MHF is located.&lt;/p&gt;&lt;p&gt;Operators of two or more MHFs may have to coordinate the preparation of their safety cases if the regulator instructs them to do so.&lt;/p&gt;&lt;p&gt;The operator of a determined MHF or a licensed MHF must review its risk management if a modification to the facility is proposed, a control measure is ineffective, a new major hazard is identified, or consultation with workers indicates that a review is necessary. The operator must also conduct a review if the regulator requires it, or if a health and safety representative requests a review on reasonable grounds. If necessary, the operator must revise the safety case after the review is conducted.&lt;/p&gt;&lt;p&gt;The operator will need to review the safety assessment at least once every 5 years, and must include the revised safety case as part of the application for licence renewal.&lt;/p&gt;&lt;p&gt;The safety case should:&lt;/p&gt;&lt;ul type="disc"&gt;&lt;li&gt;be structured clearly and logically&lt;/li&gt;&lt;li&gt;be legible&lt;/li&gt;&lt;li&gt;explain specific terminology and abbreviations&lt;/li&gt;&lt;li&gt;include sufficient information in the header and footer on each page to identify the MHF and the document&lt;/li&gt;&lt;li&gt;include a cover page with sufficient identification and contact details&lt;/li&gt;&lt;li&gt;include cross-referencing to plans, maps, diagrams and other attachments&lt;/li&gt;&lt;li&gt;clearly identify documents that are not attached to the safety case by title and version&lt;/li&gt;&lt;li&gt;clearly reference the relevant part of the documented safety management system where necessary.&lt;/li&gt;&lt;/ul&gt;&lt;p&gt;When preparing for a safety case demonstration, the operator will need to:&lt;/p&gt;&lt;ul type="disc"&gt;&lt;li&gt;consult key people in the workplace&lt;/li&gt;&lt;li&gt;plan the project and sort out any technical issues&lt;/li&gt;&lt;li&gt;show that each hazard and potential major incident has been addressed with specific control measures&lt;/li&gt;&lt;li&gt;use examples in a demonstration, as well as evidence of the operator&amp;rsquo;s compliance with industry standards or codes of practice&lt;/li&gt;&lt;li&gt;show that the control measures are adequately using performance data or publically available data&lt;/li&gt;&lt;li&gt;demonstrate that the safety management system supports the control measures&lt;/li&gt;&lt;li&gt;review and revise the demonstration information if renewing an MHF licence (however, new operators are not required to review and revise the information).&lt;/li&gt;&lt;/ul&gt;&lt;p&gt;When providing information about the MHF and the operator in the safety case, details such as the operator name, the ABN, the address and any facility identification number should be provided.&lt;/p&gt;&lt;p&gt;When providing details of the facility, the safety case should list the facility&amp;rsquo;s location, the nature of its main products and activities, the nature and quantities of Schedule 15 chemicals, as well as their chemical and physical processes.&lt;/p&gt;&lt;p&gt;When describing the major incidents and major incident hazards, the operator should include a justification of the approach taken and methods used in conducting the incident and hazard identification process. The operator should be able to demonstrate that appropriate steps have been taken to identify all potential incidents, that it has considered advice and recommendations from a relevant authority, and that worker participation has been appropriate and documented. The operator should also describe the nature and likelihood of each major incident and major incident hazard and their potential magnitude and severity.&lt;/p&gt;&lt;p&gt;The safety assessment summary should include a level of detail that demonstrates that the operator understands all aspects of health and safety risks associated with major incidents.&lt;/p&gt;&lt;p&gt;The safety case needs to show that the implemented control measures are adequate to control risks associated with possible major incidents. It needs to include information on control measures that are preventing or minimising the likelihood of a major incident occurring, or limiting the consequences if the incident does occur.&lt;/p&gt;&lt;p&gt;The summary of the safety management system should include details of how the MHF reports and investigates incidents and near misses.&lt;/p&gt;&lt;p&gt;The inclusion of any evidence of the MHF consulting relevant emergency response agencies and appropriate standards and codes, and evidence of adequate emergency response equipment, will all show that appropriate consultation has occurred.&lt;/p&gt;&lt;p&gt;The operator should document the nature of the MHF&amp;rsquo;s ongoing review and verification mechanisms, the basis on which they are considered adequate to provide safety assurance and how that assurance will be communicated to the regulator.&lt;/p&gt;&lt;p&gt;The operator&amp;rsquo;s signed statement must certify that all matters have been satisfactorily addressed, including that the information is correct, that it understands the risks, that the control measures eliminate or minimise risks and that everyone involved is capable of carrying out their roles effectively.&lt;/p&gt;&lt;p&gt;Guide for major hazard facilities&amp;mdash;preparation of a safety case (Safe Work Australia, March 2012) provides further guidance, including a checklist at Appendix C for ensuring that a safety case addresses all the requirements.&lt;/p&gt;&lt;p&gt;Guide for major hazard facilities&amp;mdash;safety case: demonstrating the adequacy of safety management and control measures (Safe Work Australia, March 2012) also provides further guidance.&lt;/p&gt;</x:v>
      </x:c>
      <x:c r="K162" s="6" t="n">
        <x:f>=HYPERLINK("#K162","Guidance Notes")</x:f>
      </x:c>
      <x:c r="L162" s="6" t="str">
        <x:v>&lt;p&gt;Put in place procedures and resources to ensure that an effective safety case can be written and demonstrated within the required timeframe.&lt;/p&gt;</x:v>
      </x:c>
      <x:c r="M162" s="6" t="n">
        <x:f>=HYPERLINK("#M162","Remediation")</x:f>
      </x:c>
      <x:c r="N162" s="6" t="str">
        <x:v>&lt;p&gt;The maximum penalties for failing to provide the regulator with a safety case within 24 months after the facility is determined to be an MHF are $18,000 for an organisation and $3,600 for an individual (reg 560). The same maximum penalties apply for failing to coordinate with multiple facilities on the regulator&amp;rsquo;s request, and failing to review and revise a safety case as required (regs 562, 563 and 570).&lt;/p&gt;</x:v>
      </x:c>
      <x:c r="O162" s="6" t="n">
        <x:f>=HYPERLINK("#O162","Consequence")</x:f>
      </x:c>
      <x:c r="P162" s="6" t="str">
        <x:v>&lt;p&gt;&lt;a href="https://www.legislation.gov.au/Details/F2011L02664" target="_blank" &gt;Work Health and Safety Regulations 2011 (Cth)&lt;/a&gt; regs 560&amp;ndash;563, 570, 575, 578, 580, 596, Schedule&amp;nbsp;18 (see also corresponding regulations in NSW, NT, QLD, SA and TAS)&lt;/p&gt;</x:v>
      </x:c>
      <x:c r="Q162" s="6" t="n">
        <x:f>=HYPERLINK("#Q162","Source")</x:f>
      </x:c>
      <x:c r="R162"/>
      <x:c r="S162"/>
      <x:c r="T162"/>
    </x:row>
    <x:row r="163" spans="1:20" ht="15.75" x14ac:dyDescent="0.25">
      <x:c r="A163" t="n">
        <x:v>12047</x:v>
      </x:c>
      <x:c r="B163" t="str">
        <x:v>NSW,NT,QLD,SA,TAS,COMMONWEALTH</x:v>
      </x:c>
      <x:c r="C163" t="inlineStr">
        <x:is>
          <x:t xml:space="preserve">  Subobligation</x:t>
        </x:is>
      </x:c>
      <x:c r="D163" t="inlineStr">
        <x:is>
          <x:t xml:space="preserve">  Risk Management and Safety Assessment</x:t>
        </x:is>
      </x:c>
      <x:c r="E163" s="31" t="n">
        <x:v>18.04</x:v>
      </x:c>
      <x:c r="F163" s="8" t="n">
        <x:f>=HYPERLINK("#Obligation()","Major Hazard Facilities")</x:f>
      </x:c>
      <x:c r="G163" s="8" t="n">
        <x:f>=HYPERLINK("#SubObligation()","Risk Management and Safety Assessment")</x:f>
      </x:c>
      <x:c r="H163" s="6" t="n">
        <x:f>=HYPERLINK("#H163","Tools")</x:f>
      </x:c>
      <x:c r="I163" s="27" t="str">
        <x:v>&lt;b&gt;&lt;p&gt;Risk Management and Safety Assessment&lt;/p&gt;Has the operator of the determined major hazard facility (MHF) conducted a safety assessment relating to the operation of the MHF?&lt;/b&gt;</x:v>
      </x:c>
      <x:c r="J163" s="6" t="str">
        <x:v>&lt;p&gt;An operator of a determined major hazard facility (MHF) must conduct a safety assessment relating to the operation of the MHF. A safety assessment is a comprehensive analysis of all aspects of health and safety risks associated with major incidents that may occur in the course of the MHF&amp;rsquo;s operation. A summary of the safety assessment must form a part of the safety case for the MHF.&lt;/p&gt;&lt;p&gt;An operator of a determined MHF must identify all major incidents that could occur and all major incident hazards for the MHF, considering advice from emergency services and government departments, and must document such incidents.&lt;/p&gt;&lt;p&gt;The safety assessment must involve a thorough analysis of all risks to health and safety associated with all major incidents that could occur, including:&lt;/p&gt;&lt;ul type="disc"&gt;&lt;li&gt;the nature of each incident or hazard&lt;/li&gt;&lt;li&gt;the likelihood of each hazard causing an incident&lt;/li&gt;&lt;li&gt;the potential magnitude and severity of an incident&lt;/li&gt;&lt;li&gt;the range of control measures considered&lt;/li&gt;&lt;li&gt;the control measures the operator decides to implement.&lt;/li&gt;&lt;/ul&gt;&lt;p&gt;When conducting the safety assessment, the operator must consider major incidents and hazards cumulatively and individually, and use suitable assessment methods. The operator must also document all aspects of the assessment and keep a copy of it at the MHF.&lt;/p&gt;&lt;p&gt;The operator must review and revise the safety assessment, emergency plan and safety management system as required, particularly when there is a modification to the MHF or a control measure does not minimise the risk in question. A health and safety representative may request a review if he or she believes that the operator has not conducted a review appropriately in a situation affecting the health and safety of a worker.&lt;/p&gt;&lt;p&gt;An operator of a licensed MHF must also adhere to the above requirements to identify major incidents and major incident hazards. The operator must keep a copy of the safety assessment at the licensed MHF, and must adhere to the review and revision requirements outlined above.&lt;/p&gt;&lt;p&gt;The scope of the safety assessment should cover the whole of the facility, on-site activities, routine or abnormal operations, and any off-site hazards that could impact the site. The safety assessment should provide assurance that the risks have been eliminated or minimised so far as is reasonably practicable.&lt;/p&gt;&lt;p&gt;When preparing the safety assessment, the operator should take a systematic approach and consider the information, time and resources required, the tools and techniques to be used, communication and consultation with workers and other stakeholders, and documentation of processes and results.&lt;/p&gt;&lt;p&gt;When identifying hazards, it is important that the operator understands all the relevant definitions, identifies all relevant chemicals and understands the chemical properties and how they cause harm. It is a good idea to research previous major incidents and near misses to determine particular incident pathways. With this information, the operator can refine the major incident list and validate the major incident pathways.&lt;/p&gt;&lt;p&gt;The operator should identify what controls are available, recognise what needs to happen for the controls to be effective and manage them appropriately. The operator should then include in the safety assessment the range of control measures that it has decided to implement.&lt;/p&gt;&lt;p&gt;The operator needs to consider the worst possible consequence of a major incident where no controls are in place, the basis of which should be documented and discussed in the safety assessment. This will allow the operator to understand and be prepared for the worst situation. It should focus on the most likely consequence when determining its priorities and should address any events that may act as a knock-on event. The operator should also rank the risks so it can prioritise its resources.&lt;/p&gt;&lt;p&gt;The operator also needs to analyse the likelihood of each major incident hazard causing the major incident, which depends on the initiating event and the effectiveness of control measures. The assessment of the likelihood should be documented in the safety assessment.&lt;/p&gt;&lt;p&gt;Once the likelihood and consequences have been determined, the operator can then assess the risk. In addition to an individual risk, it must consider any cumulative risks. It must then evaluate the risks to show that they have been reduced so far as is reasonably practicable and are acceptable to everyone involved.&lt;/p&gt;&lt;p&gt;The operator also needs to show that the identified controls are adequate in that they eliminate or reduce the risks as much as possible.&lt;/p&gt;&lt;p&gt;The operator needs to implement and maintain the effectiveness of selected risk control measures through the safety management program. Performance standards and indicators are needed for each adopted control to ensure that the effectiveness of that control is tested and that any control failures are remedied. The operator should also monitor any critical operating parameters to prevent anything from falling out of the safe operating zone.&lt;/p&gt;&lt;p&gt;Operators of both determined and licensed MHFs must review and revise the safety assessment if there is any modification, if a control measure does not minimise a risk, if new hazards are identified or if there is a reasonable belief that it needs review. In any event, a review should be conducted at least every 5 years.&lt;/p&gt;&lt;p&gt;Guide for major hazard facilities&amp;mdash;notification and determination (Safe Work Australia, March 2012) provides further guidance, including useful flowcharts, tables and examples relevant to the safety assessment process.&lt;/p&gt;&lt;p&gt;Guide for major hazard facilities&amp;mdash;safety case: demonstrating the adequacy of safety management and control measures (Safe Work Australia, March 2012) also provides further guidance.&lt;/p&gt;</x:v>
      </x:c>
      <x:c r="K163" s="6" t="n">
        <x:f>=HYPERLINK("#K163","Guidance Notes")</x:f>
      </x:c>
      <x:c r="L163" s="6" t="str">
        <x:v>&lt;p&gt;Put in place procedures and resources to ensure that an effective safety assessment can be conducted for the MHF.&lt;/p&gt;</x:v>
      </x:c>
      <x:c r="M163" s="6" t="n">
        <x:f>=HYPERLINK("#M163","Remediation")</x:f>
      </x:c>
      <x:c r="N163" s="6" t="str">
        <x:v>&lt;p&gt;The maximum penalties for failing to conduct a safety assessment at a determined MHF are $30,000 for an organisation and $6,000 for an individual (reg 555). The same maximum penalties apply for failing to identify major incidents and major incident hazards (reg 554), failing to document all aspects of the major incidents, hazards and safety assessment (regs 554 and 555), failing to implement risk control measures (reg 556) and failing to review the safety assessment (reg 559). The maximum penalties for failing to keep a copy of the safety assessment at the MHF are $18,000 for an organisation and $3,600 for an individual (reg 555).&lt;/p&gt;&lt;p&gt;The maximum penalties for failing to identify major incidents and major incident hazards at a licensed MHF are $18,000 for an organisation and $3,600 for an individual (reg 564). The same maximum penalties apply for failing to document all aspects of the safety assessment (reg 565).&lt;/p&gt;&lt;p&gt;The maximum penalties for failing to keep a copy of the safety assessment at a licensed MHF are $30,000 for an organisation and $6,000 for an individual (reg 565). The same maximum penalties apply for failing to implement risk control measures (reg 566), failing to implement the safety management system (reg 568) and failing to review the safety assessment (reg 569).&lt;/p&gt;</x:v>
      </x:c>
      <x:c r="O163" s="6" t="n">
        <x:f>=HYPERLINK("#O163","Consequence")</x:f>
      </x:c>
      <x:c r="P163" s="6" t="str">
        <x:v>&lt;p&gt;&lt;a href="https://www.legislation.gov.au/Details/F2011L02664" target="_blank" &gt;Work Health and Safety Regulations 2011 (Cth)&lt;/a&gt; regs 554&amp;ndash;556, 559, 561, 564&amp;ndash;566, 569, 574, 575 (see also corresponding regulations in NSW, NT, QLD, SA and TAS)&lt;/p&gt;</x:v>
      </x:c>
      <x:c r="Q163" s="6" t="n">
        <x:f>=HYPERLINK("#Q163","Source")</x:f>
      </x:c>
      <x:c r="R163"/>
      <x:c r="S163"/>
      <x:c r="T163"/>
    </x:row>
    <x:row r="164" spans="1:20" ht="15.75" x14ac:dyDescent="0.25">
      <x:c r="A164" t="n">
        <x:v>12055</x:v>
      </x:c>
      <x:c r="B164" t="str">
        <x:v>NSW,NT,QLD,SA,TAS,COMMONWEALTH</x:v>
      </x:c>
      <x:c r="C164" t="inlineStr">
        <x:is>
          <x:t xml:space="preserve">  Subobligation</x:t>
        </x:is>
      </x:c>
      <x:c r="D164" t="inlineStr">
        <x:is>
          <x:t xml:space="preserve">  Emergency Plan</x:t>
        </x:is>
      </x:c>
      <x:c r="E164" s="31" t="n">
        <x:v>18.05</x:v>
      </x:c>
      <x:c r="F164" s="8" t="n">
        <x:f>=HYPERLINK("#Obligation()","Major Hazard Facilities")</x:f>
      </x:c>
      <x:c r="G164" s="8" t="n">
        <x:f>=HYPERLINK("#SubObligation()","Emergency Plan")</x:f>
      </x:c>
      <x:c r="H164" s="6" t="n">
        <x:f>=HYPERLINK("#H164","Tools")</x:f>
      </x:c>
      <x:c r="I164" s="27" t="str">
        <x:v>&lt;b&gt;&lt;p&gt;Emergency Plan&lt;/p&gt;Has the operator of the determined major hazard facility (MHF) prepared an emergency plan for the MHF?&lt;/b&gt;</x:v>
      </x:c>
      <x:c r="J164" s="6" t="str">
        <x:v>&lt;p&gt;An operator of a determined major hazard facility (MHF) must prepare an emergency plan for the MHF that addresses all health and safety consequences of a major incident and provides for emergency procedure testing.&lt;/p&gt;&lt;p&gt;The emergency plan should include details of:&lt;/p&gt;&lt;ul type="disc"&gt;&lt;li&gt;the MHF site and any hazards&lt;/li&gt;&lt;li&gt;the command structure and details of the relevant personnel&lt;/li&gt;&lt;li&gt;the notification procedures&lt;/li&gt;&lt;li&gt;the relevant resources and equipment&lt;/li&gt;&lt;li&gt;the relevant procedures to implement.&lt;/li&gt;&lt;/ul&gt;&lt;p&gt;A draft of the emergency plan must be included in the MHF&amp;rsquo;s safety case outline, and a summary of the plan must be included in the safety case.&lt;/p&gt;&lt;p&gt;When preparing the emergency plan, the operator of the MHF should consult with any relevant emergency service organisations in the area, as well as the local authority about any off-site consequences of an incident. The operator must address any recommendations given by these bodies in the emergency plan, including how the plan is tested and what incidents at the MHF should be notified.&lt;/p&gt;&lt;p&gt;The operator must keep a copy of the plan at the MHF and give a copy to the relevant emergency service organisations. Before applying for a licence, the operator must test the emergency plan in accordance with the emergency service organisations&amp;rsquo; recommendations. It must also implement the plan immediately if a major incident occurs or an event occurs that could lead to a major incident, as well as notify the emergency service organisations of the incident.&lt;/p&gt;&lt;p&gt;The operators of both determined MHFs and licensed MHFs must review and revise an emergency plan if:&lt;/p&gt;&lt;ul type="disc"&gt;&lt;li&gt;a modification to the MHF is proposed&lt;/li&gt;&lt;li&gt;a control measure does not minimise the relevant risk&lt;/li&gt;&lt;li&gt;a new major incident hazard is identified&lt;/li&gt;&lt;li&gt;the results of the operator&amp;rsquo;s consultation indicate that a review is necessary&lt;/li&gt;&lt;li&gt;a health and safety representative requests the review on reasonable grounds&lt;/li&gt;&lt;li&gt;the regulator requires a review.&lt;/li&gt;&lt;/ul&gt;&lt;p&gt;In reviewing and revising the emergency plan, the operator must consult with the relevant emergency service organisations. The operator must also consult with workers at the MHF regarding the preparation, testing and implementation of the MHF&amp;rsquo;s emergency plan.&lt;/p&gt;&lt;p&gt;The operator of a licensed MHF must keep a copy of the emergency plan at the MHF. It must test the plan in accordance with the emergency service organisations&amp;rsquo; recommendations, and must implement the plan immediately if a major incident occurs or an event occurs that could lead to a major incident, as well as notify the regulator and the emergency service organisations of the incident.&lt;/p&gt;&lt;p&gt;The operator of a licensed MHF must review the emergency plan at least once every 5 years. The operator must also ensure that the local community and local authority are informed of the actions that they should take if a major incident occurs.&lt;/p&gt;&lt;p&gt;The emergency plan needs to be tailored to the particular MHF and must be planned carefully. The operator should consult with all relevant stakeholders so that groups know what to expect of each other. This includes workers, neighbouring facilities and the community, external agencies and any other relevant groups.&lt;/p&gt;&lt;p&gt;The operator needs to define the aim, objectives and parameters of the plan. The parameters include the background information, emergency situations, levels of emergency, types of emergency, the hazards and their potential impacts, the physical areas and the people to be covered by the plan, and any assumptions affecting the plan.&lt;/p&gt;&lt;p&gt;The operator then needs to define the emergency management system, which should be flexible, simple and general. It should include defined emergency functions, procedures and resources, user-friendly information, and identified knowledge and skills. The operator also needs to monitor and review the emergency planning process at specified times or after particular circumstances occur.&lt;/p&gt;&lt;p&gt;When writing the plan, the operator should include identification details, a table of contents, the aim and objectives, an introduction, hazard details, types and levels of emergency, emergency functions and organisational structure, emergency procedures, emergency resources, activation details for the plan, how to report an emergency, how to terminate an emergency, the requirements for managing the plan, any supporting information, and a glossary of terms and abbreviations.&lt;/p&gt;&lt;p&gt;The plan needs to be properly supported and managed. All people on site, including visitors and contractors, should be given education and training regarding the emergency plan. The operator should also maintain support policies and procedures and establish controls so that the plan&amp;rsquo;s targets can be met. It should retain records and control all documentation effectively.&lt;/p&gt;&lt;p&gt;It is important to develop a policy for investigating emergencies and clearly define the roles, responsibilities and duties of all involved. The operator should test the emergency plan before it applies for an MHF licence&amp;mdash;this is usually done through desktop simulations, practical exercises or drills.&lt;/p&gt;&lt;p&gt;When reviewing the plan, the operator should evaluate the appropriateness of the objectives, targets and performance measures. The operator should audit the plan periodically, in addition to testing and updating it if needed, so that it can be responsive to changing circumstances.&lt;/p&gt;&lt;p&gt;Safe Work Australia&amp;rsquo;s Guide for Major Hazard Facilities&amp;mdash;Emergency Plans (see link in Tools section) provides further guidance, including useful examples and flowcharts relevant to preparing an emergency plan.&lt;/p&gt;</x:v>
      </x:c>
      <x:c r="K164" s="6" t="n">
        <x:f>=HYPERLINK("#K164","Guidance Notes")</x:f>
      </x:c>
      <x:c r="L164" s="6" t="str">
        <x:v>&lt;p&gt;Put in place procedures and resources to ensure that an effective emergency plan can be prepared and implemented.&lt;/p&gt;</x:v>
      </x:c>
      <x:c r="M164" s="6" t="n">
        <x:f>=HYPERLINK("#M164","Remediation")</x:f>
      </x:c>
      <x:c r="N164" s="6" t="str">
        <x:v>&lt;p&gt;For an operator of a determined MHF, the maximum penalties for failing to prepare an emergency plan are $30,000 for an organisation and $6,000 for an individual (reg 557). The same maximum penalties apply for failing to:&lt;/p&gt;&lt;ul&gt;&lt;li&gt;keep a copy of the emergency plan at the MHF&lt;/li&gt;&lt;li&gt;give a copy to the relevant emergency service organisations&lt;/li&gt;&lt;li&gt;test the plan in accordance with the recommendations of the emergency service organisations&lt;/li&gt;&lt;li&gt;implement the emergency plan when necessary&lt;/li&gt;&lt;li&gt;notify the emergency service organisations when necessary (reg 557).&lt;/li&gt;&lt;/ul&gt;&lt;p&gt;For an operator of a licensed MHF, the maximum penalties for failing to keep a copy of the emergency plan at the MHF are $30,000 for an organisation and $6,000 for an individual (reg 567). The same maximum penalties apply for failing to test the plan in accordance with the recommendations of the emergency service organisations and failing to implement the emergency plan when necessary (reg 567). The maximum penalties for failing to notify the emergency service organisations when necessary are $18,000 for an organisation and $3,600 for an individual (reg 567).&lt;/p&gt;</x:v>
      </x:c>
      <x:c r="O164" s="6" t="n">
        <x:f>=HYPERLINK("#O164","Consequence")</x:f>
      </x:c>
      <x:c r="P164" s="6" t="str">
        <x:v>&lt;p&gt;&lt;a href="https://www.legislation.gov.au/Details/F2011L02664" target="_blank" &gt;Work Health and Safety Regulations 2011 (Cth)&lt;/a&gt; regs 552, 557, 559, 561, 567, 569, 571&amp;ndash;572, 575, Schedule 16 (see also corresponding regulations in NSW, NT, QLD, SA and TAS)&lt;/p&gt;</x:v>
      </x:c>
      <x:c r="Q164" s="6" t="n">
        <x:f>=HYPERLINK("#Q164","Source")</x:f>
      </x:c>
      <x:c r="R164"/>
      <x:c r="S164"/>
      <x:c r="T164"/>
    </x:row>
    <x:row r="165" spans="1:20" ht="15.75" x14ac:dyDescent="0.25">
      <x:c r="A165" t="n">
        <x:v>12069</x:v>
      </x:c>
      <x:c r="B165" t="str">
        <x:v>NSW,NT,QLD,SA,TAS,COMMONWEALTH</x:v>
      </x:c>
      <x:c r="C165" t="inlineStr">
        <x:is>
          <x:t xml:space="preserve">  Subobligation</x:t>
        </x:is>
      </x:c>
      <x:c r="D165" t="inlineStr">
        <x:is>
          <x:t xml:space="preserve">  Safety Management System</x:t>
        </x:is>
      </x:c>
      <x:c r="E165" s="31" t="n">
        <x:v>18.06</x:v>
      </x:c>
      <x:c r="F165" s="8" t="n">
        <x:f>=HYPERLINK("#Obligation()","Major Hazard Facilities")</x:f>
      </x:c>
      <x:c r="G165" s="8" t="n">
        <x:f>=HYPERLINK("#SubObligation()","Safety Management System")</x:f>
      </x:c>
      <x:c r="H165" s="6" t="n">
        <x:f>=HYPERLINK("#H165","Tools")</x:f>
      </x:c>
      <x:c r="I165" s="27" t="str">
        <x:v>&lt;b&gt;&lt;p&gt;Safety Management System&lt;/p&gt;Has the operator of a determined major hazard facility (MHF) established a safety management system for the operation of the MHF?&lt;/b&gt;</x:v>
      </x:c>
      <x:c r="J165" s="6" t="str">
        <x:v>&lt;p&gt;An operator of a determined major hazard facility (MHF) must establish a safety management system for the operation of the MHF and the system must be implemented for the MHF so far as is reasonably practicable.&lt;/p&gt;&lt;p&gt;The safety management system must:&lt;/p&gt;&lt;ul type="disc"&gt;&lt;li&gt;provide a comprehensive and integrated system for managing the risks of actual or potential major incidents at the MHF&lt;/li&gt;&lt;li&gt;be the primary means of ensuring the safe operation of the MHF&lt;/li&gt;&lt;li&gt;be documented&lt;/li&gt;&lt;li&gt;state the operator&amp;rsquo;s safety policy&lt;/li&gt;&lt;li&gt;state the operator&amp;rsquo;s specific safety objectives and the systems and procedures used to achieve them&lt;/li&gt;&lt;li&gt;be readily accessible to those who use it&lt;/li&gt;&lt;li&gt;include the following additional matters:&lt;p&gt;- the identification of those participating in the system and their command structure&lt;/p&gt;&lt;p&gt;- a description of the operational controls&lt;/p&gt;&lt;p&gt;- the duties of the operators&lt;/p&gt;&lt;p&gt;- a description of the procedures for planning modifications&lt;/p&gt;&lt;p&gt;- a statement of principles and a description of technical standards&lt;/p&gt;&lt;p&gt;- performance monitoring standards&lt;/p&gt;&lt;p&gt;- performance auditing information.&lt;/p&gt;&lt;/li&gt;&lt;/ul&gt;&lt;p&gt;The operator must use the safety management system as the primary means of ensuring that the health and safety of workers and other people is not at risk from the work being carried out.&lt;/p&gt;&lt;p&gt;Operators of both determined MHFs and licensed MHFs must review and, if necessary, revise the safety management system if:&lt;/p&gt;&lt;ul type="disc"&gt;&lt;li&gt;a modification to the MHF is proposed&lt;/li&gt;&lt;li&gt;a control measure does not minimise the relevant risk&lt;/li&gt;&lt;li&gt;a new major incident hazard is identified&lt;/li&gt;&lt;li&gt;the results of the operator&amp;rsquo;s consultation indicate that a review is necessary&lt;/li&gt;&lt;li&gt;a health and safety representative requests the review on reasonable grounds&lt;/li&gt;&lt;li&gt;the regulator requires a review.&lt;/li&gt;&lt;/ul&gt;&lt;p&gt;The operator&amp;rsquo;s safety case must contain a summary of the MHF&amp;rsquo;s safety management system.&lt;/p&gt;&lt;p&gt;An operator of a determined MHF must consult with workers about both the establishment and implementation of the safety management system, while an operator of a licensed MHF must consult with workers about the implementation of the system.&lt;/p&gt;&lt;p&gt;In addition to requiring a safety management system, the WHS Regulation 2011 (NSW) requires the operator of an MHF in New South Wales to make security arrangements for the MHF (reg 558A). The operator must provide details of those arrangements to the NSW Police, and take into account any written advice from the police.&lt;/p&gt;&lt;p&gt;To establish a safety management system, an operator must consider:&lt;/p&gt;&lt;ul type="disc"&gt;&lt;li&gt;the information required&lt;/li&gt;&lt;li&gt;the people who will be involved&lt;/li&gt;&lt;li&gt;allocation of time for the various tasks involved&lt;/li&gt;&lt;li&gt;techniques to be used&lt;/li&gt;&lt;li&gt;documentation of the development process&lt;/li&gt;&lt;li&gt;documentation of outcomes.&lt;/li&gt;&lt;/ul&gt;&lt;p&gt;Establishing the safety management system involves developing and implementing safety management system procedures by people with appropriate skills and knowledge. The operator should evaluate and understand the internal and external environment in which the MHF operates.&lt;/p&gt;&lt;p&gt;The operator should consider the elements of the safety management system, including higher-level system needs, day-to-day safe operation, longer-term safety, personnel-related systems, the effectiveness of the safety management system and administrative procedures.&lt;/p&gt;&lt;p&gt;The operator should also define its safety policy, setting out a statement detailing the broad aims for the safe operation of the MHF. It should uphold its commitment to the policy.&lt;/p&gt;&lt;p&gt;In order to plan the safety management system, the operator will need to define the scope, boundaries and performance objectives of specific safety management system components.&lt;/p&gt;&lt;p&gt;The operator will then need to implement various aspects of the safety management system. This includes ensuring that there are people with appropriate responsibilities and necessary skills to implement the procedures, and that the following are implemented:&lt;/p&gt;&lt;ul type="disc"&gt;&lt;li&gt;appropriate operational controls&lt;/li&gt;&lt;li&gt;policies and procedures that the operator proposes to use&lt;/li&gt;&lt;li&gt;formal procedures for planning and managing modifications at the MHF&lt;/li&gt;&lt;li&gt;the design principles and engineering standards that the operator is relying on to ensure safe operation of the MHF.&lt;/li&gt;&lt;/ul&gt;&lt;p&gt;The operator will also need to monitor the performance of specific aspects of the safety management system, and evaluate if the performance is sufficient to achieve the intended function.&lt;/p&gt;&lt;p&gt;Operators must include a process for managing audits within the safety management system, to ensure that all elements are performing to the correct standards.&lt;/p&gt;&lt;p&gt;The operator must also include some means of formal performance review for the safety management system and ways in which to develop improvements based on the results of the review. A common method is a review by the management committee with the involvement of health and safety representatives and technical specialists.&lt;/p&gt;&lt;p&gt;Guide for major hazard facilities&amp;mdash;safety management systems (Safe Work Australia, March 2012) provides further guidance.&lt;/p&gt;&lt;p&gt;Guide for major hazard facilities&amp;mdash;safety case: demonstrating the adequacy of safety management and control measures (Safe Work Australia, March 2012) also provides further guidance.&lt;/p&gt;</x:v>
      </x:c>
      <x:c r="K165" s="6" t="n">
        <x:f>=HYPERLINK("#K165","Guidance Notes")</x:f>
      </x:c>
      <x:c r="L165" s="6" t="str">
        <x:v>&lt;p&gt;Put in place procedures and resources to ensure that an effective safety management system for the MHF is established and implemented.&lt;/p&gt;</x:v>
      </x:c>
      <x:c r="M165" s="6" t="n">
        <x:f>=HYPERLINK("#M165","Remediation")</x:f>
      </x:c>
      <x:c r="N165" s="6" t="str">
        <x:v>&lt;p&gt;The maximum penalties for failing to establish or implement a safety management system are $30,000 for an organisation and $6,000 for an individual (regs 558 and 568). The same maximum penalties apply for failing to review and revise a safety management system as required (regs 559 and 569).&lt;/p&gt;</x:v>
      </x:c>
      <x:c r="O165" s="6" t="n">
        <x:f>=HYPERLINK("#O165","Consequence")</x:f>
      </x:c>
      <x:c r="P165" s="6" t="str">
        <x:v>&lt;p&gt;&lt;a href="https://www.legislation.gov.au/Details/F2011L02664" target="_blank" &gt;Work Health and Safety Regulations 2011 (Cth)&lt;/a&gt; regs 558&amp;ndash;559, 561, 568&amp;ndash;569, 575, Schedule 17 (see also corresponding regulations in NSW, NT, QLD, SA and TAS)&lt;/p&gt;</x:v>
      </x:c>
      <x:c r="Q165" s="6" t="n">
        <x:f>=HYPERLINK("#Q165","Source")</x:f>
      </x:c>
      <x:c r="R165"/>
      <x:c r="S165"/>
      <x:c r="T165"/>
    </x:row>
    <x:row r="166" spans="1:20" ht="15.75" x14ac:dyDescent="0.25">
      <x:c r="A166" t="n">
        <x:v>12077</x:v>
      </x:c>
      <x:c r="B166" t="str">
        <x:v>NSW,NT,QLD,SA,TAS,COMMONWEALTH</x:v>
      </x:c>
      <x:c r="C166" t="inlineStr">
        <x:is>
          <x:t xml:space="preserve">  Subobligation</x:t>
        </x:is>
      </x:c>
      <x:c r="D166" t="inlineStr">
        <x:is>
          <x:t xml:space="preserve">  Information for Visitors </x:t>
        </x:is>
      </x:c>
      <x:c r="E166" s="31" t="n">
        <x:v>18.07</x:v>
      </x:c>
      <x:c r="F166" s="8" t="n">
        <x:f>=HYPERLINK("#Obligation()","Major Hazard Facilities")</x:f>
      </x:c>
      <x:c r="G166" s="8" t="n">
        <x:f>=HYPERLINK("#SubObligation()","Information for Visitors ")</x:f>
      </x:c>
      <x:c r="H166" s="6" t="n">
        <x:f>=HYPERLINK("#H166","Tools")</x:f>
      </x:c>
      <x:c r="I166" s="27" t="str">
        <x:v>&lt;b&gt;&lt;p&gt;Information for Visitors &lt;/p&gt;Does the operator of a licensed major hazard facility (MHF) ensure that any visitor to the MHF is provided with appropriate information and instruction as soon as practicable?&lt;/b&gt;</x:v>
      </x:c>
      <x:c r="J166" s="6" t="str">
        <x:v>&lt;p&gt;The operator of a major hazard facility (MHF) must ensure that a visitor who enters the MHF is, as soon as practicable, informed about any hazards at the MHF, and instructed in safety precautions and actions to take if the emergency plan is implemented while the person is on site.&lt;/p&gt;&lt;p&gt;An operator of an MHF must ensure that the information given to visitors allows them to recognise the hazards that are present, as well as to understand how these hazards may affect them.&lt;/p&gt;&lt;p&gt;The operator should consider the following methods for instructing visitors in the safety precautions that they should take while visiting the facility, as well as what actions to take if the emergency plan is activated:&lt;/p&gt;&lt;ul&gt;&lt;li&gt;safety induction talks&lt;/li&gt;&lt;li&gt;safety rules&lt;/li&gt;&lt;li&gt;the provision of safety guidelines.&lt;/li&gt;&lt;/ul&gt;&lt;p&gt;Guide for major hazard facilities&amp;mdash;information, training and instruction for workers and other persons at the facility (Safe Work Australia, March 2012) provides further guidance.&lt;/p&gt;</x:v>
      </x:c>
      <x:c r="K166" s="6" t="n">
        <x:f>=HYPERLINK("#K166","Guidance Notes")</x:f>
      </x:c>
      <x:c r="L166" s="6" t="str">
        <x:v>&lt;p&gt;Put in place procedures and resources to ensure that visitors are provided with appropriate information and instruction while at the MHF.&lt;/p&gt;</x:v>
      </x:c>
      <x:c r="M166" s="6" t="n">
        <x:f>=HYPERLINK("#M166","Remediation")</x:f>
      </x:c>
      <x:c r="N166" s="6" t="str">
        <x:v>&lt;p&gt;The maximum penalties for failing to provide visitors with the appropriate information and instruction are $30,000 for an organisation and $6,000 for an individual (reg 571).&lt;/p&gt;</x:v>
      </x:c>
      <x:c r="O166" s="6" t="n">
        <x:f>=HYPERLINK("#O166","Consequence")</x:f>
      </x:c>
      <x:c r="P166" s="6" t="str">
        <x:v>&lt;p&gt;&lt;a href="https://www.legislation.gov.au/Details/F2011L02664" target="_blank" &gt;Work Health and Safety Regulations 2011 (Cth)&lt;/a&gt; reg 571 (see also corresponding regulations in NSW, NT, QLD, SA and TAS)&lt;/p&gt;</x:v>
      </x:c>
      <x:c r="Q166" s="6" t="n">
        <x:f>=HYPERLINK("#Q166","Source")</x:f>
      </x:c>
      <x:c r="R166"/>
      <x:c r="S166"/>
      <x:c r="T166"/>
    </x:row>
    <x:row r="167" spans="1:20" ht="15.75" x14ac:dyDescent="0.25">
      <x:c r="A167" t="n">
        <x:v>12033</x:v>
      </x:c>
      <x:c r="B167" t="str">
        <x:v>NSW,NT,QLD,SA,TAS,COMMONWEALTH</x:v>
      </x:c>
      <x:c r="C167" t="inlineStr">
        <x:is>
          <x:t xml:space="preserve">  Subobligation</x:t>
        </x:is>
      </x:c>
      <x:c r="D167" t="inlineStr">
        <x:is>
          <x:t xml:space="preserve">  Information for the Local Community and the Local Authority</x:t>
        </x:is>
      </x:c>
      <x:c r="E167" s="31" t="n">
        <x:v>18.08</x:v>
      </x:c>
      <x:c r="F167" s="8" t="n">
        <x:f>=HYPERLINK("#Obligation()","Major Hazard Facilities")</x:f>
      </x:c>
      <x:c r="G167" s="8" t="n">
        <x:f>=HYPERLINK("#SubObligation()","Information for the Local Community and the Local Authority")</x:f>
      </x:c>
      <x:c r="H167" s="6" t="n">
        <x:f>=HYPERLINK("#H167","Tools")</x:f>
      </x:c>
      <x:c r="I167" s="27" t="str">
        <x:v>&lt;b&gt;&lt;p&gt;Information for the Local Community and the Local Authority&lt;/p&gt;Does the operator of a licensed major hazard facility (MHF) provide the local community and the local authority with the necessary information relevant to the MHF?&lt;/b&gt;</x:v>
      </x:c>
      <x:c r="J167" s="6" t="str">
        <x:v>&lt;p&gt;The operator of a licensed major hazard facility (MHF) must provide the following information to the local community and the local authority (such as the local council):&lt;/p&gt;&lt;ul&gt;&lt;li&gt;the name and location of the&amp;nbsp;&amp;nbsp;MHF&lt;/li&gt;&lt;li&gt;the name, position and contact details of a person who can provide information&lt;/li&gt;&lt;li&gt;a general description of the MHF&amp;rsquo;s operations&lt;/li&gt;&lt;li&gt;details of how the local&amp;nbsp;&amp;nbsp;community will be notified if a major incident occurs&lt;/li&gt;&lt;li&gt;the actions, as specified in the MHF&amp;rsquo;s emergency plan, that members of the local community should take if a&amp;nbsp;&amp;nbsp;major incident occurs&lt;/li&gt;&lt;li&gt;a summary of the MHF&amp;rsquo;s safety&amp;nbsp;&amp;nbsp;case.&lt;/li&gt;&lt;/ul&gt;&lt;p&gt;The operator must ensure that this information is:&lt;/p&gt;&lt;ul&gt;&lt;li&gt;set out and expressed in a readily accessible and understandable way for those who are unfamiliar with&amp;nbsp;&amp;nbsp;the MHF and its operations&lt;/li&gt;&lt;li&gt;reviewed and revised if a modification is made to the MHF&lt;/li&gt;&lt;li&gt;sent in writing to any library serving the community.&lt;/li&gt;&lt;/ul&gt;&lt;p&gt;If a major incident occurs, the operator must, as soon as possible, take all reasonable steps to provide the local community, local authority and relevant government department or agency with information about the incident, including:&lt;/p&gt;&lt;ul&gt;&lt;li&gt;a general description of the incident&lt;/li&gt;&lt;li&gt;a description of the actions the operator took and proposes to take to prevent reoccurrence of the incident&amp;nbsp;&amp;nbsp;or a similar one&lt;/li&gt;&lt;li&gt;recommended actions that the local authority and community members should take to eliminate or minimise&amp;nbsp;&amp;nbsp;risks.&lt;/li&gt;&lt;/ul&gt;&lt;p&gt;A description of the&amp;nbsp;&amp;nbsp;information provided to the local community, and the means by which the&amp;nbsp;&amp;nbsp;information has been shared, should be included in the safety case for the MHF.&lt;/p&gt;&lt;p&gt;The information provided to the community should be:&lt;/p&gt;&lt;ul&gt;&lt;li&gt;presented in a user-friendly way&lt;/li&gt;&lt;li&gt;in plain English, avoiding technical terms&lt;/li&gt;&lt;li&gt;in appropriate community languages&lt;/li&gt;&lt;li&gt;reviewed and, as necessary, revised if a modification is made to the MHF.&lt;/li&gt;&lt;/ul&gt;&lt;p&gt;The local community includes local residents, operators of retail venues, accommodation venues, marine activity venues, childcare facilities, schools, hospitals, aged-care facilities, detention centres, and the local library.&lt;/p&gt;&lt;p&gt;When providing general information to the local community, the operator should describe the nature and scale of the consequences of a major incident, as well as information regarding the potential effects on the population. It should also include an overview of the MHF&amp;rsquo;s emergency plan. The information should avoid technical terms and include explanations if any are used. It should also consider the special provisions that may be required for certain groups such as local schools, hospitals and aged-care facilities. The information can be distributed via letterbox drops, websites, public meetings or planned media campaigns.&lt;/p&gt;&lt;p&gt;When a major incident has occurred, the operator must inform the local community as soon as possible, as it is a shared interest to learn from the incident, prevent any recurrences, and build capacity and resilience. An operator may choose to release information about the situation as the event unfolds and provide community updates throughout the investigation. An operator may wish to seek professional advice regarding managing public relations while still complying with the regulations. The MHF&amp;rsquo;s warning siren should be used to inform the community of the incident, but information should also be given through the media and through personal notification by phone or door-to-door visiting. The highest risk zone should be informed first.&lt;/p&gt;&lt;p&gt;Guide for major hazard facilities&amp;mdash;providing information to the community (Safe Work Australia, March 2012) provides further guidance.&lt;/p&gt;</x:v>
      </x:c>
      <x:c r="K167" s="6" t="n">
        <x:f>=HYPERLINK("#K167","Guidance Notes")</x:f>
      </x:c>
      <x:c r="L167" s="6" t="str">
        <x:v>&lt;p&gt;Put in place procedures and resources to ensure that the local community and the local authority are provided with all necessary information about the MHF and any major incident that occurs.&lt;/p&gt;</x:v>
      </x:c>
      <x:c r="M167" s="6" t="n">
        <x:f>=HYPERLINK("#M167","Remediation")</x:f>
      </x:c>
      <x:c r="N167" s="6" t="str">
        <x:v>&lt;p&gt;The maximum penalties for failing to provide the local community and the local authority with the required general information are $30,000 for an organisation and $6,000 for an individual (reg 572). The same maximum penalties apply for failing to provide the local community and the local authority with the required information after a major incident has occurred (reg 573). The maximum penalties for failing to provide information to the local community after receiving a written request from a person concerning the effects of a major incident at the MHF are $6,000 for an organisation and $1,250 for an individual (reg 572).&lt;/p&gt;</x:v>
      </x:c>
      <x:c r="O167" s="6" t="n">
        <x:f>=HYPERLINK("#O167","Consequence")</x:f>
      </x:c>
      <x:c r="P167" s="6" t="str">
        <x:v>&lt;p&gt;&lt;a href="https://www.legislation.gov.au/Details/F2011L02664" target="_blank" &gt;Work Health and Safety Regulations 2011 (Cth)&lt;/a&gt; regs 572&amp;ndash;573 (see also corresponding regulations in NSW, NT, QLD, SA and TAS)&lt;/p&gt;</x:v>
      </x:c>
      <x:c r="Q167" s="6" t="n">
        <x:f>=HYPERLINK("#Q167","Source")</x:f>
      </x:c>
      <x:c r="R167"/>
      <x:c r="S167"/>
      <x:c r="T167"/>
    </x:row>
    <x:row r="168" spans="1:20" ht="15.75" x14ac:dyDescent="0.25">
      <x:c r="A168" t="n">
        <x:v>12043</x:v>
      </x:c>
      <x:c r="B168" t="str">
        <x:v>NSW,NT,QLD,SA,TAS,COMMONWEALTH</x:v>
      </x:c>
      <x:c r="C168" t="inlineStr">
        <x:is>
          <x:t xml:space="preserve">  Subobligation</x:t>
        </x:is>
      </x:c>
      <x:c r="D168" t="inlineStr">
        <x:is>
          <x:t xml:space="preserve">  Consultation with Workers and Workers’ Safety Role</x:t>
        </x:is>
      </x:c>
      <x:c r="E168" s="31" t="n">
        <x:v>18.09</x:v>
      </x:c>
      <x:c r="F168" s="8" t="n">
        <x:f>=HYPERLINK("#Obligation()","Major Hazard Facilities")</x:f>
      </x:c>
      <x:c r="G168" s="8" t="n">
        <x:f>=HYPERLINK("#SubObligation()","Consultation with Workers and Workers’ Safety Role")</x:f>
      </x:c>
      <x:c r="H168" s="6" t="n">
        <x:f>=HYPERLINK("#H168","Tools")</x:f>
      </x:c>
      <x:c r="I168" s="27" t="str">
        <x:v>&lt;b&gt;&lt;p&gt;Consultation with Workers and Workers’ Safety Role&lt;/p&gt;Has the operator of a determined major hazard facility implemented a safety role for workers and consulted with workers on relevant matters?&lt;/b&gt;</x:v>
      </x:c>
      <x:c r="J168" s="6" t="str">
        <x:v>&lt;p&gt;The operator of a determined major hazard facility (MHF) must implement a safety role for workers that enables them to contribute to:&lt;/p&gt;&lt;ul&gt;&lt;li&gt;the identification of major incidents and major incident hazards&lt;/li&gt;&lt;li&gt;the consideration of control measures when conducting a safety assessment&lt;/li&gt;&lt;li&gt;the conduct of a review of risk management.&lt;/li&gt;&lt;/ul&gt;&lt;p&gt;The workers&amp;rsquo; safety role must be implemented within the time stated in the MHF&amp;rsquo;s safety case outline.&lt;/p&gt;&lt;p&gt;The operator must also consult with workers at the MHF regarding:&lt;/p&gt;&lt;ul&gt;&lt;li&gt;the preparation of the safety case outline&lt;/li&gt;&lt;li&gt;the preparation, testing and implementation of the emergency plan&lt;/li&gt;&lt;li&gt;the establishment and implementation of the safety management system&lt;/li&gt;&lt;li&gt;the conduct of a review of risk management&lt;/li&gt;&lt;li&gt;the implementation of the workers&amp;rsquo; safety role&lt;/li&gt;&lt;li&gt;the preparation and review of&amp;nbsp;&amp;nbsp;the safety case.&lt;/li&gt;&lt;/ul&gt;&lt;p&gt;The operator of a licensed MHF must also implement a safety role for workers at the MHF to enable them to contribute to the conduct of a review of risk management. It must consult with workers at the MHF regarding:&lt;/p&gt;&lt;ul&gt;&lt;li&gt;the testing and implementation of the emergency plan&lt;/li&gt;&lt;li&gt;the implementation of the&amp;nbsp;&amp;nbsp;safety management system&lt;/li&gt;&lt;li&gt;the conduct of a review of risk management&lt;/li&gt;&lt;li&gt;the implementation of the workers&amp;rsquo; safety role&lt;/li&gt;&lt;/ul&gt;&lt;p&gt;the review of the safety case.&lt;/p&gt;&lt;p&gt;The core components of the workers&amp;rsquo; safety role are major incidents, major incident hazards and control measures. The operator should ensure that workers receive information, training and instruction on these elements. This could include information, training and instruction on how major incident hazards differ from general hazards, how they are identified and controlled, a history of incidents at the MHF and a history of major incidents in the industry.&lt;/p&gt;&lt;p&gt;The operator could also ensure that workers receive information, training and instruction on the definition and components of risk, control measures (including general measures, measures specific to the MHF and measures specific to a particular worker&amp;rsquo;s role), operating parameters, the importance of the control measures, what to do if they fail, how they are implemented and maintained, how workers are involved, and how they are reviewed.&lt;/p&gt;&lt;p&gt;The operator&amp;rsquo;s consultation with workers should involve sharing relevant information to give workers an opportunity to express their views, which should be considered before the operator makes decisions on health and safety matters. Workers should also be advised of the outcomes of the consultation. Consultation will enable safety at the MHF to be more easily achieved. Operators will be able to identify major incident hazards more easily, make more informed decisions and choose more effective control measures.&lt;/p&gt;&lt;p&gt;Guide for major hazard facilities&amp;mdash;information, training and instruction for workers and other persons at the facility (Safe Work Australia, March 2012) provides further guidance.&lt;/p&gt;</x:v>
      </x:c>
      <x:c r="K168" s="6" t="n">
        <x:f>=HYPERLINK("#K168","Guidance Notes")</x:f>
      </x:c>
      <x:c r="L168" s="6" t="str">
        <x:v>&lt;p&gt;Put in place procedures and resources to ensure the implementation of a safety role for workers and consultation with workers on relevant matters.&lt;/p&gt;</x:v>
      </x:c>
      <x:c r="M168" s="6" t="n">
        <x:f>=HYPERLINK("#M168","Remediation")</x:f>
      </x:c>
      <x:c r="N168" s="6" t="str">
        <x:v>&lt;p&gt;Under the harmonised Work Health and Safety (WHS) Regulations, operators of both determined and licensed MHFs face maximum penalties of $30,000 (for an organisation) and $6,000 (for an individual) for failing to implement a safety role for workers (reg&amp;nbsp;574). The same maximum penalties apply for failing to consult with workers on relevant matters (reg&amp;nbsp;575).&lt;/p&gt;&lt;p&gt;More broadly, under the harmonised WHS Acts, penalties for not consulting with workers can be up to $100,000 for an organisation and $20,000 for an individual (s 47).&lt;/p&gt;</x:v>
      </x:c>
      <x:c r="O168" s="6" t="n">
        <x:f>=HYPERLINK("#O168","Consequence")</x:f>
      </x:c>
      <x:c r="P168" s="6" t="str">
        <x:v>&lt;p&gt;&lt;a href="https://www.legislation.gov.au/Details/C2011A00137" target="_blank" &gt;Work Health and Safety Act 2011 (Cth)&lt;/a&gt; ss 47&amp;ndash;49 (see also corresponding Acts in NSW, NT, QLD, SA and TAS)&lt;/p&gt;&lt;p&gt;&lt;a href="https://www.legislation.gov.au/Details/F2011L02664" target="_blank" &gt;Work Health and Safety Regulations 2011 (Cth)&lt;/a&gt; regs 552, 559, 561, 569, 574&amp;ndash;575 (see also corresponding regulations in NSW, NT, QLD, SA and TAS)&lt;/p&gt;</x:v>
      </x:c>
      <x:c r="Q168" s="6" t="n">
        <x:f>=HYPERLINK("#Q168","Source")</x:f>
      </x:c>
      <x:c r="R168"/>
      <x:c r="S168"/>
      <x:c r="T168"/>
    </x:row>
    <x:row r="169" spans="1:20" ht="15.75" x14ac:dyDescent="0.25">
      <x:c r="A169" t="n">
        <x:v>12050</x:v>
      </x:c>
      <x:c r="B169" t="str">
        <x:v>NSW,NT,QLD,SA,TAS,COMMONWEALTH</x:v>
      </x:c>
      <x:c r="C169" t="inlineStr">
        <x:is>
          <x:t xml:space="preserve">  Subobligation</x:t>
        </x:is>
      </x:c>
      <x:c r="D169" t="inlineStr">
        <x:is>
          <x:t xml:space="preserve">  Applying for a Major Hazard Facility Licence</x:t>
        </x:is>
      </x:c>
      <x:c r="E169" s="31" t="n">
        <x:v>18.10</x:v>
      </x:c>
      <x:c r="F169" s="8" t="n">
        <x:f>=HYPERLINK("#Obligation()","Major Hazard Facilities")</x:f>
      </x:c>
      <x:c r="G169" s="8" t="n">
        <x:f>=HYPERLINK("#SubObligation()","Applying for a Major Hazard Facility Licence")</x:f>
      </x:c>
      <x:c r="H169" s="6" t="n">
        <x:f>=HYPERLINK("#H169","Tools")</x:f>
      </x:c>
      <x:c r="I169" s="27" t="str">
        <x:v>&lt;b&gt;&lt;p&gt;Applying for a Major Hazard Facility Licence&lt;/p&gt;Has the operator of the determined major hazard facility applied for a licence within 24 months after the regulator makes it determination?&lt;/b&gt;</x:v>
      </x:c>
      <x:c r="J169" s="6" t="str">
        <x:v>&lt;p&gt;An operator of a determined major hazard facility (MHF) must apply for a licence for the MHF within 24 months after the regulator makes its determination. The operator must lodge the application in the manner and form required by the regulator and pay the applicable fee. The operator may have to provide more information if requested by the regulator. If it does not give this information, the application will be withdrawn.&lt;/p&gt;&lt;p&gt;The regulator must make a decision on whether to grant a licence within 6 months of receiving the operator&amp;rsquo;s application. The regulator must notify the operator within 14 days of the decision. It may refuse to grant the licence if the operator is found to be not suitable to operate the MHF or has given false or misleading information.&lt;/p&gt;&lt;p&gt;If the regulator refuses to grant the application, it must notify the operator in writing. The operator can make a submission in response, which the regulator must consider and decide upon within 14 days. The regulator can also impose conditions on the licence relating to additional control measures, additional information or additional people to carry out work on the operator&amp;rsquo;s behalf.&lt;/p&gt;&lt;p&gt;The licence will be valid for a maximum of 5 years&amp;mdash;the regulator will determine the expiry date. The regulator must provide the operator with a licence document when it grants the licence, which the operator must keep available for inspection.&lt;/p&gt;&lt;p&gt;If the operator becomes aware of any change relating to the licence, it must notify the regulator in writing within 14 days of becoming aware of the change. The regulator can amend a licence on its own initiative by varying, deleting or imposing a new condition. If so, the regulator must notify the operator in writing. The operator can also ask that the regulator amend the licence. The regulator can refuse to do so; however, it must notify the operator in writing. The operator can make a submission in response to this, and the regulator must consider the submission within 14 days of receiving it and must notify the operator in writing of its decision.&lt;/p&gt;&lt;p&gt;The regulator can make minor amendments to the licence&amp;mdash;if so, it must give the operator an amended licence document within 14 days of making the decision to amend it. The operator will have to return the licence document to the regulator for amendment.&lt;/p&gt;&lt;p&gt;If the licence document is lost, stolen or destroyed, the operator must notify the regulator in writing as soon as possible. The operator can apply for a replacement document in the required form. If the application is satisfactory, the regulator must issue a replacement licence document. If it refuses to issue a replacement, it must notify the operator in writing within 14 days.&lt;/p&gt;&lt;p&gt;The operator can seek a review of the regulator&amp;rsquo;s decisions relating to the granting or amendment of a licence, the imposition of a condition on a licence, or a refusal to issue a replacement licence document.&lt;/p&gt;&lt;p&gt;When applying for a licence, it is important to include all the relevant information that the regulator will need to approve the application. This includes:&lt;/p&gt;&lt;ul&gt;&lt;li&gt;the operator&amp;rsquo;s name&lt;/li&gt;&lt;li&gt;whether or not the operator is a body corporate&lt;/li&gt;&lt;li&gt;the business name and written evidence of registration, if applicable&lt;/li&gt;&lt;li&gt;any other evidence of the operator&amp;rsquo;s identity if required&lt;/li&gt;&lt;li&gt;the safety case&lt;/li&gt;&lt;li&gt;details of any previous convictions or wrongdoings.&lt;/li&gt;&lt;/ul&gt;&lt;p&gt;To improve the likelihood that the regulator will approve a licence application, the operator should ensure that all details in the application are correct and the application is in the required format. The operator should also ensure that:&lt;/p&gt;&lt;ul&gt;&lt;li&gt;it has prepared an effective safety case&lt;/li&gt;&lt;li&gt;it can prove the safe and competent operation of the MHF&lt;/li&gt;&lt;li&gt;it has complied with any conditions that the regulator imposed when the facility was determined to be&amp;nbsp;&amp;nbsp;an MHF.&lt;/li&gt;&lt;/ul&gt;&lt;p&gt;The regulators have guides and resources available on MHF licence applications (see links in Tools section).&lt;/p&gt;</x:v>
      </x:c>
      <x:c r="K169" s="6" t="n">
        <x:f>=HYPERLINK("#K169","Guidance Notes")</x:f>
      </x:c>
      <x:c r="L169" s="6" t="str">
        <x:v>&lt;p&gt;Put in place procedures and resources to ensure that a licence application can be made within the required timeframe and in the approved manner and form.&lt;/p&gt;</x:v>
      </x:c>
      <x:c r="M169" s="6" t="n">
        <x:f>=HYPERLINK("#M169","Remediation")</x:f>
      </x:c>
      <x:c r="N169" s="6" t="str">
        <x:v>&lt;p&gt;Under the harmonised Work Health and Safety (WHS) Acts, the maximum penalties for conducting a business or undertaking at an unauthorised workplace, or directing or allowing a worker to carry out work at the unauthorised workplace, are $250,000 for an organisation and $50,000 for an individual (s 41). Failure to comply with the conditions attached to an authorisation (such as an MHF licence) attracts maximum penalties of $100,000 for an organisation and $20,000 for an individual (s 45).&lt;/p&gt;&lt;p&gt;The maximum penalties for failing to keep the licence document available for inspection are $6,000 for an organisation and $1,250 for an individual (reg 587). The same maximum penalties apply for failing to notify the regulator in writing of any change relating to the licence (reg 588), failing to return the licence document for amendment (reg 593), and failing to notify the regulator in writing if the licence document is lost, stolen or destroyed (reg 594).&lt;/p&gt;&lt;p&gt;In all the harmonised jurisdictions except the Commonwealth and the ACT, the maximum penalties for knowingly providing false or misleading information or documents are $50,000 for an organisation and $10,000 for an individual (s 268). Section 268 of the Commonwealth&amp;rsquo;s WHS Act refers to the Criminal Code Act 1995 (Cth), which imposes a maximum penalty of 12 months&amp;rsquo; imprisonment for knowingly providing a false or misleading statement or piece of information, and 6&amp;nbsp;months&amp;rsquo; imprisonment for recklessly providing a false or misleading statement or piece of information (Criminal Code, Pt 7.4).&lt;/p&gt;</x:v>
      </x:c>
      <x:c r="O169" s="6" t="n">
        <x:f>=HYPERLINK("#O169","Consequence")</x:f>
      </x:c>
      <x:c r="P169" s="6" t="str">
        <x:v>&lt;p&gt;&lt;a href="https://www.legislation.gov.au/Details/C2011A00137" target="_blank" &gt;Work Health and Safety Act 2011 (Cth)&lt;/a&gt; ss 41, 45, 268 (see also corresponding Acts in NSW, NT, QLD, SA and TAS)&lt;/p&gt;&lt;p&gt;&lt;a href="https://www.legislation.gov.au/Details/F2011L02664" target="_blank" &gt;Work Health and Safety Regulations 2011 (Cth)&lt;/a&gt; regs 535, 549, 577&amp;ndash;594, 676 (see also corresponding regulations in NSW, NT, QLD, SA and TAS)&lt;/p&gt;&lt;p&gt;&lt;a href="https://www.legislation.gov.au/Details/C2015C00254" target="_blank" &gt;Criminal Code Act 1995 (Cth)&lt;/a&gt; Pt 7.4&lt;/p&gt;</x:v>
      </x:c>
      <x:c r="Q169" s="6" t="n">
        <x:f>=HYPERLINK("#Q169","Source")</x:f>
      </x:c>
      <x:c r="R169"/>
      <x:c r="S169"/>
      <x:c r="T169"/>
    </x:row>
    <x:row r="170" spans="1:20" ht="15.75" x14ac:dyDescent="0.25">
      <x:c r="A170" t="n">
        <x:v>12066</x:v>
      </x:c>
      <x:c r="B170" t="str">
        <x:v>NSW,NT,QLD,SA,TAS,COMMONWEALTH</x:v>
      </x:c>
      <x:c r="C170" t="inlineStr">
        <x:is>
          <x:t xml:space="preserve">  Subobligation</x:t>
        </x:is>
      </x:c>
      <x:c r="D170" t="inlineStr">
        <x:is>
          <x:t xml:space="preserve">  Renewal and Transfer of a Major Hazard Facility Licence</x:t>
        </x:is>
      </x:c>
      <x:c r="E170" s="31" t="n">
        <x:v>18.11</x:v>
      </x:c>
      <x:c r="F170" s="8" t="n">
        <x:f>=HYPERLINK("#Obligation()","Major Hazard Facilities")</x:f>
      </x:c>
      <x:c r="G170" s="8" t="n">
        <x:f>=HYPERLINK("#SubObligation()","Renewal and Transfer of a Major Hazard Facility Licence")</x:f>
      </x:c>
      <x:c r="H170" s="6" t="n">
        <x:f>=HYPERLINK("#H170","Tools")</x:f>
      </x:c>
      <x:c r="I170" s="27" t="str">
        <x:v>&lt;b&gt;&lt;p&gt;Renewal and Transfer of a Major Hazard Facility Licence&lt;/p&gt;Has the operator of a licensed major hazard facility applied for renewal of the licence at least 6&amp;nbsp;months before the licence is due to expire?&lt;/b&gt;</x:v>
      </x:c>
      <x:c r="J170" s="6" t="str">
        <x:v>&lt;p&gt;An operator of a licensed major hazard facility (MHF) must apply for renewal of the licence at least 6&amp;nbsp;months before the licence is due to expire. It must lodge the renewal application in the manner and form approved by the regulator, include a copy of the safety case with the application, and pay the applicable fee.&lt;/p&gt;&lt;p&gt;When an operator applies for a licence renewal, the licence continues to be in force from the day it would have expired until the regulator gives its decision. The operator may have to provide more information if requested by the regulator. If the operator does not give this information, the application will be withdrawn. The regulator may also refuse to grant the licence if the operator is found to be not suitable to operate the MHF or has given false or misleading information.&lt;/p&gt;&lt;p&gt;The regulator can impose conditions on the licence relating to additional control measures, additional information or additional people to carry out work on the operator&amp;rsquo;s behalf. The operator can seek a review of the regulator&amp;rsquo;s decision to impose a condition on the renewal of a licence.&lt;/p&gt;&lt;p&gt;The renewed licence will be valid for a maximum of 5 years&amp;mdash;the regulator will determine the expiry date.&lt;/p&gt;&lt;p&gt;The regulator may refuse to renew a licence. If so, an operator can apply for an external review; however, if it does not, the licence will last until either the licence expires or the period for applying for an external review ends&amp;mdash;whichever is later. If the operator does apply for an external review, the licence will continue to have effect until either the operator withdraws its application or the relevant review body in the jurisdiction makes its decision&amp;mdash;whichever is earlier. The licence will remain in effect even if the expiry date passes.&lt;/p&gt;&lt;p&gt;An operator can apply to transfer a licence to another organisation or individual who, if approved, would then become the MHF&amp;rsquo;s operator. The proposed operator will have to show the regulator that it will achieve a standard of health and safety that is at least equivalent to the current operator&amp;rsquo;s standard. The current operator will have to apply in the manner and form approved by the regulator and must pay the applicable fee. The regulator may impose conditions on the transfer. Once the licence is transferred, the proposed operator then becomes the MHF&amp;rsquo;s new operator. The current or proposed operator can seek a review if the regulator refuses a licence transfer application.&lt;/p&gt;&lt;p&gt;When applying for renewal or transfer of a licence, it is important to check the regulator&amp;rsquo;s application requirements. Submitting the renewal or transfer application in the correct form with all the required details will improve the likelihood of the regulator approving the request. It is also important to be aware of the licence expiry date and allow sufficient time to prepare a renewal application, as the operator will not be able to apply for renewal if the licence is to expire within 6&amp;nbsp;months.&lt;/p&gt;&lt;p&gt;It is essential for the operator to check through every detail to ensure that all information and statements are correct, as it is an offence to knowingly provide false or misleading information.&lt;/p&gt;&lt;p&gt;If arranging for a transfer of a licence, the current operator and proposed operator should discuss the most effective ways of achieving a high standard of health and safety. This will allow the proposed operator to understand the requirements of running an MHF and will strengthen the likelihood of the regulator allowing the transfer to proceed.&lt;/p&gt;</x:v>
      </x:c>
      <x:c r="K170" s="6" t="n">
        <x:f>=HYPERLINK("#K170","Guidance Notes")</x:f>
      </x:c>
      <x:c r="L170" s="6" t="str">
        <x:v>&lt;p&gt;Put in place procedures and resources to ensure that a licence renewal application is lodged at least 6 months before the licence is due to expire.&lt;/p&gt;</x:v>
      </x:c>
      <x:c r="M170" s="6" t="n">
        <x:f>=HYPERLINK("#M170","Remediation")</x:f>
      </x:c>
      <x:c r="N170" s="6" t="str">
        <x:v>&lt;p&gt;Under the harmonised Work Health and Safety (WHS) Acts, the maximum penalties for conducting a business or undertaking at an unauthorised workplace, or directing or allowing a worker to carry out work at the unauthorised workplace, are $250,000 for an organisation and $50,000 for an individual (s 41). Failure to comply with the conditions attached to an authorisation (such as an MHF licence) attracts maximum penalties of $100,000 for an organisation and $20,000 for an individual (s 45).&lt;/p&gt;&lt;p&gt;In all the harmonised jurisdictions except the Commonwealth and the ACT, the maximum penalties for knowingly providing false or misleading information or documents are $50,000 for an organisation and $10,000 for an individual (s 268). Section 268 of the Commonwealth&amp;rsquo;s WHS Act refers to the &lt;em&gt;Criminal Code Act 1995&lt;/em&gt; (Cth), which imposes a maximum penalty of 12 months&amp;rsquo; imprisonment for knowingly providing a false or misleading statement or piece of information, and 6&amp;nbsp;months&amp;rsquo; imprisonment for recklessly providing a false or misleading statement or piece of information (Criminal Code, Pt 7.4).&lt;/p&gt;</x:v>
      </x:c>
      <x:c r="O170" s="6" t="n">
        <x:f>=HYPERLINK("#O170","Consequence")</x:f>
      </x:c>
      <x:c r="P170" s="6" t="str">
        <x:v>&lt;p&gt;&lt;a href="https://www.legislation.gov.au/Details/C2011A00137" target="_blank" &gt;Work Health and Safety Act 2011 (Cth)&lt;/a&gt; ss 41, 45, 268 (see also corresponding Acts in NSW, NT, QLD, SA and TAS)&lt;/p&gt;&lt;p&gt;&lt;a href="https://www.legislation.gov.au/Details/F2011L02664" target="_blank" &gt;Work Health and Safety Regulations 2011 (Cth)&lt;/a&gt; regs 595&amp;ndash;600, 676 (see also corresponding regulations in NSW, NT, QLD, SA and TAS)&lt;/p&gt;&lt;p&gt;&lt;a href="https://www.legislation.gov.au/Details/C2015C00254" target="_blank" &gt;Criminal Code Act 1995 (Cth)&lt;/a&gt; Pt 7.4&lt;/p&gt;</x:v>
      </x:c>
      <x:c r="Q170" s="6" t="n">
        <x:f>=HYPERLINK("#Q170","Source")</x:f>
      </x:c>
      <x:c r="R170"/>
      <x:c r="S170"/>
      <x:c r="T170"/>
    </x:row>
    <x:row r="171" spans="1:20" ht="15.75" x14ac:dyDescent="0.25">
      <x:c r="A171" t="n">
        <x:v>12074</x:v>
      </x:c>
      <x:c r="B171" t="str">
        <x:v>NSW,NT,QLD,SA,TAS,COMMONWEALTH</x:v>
      </x:c>
      <x:c r="C171" t="inlineStr">
        <x:is>
          <x:t xml:space="preserve">  Subobligation</x:t>
        </x:is>
      </x:c>
      <x:c r="D171" t="inlineStr">
        <x:is>
          <x:t xml:space="preserve">  Suspension and Cancellation of a Major Hazard Facility Licence</x:t>
        </x:is>
      </x:c>
      <x:c r="E171" s="31" t="n">
        <x:v>18.12</x:v>
      </x:c>
      <x:c r="F171" s="8" t="n">
        <x:f>=HYPERLINK("#Obligation()","Major Hazard Facilities")</x:f>
      </x:c>
      <x:c r="G171" s="8" t="n">
        <x:f>=HYPERLINK("#SubObligation()","Suspension and Cancellation of a Major Hazard Facility Licence")</x:f>
      </x:c>
      <x:c r="H171" s="6" t="n">
        <x:f>=HYPERLINK("#H171","Tools")</x:f>
      </x:c>
      <x:c r="I171" s="27" t="str">
        <x:v>&lt;b&gt;&lt;p&gt;Suspension and Cancellation of a Major Hazard Facility Licence&lt;/p&gt;Has the operator of the licensed major hazard facility (MHF) applied to the regulator to cancel its licence if the quantity of Schedule 15 chemicals at the MHF does not exceed their threshold quantity and it is unlikely that a major incident will occur at the MHF?&lt;/b&gt;</x:v>
      </x:c>
      <x:c r="J171" s="6" t="str">
        <x:v>&lt;p&gt;An operator of a licensed major hazard facility (MHF) may apply to the regulator to have the licence cancelled. It must lodge its cancellation application in the manner and form approved by the regulator and must pay the applicable fee.&lt;/p&gt;&lt;p&gt;Before making a decision, the regulator must conduct an inquiry into the MHF&amp;rsquo;s inventory and operations. It must cancel the MHF&amp;rsquo;s licence if the quantity of Schedule 15 chemicals does not exceed their threshold quantity and it is unlikely that a major incident will occur at the MHF. If the regulator cancels an MHF licence, it must revoke its earlier determination confirming the facility to be an MHF.&lt;/p&gt;&lt;p&gt;The regulator can also, on its own initiative, cancel or suspend a licence if the operator has failed to operate the MHF safely and competently, has failed to comply with a licence condition, has given false or misleading information, or has failed to provide material information. If so, the regulator can disqualify the operator from applying for a further MHF licence.&lt;/p&gt;&lt;p&gt;When making the decision, the regulator can consider any submissions from the operator, any advice received from another regulator, or any advice received from a government agency in relation to national security. The regulator must consider any convictions, offences or wrongdoings of the operator, as well as the operator&amp;rsquo;s record.&lt;/p&gt;&lt;p&gt;Before suspending or cancelling a licence, the regulator must give the operator notice in writing of the proposed suspension, cancellation or disqualification, outlining all relevant information and informing the operator that it can make a submission in response to the decision. It must give this notice within 14 days and include the following information:&lt;/p&gt;&lt;ul&gt;&lt;li&gt;state that the licence is being suspended or cancelled&lt;/li&gt;&lt;li&gt;if being suspended, state when&amp;nbsp;&amp;nbsp;the suspension begins and ends, the reasons for it, whether the operator must take action before it ends and whether the operator is disqualified from applying for another MHF licence during the suspension&lt;/li&gt;&lt;li&gt;if being cancelled, state when&amp;nbsp;&amp;nbsp;the cancellation begins, the reasons for it, and whether the operator is disqualified from applying for another MHF licence&lt;/li&gt;&lt;li&gt;if disqualified from applying&amp;nbsp;&amp;nbsp;for a further MHF, state when the disqualification begins and ends, the reasons for it and whether the operator must take action before the disqualification ends&lt;/li&gt;&lt;li&gt;state when the licence&amp;nbsp;&amp;nbsp;document must be returned.&lt;/li&gt;&lt;/ul&gt;&lt;p&gt;The regulator can suspend an MHF licence immediately, without giving notice in the form described above, if someone may be exposed to an imminent serious risk, or if another regulator has suspended an equivalent licence held by the operator. If the regulator does so, it must notify the operator in writing of the immediate suspension and its reasons, and that the suspension takes effect when the notice is given. The regulator must then give a written notice within 14 days outlining the reasons for the suspension and informing the operator that it can make a submission in response to the decision. If it does not give such notice, the suspension concludes at the end of the 14 days. If it does give notice, the suspension continues until a further decision is made. The regulator must decide whether to continue the suspension, cancel the licence or disqualify the operator.&lt;/p&gt;&lt;p&gt;An operator must return a suspended or cancelled MHF licence document to the regulator according to the requirements in the suspension or cancellation notice. The regulator must return the licence document to the operator within 14 days of a suspension ending.&lt;/p&gt;&lt;p&gt;An operator can seek a review of the regulator&amp;rsquo;s decision to suspend or cancel a licence or disqualify the operator. An operator can also seek a review of the regulator&amp;rsquo;s refusal of the operator&amp;rsquo;s application to have a licence cancelled.&lt;/p&gt;&lt;p&gt;If an operator wishes to apply to the regulator to cancel its MHF licence, it is important to check with the regulator on the precise requirements for the cancellation application. Submitting the cancellation application in the correct form with the necessary details will improve the likelihood of the regulator approving the request.&lt;/p&gt;&lt;p&gt;The operator should have a process for calculating and recording any changes in the quantity of Schedule 15 chemicals at the MHF so that it can provide accurate information to the regulator about any increases or decreases over time.&lt;/p&gt;&lt;p&gt;The operator should check carefully that the information it gives to the regulator is correct, as it is an offence to knowingly provide false or misleading information.&lt;/p&gt;&lt;p&gt;The operator also needs to ensure that it keeps the licence document in a safe and secure place, so that it can easily return the document on the regulator&amp;rsquo;s request and avoid facing any financial penalties.&lt;/p&gt;&lt;p&gt;If an operator wishes to avoid having its licence suspended, it should ensure that all operations are being conducted in a safe and competent manner by undertaking periodic reviews of the safety management system, regularly inspecting the MHF and taking prompt corrective action where necessary, and providing up-to-date training and instruction to all workers.&lt;/p&gt;</x:v>
      </x:c>
      <x:c r="K171" s="6" t="n">
        <x:f>=HYPERLINK("#K171","Guidance Notes")</x:f>
      </x:c>
      <x:c r="L171" s="6" t="str">
        <x:v>&lt;p&gt;Put in place procedures and resources to ensure that an application to cancel a licence can be made in the approved manner and form.&lt;/p&gt;</x:v>
      </x:c>
      <x:c r="M171" s="6" t="n">
        <x:f>=HYPERLINK("#M171","Remediation")</x:f>
      </x:c>
      <x:c r="N171" s="6" t="str">
        <x:v>&lt;p&gt;Under the harmonised Work Health and Safety (WHS) Acts, the maximum penalties for conducting a business or undertaking at an unauthorised workplace, or directing or allowing a worker to carry out work at the unauthorised workplace, are $250,000 for an organisation and $50,000 for an individual (s 41). Failure to comply with the conditions attached to an authorisation (such as an MHF licence) attracts maximum penalties of $100,000 for an organisation and $20,000 for an individual (s 45).&lt;/p&gt;&lt;p&gt;In all the harmonised jurisdictions except the Commonwealth and the ACT, the maximum penalties for knowingly providing false or misleading information or documents are $50,000 for an organisation and $10,000 for an individual (s 268). Section 268 of the Commonwealth&amp;rsquo;s WHS Act refers to the Criminal Code Act 1995 (Cth), which imposes a maximum penalty of 12 months&amp;rsquo; imprisonment for knowingly providing a false or misleading statement or piece of information, and 6&amp;nbsp;months&amp;rsquo; imprisonment for recklessly providing a false or misleading statement or piece of information (Criminal Code, Pt 7.4).&lt;/p&gt;&lt;p&gt;The maximum penalties for failing to return the licence document to the regulator are $6,000 for an organisation and $1,250 for an individual (reg 607).&lt;/p&gt;</x:v>
      </x:c>
      <x:c r="O171" s="6" t="n">
        <x:f>=HYPERLINK("#O171","Consequence")</x:f>
      </x:c>
      <x:c r="P171" s="6" t="str">
        <x:v>&lt;p&gt;&lt;a href="https://www.legislation.gov.au/Details/C2011A00137" target="_blank" &gt;Work Health and Safety Act 2011 (Cth)&lt;/a&gt; ss 41, 45, 268 (see also corresponding Acts in NSW, NT, QLD, SA and TAS)&lt;/p&gt;&lt;p&gt;&lt;a href="https://www.legislation.gov.au/Details/F2011L02664" target="_blank" &gt;Work Health and Safety Regulations 2011 (Cth)&lt;/a&gt; regs 601&amp;ndash;608, 676 (see also corresponding regulations in NSW, NT, QLD, SA and TAS)&lt;/p&gt;&lt;p&gt;&lt;a href="https://www.legislation.gov.au/Details/C2015C00254" target="_blank" &gt;Criminal Code Act 1995 (Cth)&lt;/a&gt; Pt 7.4&lt;/p&gt;</x:v>
      </x:c>
      <x:c r="Q171" s="6" t="n">
        <x:f>=HYPERLINK("#Q171","Source")</x:f>
      </x:c>
      <x:c r="R171"/>
      <x:c r="S171"/>
      <x:c r="T171"/>
    </x:row>
    <x:row r="172" spans="1:20" ht="15.75" x14ac:dyDescent="0.25">
      <x:c r="A172"/>
      <x:c r="B172"/>
      <x:c r="C172"/>
      <x:c r="D172"/>
      <x:c r="E172" s="31"/>
      <x:c r="F172" s="8"/>
      <x:c r="G172" s="8"/>
      <x:c r="H172" s="6"/>
      <x:c r="I172" s="27"/>
      <x:c r="J172" s="6"/>
      <x:c r="K172" s="6"/>
      <x:c r="L172" s="6"/>
      <x:c r="M172" s="6"/>
      <x:c r="N172" s="6"/>
      <x:c r="O172" s="6"/>
      <x:c r="P172" s="6"/>
      <x:c r="Q172" s="6"/>
      <x:c r="R172"/>
      <x:c r="S172"/>
      <x:c r="T172"/>
    </x:row>
    <x:row r="173" spans="1:20" ht="15.75" x14ac:dyDescent="0.25">
      <x:c r="A173"/>
      <x:c r="B173"/>
      <x:c r="C173"/>
      <x:c r="D173"/>
      <x:c r="E173" s="31"/>
      <x:c r="F173" s="8"/>
      <x:c r="G173" s="8"/>
      <x:c r="H173" s="6"/>
      <x:c r="I173" s="27"/>
      <x:c r="J173" s="6"/>
      <x:c r="K173" s="6"/>
      <x:c r="L173" s="6"/>
      <x:c r="M173" s="6"/>
      <x:c r="N173" s="6"/>
      <x:c r="O173" s="6"/>
      <x:c r="P173" s="6"/>
      <x:c r="Q173" s="6"/>
      <x:c r="R173"/>
      <x:c r="S173"/>
      <x:c r="T173"/>
    </x:row>
    <x:row r="174" spans="1:20" ht="15.75" x14ac:dyDescent="0.25">
      <x:c r="A174"/>
      <x:c r="B174"/>
      <x:c r="C174"/>
      <x:c r="D174"/>
      <x:c r="E174" s="31"/>
      <x:c r="F174" s="8"/>
      <x:c r="G174" s="8"/>
      <x:c r="H174" s="6"/>
      <x:c r="I174" s="27"/>
      <x:c r="J174" s="6"/>
      <x:c r="K174" s="6"/>
      <x:c r="L174" s="6"/>
      <x:c r="M174" s="6"/>
      <x:c r="N174" s="6"/>
      <x:c r="O174" s="6"/>
      <x:c r="P174" s="6"/>
      <x:c r="Q174" s="6"/>
      <x:c r="R174"/>
      <x:c r="S174"/>
      <x:c r="T174"/>
    </x:row>
    <x:row r="175" spans="1:20" ht="15.75" x14ac:dyDescent="0.25">
      <x:c r="A175"/>
      <x:c r="B175"/>
      <x:c r="C175"/>
      <x:c r="D175"/>
      <x:c r="E175" s="31"/>
      <x:c r="F175" s="8"/>
      <x:c r="G175" s="8"/>
      <x:c r="H175" s="6"/>
      <x:c r="I175" s="27"/>
      <x:c r="J175" s="6"/>
      <x:c r="K175" s="6"/>
      <x:c r="L175" s="6"/>
      <x:c r="M175" s="6"/>
      <x:c r="N175" s="6"/>
      <x:c r="O175" s="6"/>
      <x:c r="P175" s="6"/>
      <x:c r="Q175" s="6"/>
      <x:c r="R175"/>
      <x:c r="S175"/>
      <x:c r="T175"/>
    </x:row>
    <x:row r="176" spans="1:20" ht="15.75" x14ac:dyDescent="0.25">
      <x:c r="A176"/>
      <x:c r="B176"/>
      <x:c r="C176"/>
      <x:c r="D176"/>
      <x:c r="E176" s="31"/>
      <x:c r="F176" s="8"/>
      <x:c r="G176" s="8"/>
      <x:c r="H176" s="6"/>
      <x:c r="I176" s="27"/>
      <x:c r="J176" s="6"/>
      <x:c r="K176" s="6"/>
      <x:c r="L176" s="6"/>
      <x:c r="M176" s="6"/>
      <x:c r="N176" s="6"/>
      <x:c r="O176" s="6"/>
      <x:c r="P176" s="6"/>
      <x:c r="Q176" s="6"/>
      <x:c r="R176"/>
      <x:c r="S176"/>
      <x:c r="T176"/>
    </x:row>
    <x:row r="177" spans="1:20" ht="15.75" x14ac:dyDescent="0.25">
      <x:c r="A177"/>
      <x:c r="B177"/>
      <x:c r="C177"/>
      <x:c r="D177"/>
      <x:c r="E177" s="31"/>
      <x:c r="F177" s="8"/>
      <x:c r="G177" s="8"/>
      <x:c r="H177" s="6"/>
      <x:c r="I177" s="27"/>
      <x:c r="J177" s="6"/>
      <x:c r="K177" s="6"/>
      <x:c r="L177" s="6"/>
      <x:c r="M177" s="6"/>
      <x:c r="N177" s="6"/>
      <x:c r="O177" s="6"/>
      <x:c r="P177" s="6"/>
      <x:c r="Q177" s="6"/>
      <x:c r="R177"/>
      <x:c r="S177"/>
      <x:c r="T177"/>
    </x:row>
    <x:row r="178" spans="1:20" ht="15.75" x14ac:dyDescent="0.25">
      <x:c r="A178"/>
      <x:c r="B178"/>
      <x:c r="C178"/>
      <x:c r="D178"/>
      <x:c r="E178" s="31"/>
      <x:c r="F178" s="8"/>
      <x:c r="G178" s="8"/>
      <x:c r="H178" s="6"/>
      <x:c r="I178" s="27"/>
      <x:c r="J178" s="6"/>
      <x:c r="K178" s="6"/>
      <x:c r="L178" s="6"/>
      <x:c r="M178" s="6"/>
      <x:c r="N178" s="6"/>
      <x:c r="O178" s="6"/>
      <x:c r="P178" s="6"/>
      <x:c r="Q178" s="6"/>
      <x:c r="R178"/>
      <x:c r="S178"/>
      <x:c r="T178"/>
    </x:row>
    <x:row r="179" spans="1:20" ht="15.75" x14ac:dyDescent="0.25">
      <x:c r="A179"/>
      <x:c r="B179"/>
      <x:c r="C179"/>
      <x:c r="D179"/>
      <x:c r="E179" s="31"/>
      <x:c r="F179" s="8"/>
      <x:c r="G179" s="8"/>
      <x:c r="H179" s="6"/>
      <x:c r="I179" s="27"/>
      <x:c r="J179" s="6"/>
      <x:c r="K179" s="6"/>
      <x:c r="L179" s="6"/>
      <x:c r="M179" s="6"/>
      <x:c r="N179" s="6"/>
      <x:c r="O179" s="6"/>
      <x:c r="P179" s="6"/>
      <x:c r="Q179" s="6"/>
      <x:c r="R179"/>
      <x:c r="S179"/>
      <x:c r="T179"/>
    </x:row>
    <x:row r="180" spans="1:20" ht="15.75" x14ac:dyDescent="0.25">
      <x:c r="A180"/>
      <x:c r="B180"/>
      <x:c r="C180"/>
      <x:c r="D180"/>
      <x:c r="E180" s="31"/>
      <x:c r="F180" s="8"/>
      <x:c r="G180" s="8"/>
      <x:c r="H180" s="6"/>
      <x:c r="I180" s="27"/>
      <x:c r="J180" s="6"/>
      <x:c r="K180" s="6"/>
      <x:c r="L180" s="6"/>
      <x:c r="M180" s="6"/>
      <x:c r="N180" s="6"/>
      <x:c r="O180" s="6"/>
      <x:c r="P180" s="6"/>
      <x:c r="Q180" s="6"/>
      <x:c r="R180"/>
      <x:c r="S180"/>
      <x:c r="T180"/>
    </x:row>
    <x:row r="181" spans="1:20" ht="15.75" x14ac:dyDescent="0.25">
      <x:c r="A181"/>
      <x:c r="B181"/>
      <x:c r="C181"/>
      <x:c r="D181"/>
      <x:c r="E181" s="31"/>
      <x:c r="F181" s="8"/>
      <x:c r="G181" s="8"/>
      <x:c r="H181" s="6"/>
      <x:c r="I181" s="27"/>
      <x:c r="J181" s="6"/>
      <x:c r="K181" s="6"/>
      <x:c r="L181" s="6"/>
      <x:c r="M181" s="6"/>
      <x:c r="N181" s="6"/>
      <x:c r="O181" s="6"/>
      <x:c r="P181" s="6"/>
      <x:c r="Q181" s="6"/>
      <x:c r="R181"/>
      <x:c r="S181"/>
      <x:c r="T181"/>
    </x:row>
    <x:row r="182" spans="1:20" ht="15.75" x14ac:dyDescent="0.25">
      <x:c r="A182"/>
      <x:c r="B182"/>
      <x:c r="C182"/>
      <x:c r="D182"/>
      <x:c r="E182" s="31"/>
      <x:c r="F182" s="8"/>
      <x:c r="G182" s="8"/>
      <x:c r="H182" s="6"/>
      <x:c r="I182" s="27"/>
      <x:c r="J182" s="6"/>
      <x:c r="K182" s="6"/>
      <x:c r="L182" s="6"/>
      <x:c r="M182" s="6"/>
      <x:c r="N182" s="6"/>
      <x:c r="O182" s="6"/>
      <x:c r="P182" s="6"/>
      <x:c r="Q182" s="6"/>
      <x:c r="R182"/>
      <x:c r="S182"/>
      <x:c r="T182"/>
    </x:row>
    <x:row r="183" spans="1:20" ht="15.75" x14ac:dyDescent="0.25">
      <x:c r="A183"/>
      <x:c r="B183"/>
      <x:c r="C183"/>
      <x:c r="D183"/>
      <x:c r="E183" s="31"/>
      <x:c r="F183" s="8"/>
      <x:c r="G183" s="8"/>
      <x:c r="H183" s="6"/>
      <x:c r="I183" s="27"/>
      <x:c r="J183" s="6"/>
      <x:c r="K183" s="6"/>
      <x:c r="L183" s="6"/>
      <x:c r="M183" s="6"/>
      <x:c r="N183" s="6"/>
      <x:c r="O183" s="6"/>
      <x:c r="P183" s="6"/>
      <x:c r="Q183" s="6"/>
      <x:c r="R183"/>
      <x:c r="S183"/>
      <x:c r="T183"/>
    </x:row>
    <x:row r="184" spans="1:20" ht="15.75" x14ac:dyDescent="0.25">
      <x:c r="A184"/>
      <x:c r="B184"/>
      <x:c r="C184"/>
      <x:c r="D184"/>
      <x:c r="E184" s="31"/>
      <x:c r="F184" s="8"/>
      <x:c r="G184" s="8"/>
      <x:c r="H184" s="6"/>
      <x:c r="I184" s="27"/>
      <x:c r="J184" s="6"/>
      <x:c r="K184" s="6"/>
      <x:c r="L184" s="6"/>
      <x:c r="M184" s="6"/>
      <x:c r="N184" s="6"/>
      <x:c r="O184" s="6"/>
      <x:c r="P184" s="6"/>
      <x:c r="Q184" s="6"/>
      <x:c r="R184"/>
      <x:c r="S184"/>
      <x:c r="T184"/>
    </x:row>
    <x:row r="185" spans="1:20" ht="15.75" x14ac:dyDescent="0.25">
      <x:c r="A185"/>
      <x:c r="B185"/>
      <x:c r="C185"/>
      <x:c r="D185"/>
      <x:c r="E185" s="31"/>
      <x:c r="F185" s="8"/>
      <x:c r="G185" s="8"/>
      <x:c r="H185" s="6"/>
      <x:c r="I185" s="27"/>
      <x:c r="J185" s="6"/>
      <x:c r="K185" s="6"/>
      <x:c r="L185" s="6"/>
      <x:c r="M185" s="6"/>
      <x:c r="N185" s="6"/>
      <x:c r="O185" s="6"/>
      <x:c r="P185" s="6"/>
      <x:c r="Q185" s="6"/>
      <x:c r="R185"/>
      <x:c r="S185"/>
      <x:c r="T185"/>
    </x:row>
    <x:row r="186" spans="1:20" ht="15.75" x14ac:dyDescent="0.25">
      <x:c r="A186"/>
      <x:c r="B186"/>
      <x:c r="C186"/>
      <x:c r="D186"/>
      <x:c r="E186" s="31"/>
      <x:c r="F186" s="8"/>
      <x:c r="G186" s="8"/>
      <x:c r="H186" s="6"/>
      <x:c r="I186" s="27"/>
      <x:c r="J186" s="6"/>
      <x:c r="K186" s="6"/>
      <x:c r="L186" s="6"/>
      <x:c r="M186" s="6"/>
      <x:c r="N186" s="6"/>
      <x:c r="O186" s="6"/>
      <x:c r="P186" s="6"/>
      <x:c r="Q186" s="6"/>
      <x:c r="R186"/>
      <x:c r="S186"/>
      <x:c r="T186"/>
    </x:row>
    <x:row r="187" spans="1:20" ht="15.75" x14ac:dyDescent="0.25">
      <x:c r="A187"/>
      <x:c r="B187"/>
      <x:c r="C187"/>
      <x:c r="D187"/>
      <x:c r="E187" s="31"/>
      <x:c r="F187" s="8"/>
      <x:c r="G187" s="8"/>
      <x:c r="H187" s="6"/>
      <x:c r="I187" s="27"/>
      <x:c r="J187" s="6"/>
      <x:c r="K187" s="6"/>
      <x:c r="L187" s="6"/>
      <x:c r="M187" s="6"/>
      <x:c r="N187" s="6"/>
      <x:c r="O187" s="6"/>
      <x:c r="P187" s="6"/>
      <x:c r="Q187" s="6"/>
      <x:c r="R187"/>
      <x:c r="S187"/>
      <x:c r="T187"/>
    </x:row>
    <x:row r="188" spans="1:20" ht="15.75" x14ac:dyDescent="0.25">
      <x:c r="A188"/>
      <x:c r="B188"/>
      <x:c r="C188"/>
      <x:c r="D188"/>
      <x:c r="E188" s="31"/>
      <x:c r="F188" s="8"/>
      <x:c r="G188" s="8"/>
      <x:c r="H188" s="6"/>
      <x:c r="I188" s="27"/>
      <x:c r="J188" s="6"/>
      <x:c r="K188" s="6"/>
      <x:c r="L188" s="6"/>
      <x:c r="M188" s="6"/>
      <x:c r="N188" s="6"/>
      <x:c r="O188" s="6"/>
      <x:c r="P188" s="6"/>
      <x:c r="Q188" s="6"/>
      <x:c r="R188"/>
      <x:c r="S188"/>
      <x:c r="T188"/>
    </x:row>
    <x:row r="189" spans="1:20" ht="15.75" x14ac:dyDescent="0.25">
      <x:c r="A189"/>
      <x:c r="B189"/>
      <x:c r="C189"/>
      <x:c r="D189"/>
      <x:c r="E189" s="31"/>
      <x:c r="F189" s="8"/>
      <x:c r="G189" s="8"/>
      <x:c r="H189" s="6"/>
      <x:c r="I189" s="27"/>
      <x:c r="J189" s="6"/>
      <x:c r="K189" s="6"/>
      <x:c r="L189" s="6"/>
      <x:c r="M189" s="6"/>
      <x:c r="N189" s="6"/>
      <x:c r="O189" s="6"/>
      <x:c r="P189" s="6"/>
      <x:c r="Q189" s="6"/>
      <x:c r="R189"/>
      <x:c r="S189"/>
      <x:c r="T189"/>
    </x:row>
    <x:row r="190" spans="1:20" ht="15.75" x14ac:dyDescent="0.25">
      <x:c r="A190"/>
      <x:c r="B190"/>
      <x:c r="C190"/>
      <x:c r="D190"/>
      <x:c r="E190" s="31"/>
      <x:c r="F190" s="8"/>
      <x:c r="G190" s="8"/>
      <x:c r="H190" s="6"/>
      <x:c r="I190" s="27"/>
      <x:c r="J190" s="6"/>
      <x:c r="K190" s="6"/>
      <x:c r="L190" s="6"/>
      <x:c r="M190" s="6"/>
      <x:c r="N190" s="6"/>
      <x:c r="O190" s="6"/>
      <x:c r="P190" s="6"/>
      <x:c r="Q190" s="6"/>
      <x:c r="R190"/>
      <x:c r="S190"/>
      <x:c r="T190"/>
    </x:row>
    <x:row r="191" spans="1:20" ht="15.75" x14ac:dyDescent="0.25">
      <x:c r="A191"/>
      <x:c r="B191"/>
      <x:c r="C191"/>
      <x:c r="D191"/>
      <x:c r="E191" s="31"/>
      <x:c r="F191" s="8"/>
      <x:c r="G191" s="8"/>
      <x:c r="H191" s="6"/>
      <x:c r="I191" s="27"/>
      <x:c r="J191" s="6"/>
      <x:c r="K191" s="6"/>
      <x:c r="L191" s="6"/>
      <x:c r="M191" s="6"/>
      <x:c r="N191" s="6"/>
      <x:c r="O191" s="6"/>
      <x:c r="P191" s="6"/>
      <x:c r="Q191" s="6"/>
      <x:c r="R191"/>
      <x:c r="S191"/>
      <x:c r="T191"/>
    </x:row>
    <x:row r="192" spans="1:20" ht="15.75" x14ac:dyDescent="0.25">
      <x:c r="A192"/>
      <x:c r="B192"/>
      <x:c r="C192"/>
      <x:c r="D192"/>
      <x:c r="E192" s="31"/>
      <x:c r="F192" s="8"/>
      <x:c r="G192" s="8"/>
      <x:c r="H192" s="6"/>
      <x:c r="I192" s="27"/>
      <x:c r="J192" s="6"/>
      <x:c r="K192" s="6"/>
      <x:c r="L192" s="6"/>
      <x:c r="M192" s="6"/>
      <x:c r="N192" s="6"/>
      <x:c r="O192" s="6"/>
      <x:c r="P192" s="6"/>
      <x:c r="Q192" s="6"/>
      <x:c r="R192"/>
      <x:c r="S192"/>
      <x:c r="T192"/>
    </x:row>
    <x:row r="193" spans="1:20" ht="15.75" x14ac:dyDescent="0.25">
      <x:c r="A193"/>
      <x:c r="B193"/>
      <x:c r="C193"/>
      <x:c r="D193"/>
      <x:c r="E193" s="31"/>
      <x:c r="F193" s="8"/>
      <x:c r="G193" s="8"/>
      <x:c r="H193" s="6"/>
      <x:c r="I193" s="27"/>
      <x:c r="J193" s="6"/>
      <x:c r="K193" s="6"/>
      <x:c r="L193" s="6"/>
      <x:c r="M193" s="6"/>
      <x:c r="N193" s="6"/>
      <x:c r="O193" s="6"/>
      <x:c r="P193" s="6"/>
      <x:c r="Q193" s="6"/>
      <x:c r="R193"/>
      <x:c r="S193"/>
      <x:c r="T193"/>
    </x:row>
    <x:row r="194" spans="1:20" ht="15.75" x14ac:dyDescent="0.25">
      <x:c r="A194"/>
      <x:c r="B194"/>
      <x:c r="C194"/>
      <x:c r="D194"/>
      <x:c r="E194" s="31"/>
      <x:c r="F194" s="8"/>
      <x:c r="G194" s="8"/>
      <x:c r="H194" s="6"/>
      <x:c r="I194" s="27"/>
      <x:c r="J194" s="6"/>
      <x:c r="K194" s="6"/>
      <x:c r="L194" s="6"/>
      <x:c r="M194" s="6"/>
      <x:c r="N194" s="6"/>
      <x:c r="O194" s="6"/>
      <x:c r="P194" s="6"/>
      <x:c r="Q194" s="6"/>
      <x:c r="R194"/>
      <x:c r="S194"/>
      <x:c r="T194"/>
    </x:row>
    <x:row r="195" spans="1:20" ht="15.75" x14ac:dyDescent="0.25">
      <x:c r="A195"/>
      <x:c r="B195"/>
      <x:c r="C195"/>
      <x:c r="D195"/>
      <x:c r="E195" s="31"/>
      <x:c r="F195" s="8"/>
      <x:c r="G195" s="8"/>
      <x:c r="H195" s="6"/>
      <x:c r="I195" s="27"/>
      <x:c r="J195" s="6"/>
      <x:c r="K195" s="6"/>
      <x:c r="L195" s="6"/>
      <x:c r="M195" s="6"/>
      <x:c r="N195" s="6"/>
      <x:c r="O195" s="6"/>
      <x:c r="P195" s="6"/>
      <x:c r="Q195" s="6"/>
      <x:c r="R195"/>
      <x:c r="S195"/>
      <x:c r="T195"/>
    </x:row>
    <x:row r="196" spans="1:20" ht="15.75" x14ac:dyDescent="0.25">
      <x:c r="A196"/>
      <x:c r="B196"/>
      <x:c r="C196"/>
      <x:c r="D196"/>
      <x:c r="E196" s="31"/>
      <x:c r="F196" s="8"/>
      <x:c r="G196" s="8"/>
      <x:c r="H196" s="6"/>
      <x:c r="I196" s="27"/>
      <x:c r="J196" s="6"/>
      <x:c r="K196" s="6"/>
      <x:c r="L196" s="6"/>
      <x:c r="M196" s="6"/>
      <x:c r="N196" s="6"/>
      <x:c r="O196" s="6"/>
      <x:c r="P196" s="6"/>
      <x:c r="Q196" s="6"/>
      <x:c r="R196"/>
      <x:c r="S196"/>
      <x:c r="T196"/>
    </x:row>
    <x:row r="197" spans="1:20" ht="15.75" x14ac:dyDescent="0.25">
      <x:c r="A197"/>
      <x:c r="B197"/>
      <x:c r="C197"/>
      <x:c r="D197"/>
      <x:c r="E197" s="31"/>
      <x:c r="F197" s="8"/>
      <x:c r="G197" s="8"/>
      <x:c r="H197" s="6"/>
      <x:c r="I197" s="27"/>
      <x:c r="J197" s="6"/>
      <x:c r="K197" s="6"/>
      <x:c r="L197" s="6"/>
      <x:c r="M197" s="6"/>
      <x:c r="N197" s="6"/>
      <x:c r="O197" s="6"/>
      <x:c r="P197" s="6"/>
      <x:c r="Q197" s="6"/>
      <x:c r="R197"/>
      <x:c r="S197"/>
      <x:c r="T197"/>
    </x:row>
    <x:row r="198" spans="1:20" ht="15.75" x14ac:dyDescent="0.25">
      <x:c r="A198"/>
      <x:c r="B198"/>
      <x:c r="C198"/>
      <x:c r="D198"/>
      <x:c r="E198" s="31"/>
      <x:c r="F198" s="8"/>
      <x:c r="G198" s="8"/>
      <x:c r="H198" s="6"/>
      <x:c r="I198" s="27"/>
      <x:c r="J198" s="6"/>
      <x:c r="K198" s="6"/>
      <x:c r="L198" s="6"/>
      <x:c r="M198" s="6"/>
      <x:c r="N198" s="6"/>
      <x:c r="O198" s="6"/>
      <x:c r="P198" s="6"/>
      <x:c r="Q198" s="6"/>
      <x:c r="R198"/>
      <x:c r="S198"/>
      <x:c r="T198"/>
    </x:row>
    <x:row r="199" spans="1:20" ht="15.75" x14ac:dyDescent="0.25">
      <x:c r="A199"/>
      <x:c r="B199"/>
      <x:c r="C199"/>
      <x:c r="D199"/>
      <x:c r="E199" s="31"/>
      <x:c r="F199" s="8"/>
      <x:c r="G199" s="8"/>
      <x:c r="H199" s="6"/>
      <x:c r="I199" s="27"/>
      <x:c r="J199" s="6"/>
      <x:c r="K199" s="6"/>
      <x:c r="L199" s="6"/>
      <x:c r="M199" s="6"/>
      <x:c r="N199" s="6"/>
      <x:c r="O199" s="6"/>
      <x:c r="P199" s="6"/>
      <x:c r="Q199" s="6"/>
      <x:c r="R199"/>
      <x:c r="S199"/>
      <x:c r="T199"/>
    </x:row>
    <x:row r="200" spans="1:20" ht="15.75" x14ac:dyDescent="0.25">
      <x:c r="A200"/>
      <x:c r="B200"/>
      <x:c r="C200"/>
      <x:c r="D200"/>
      <x:c r="E200" s="31"/>
      <x:c r="F200" s="8"/>
      <x:c r="G200" s="8"/>
      <x:c r="H200" s="6"/>
      <x:c r="I200" s="27"/>
      <x:c r="J200" s="6"/>
      <x:c r="K200" s="6"/>
      <x:c r="L200" s="6"/>
      <x:c r="M200" s="6"/>
      <x:c r="N200" s="6"/>
      <x:c r="O200" s="6"/>
      <x:c r="P200" s="6"/>
      <x:c r="Q200" s="6"/>
      <x:c r="R200"/>
      <x:c r="S200"/>
      <x:c r="T200"/>
    </x:row>
    <x:row r="201" spans="1:20" ht="15.75" x14ac:dyDescent="0.25">
      <x:c r="A201"/>
      <x:c r="B201"/>
      <x:c r="C201"/>
      <x:c r="D201"/>
      <x:c r="E201" s="31"/>
      <x:c r="F201" s="8"/>
      <x:c r="G201" s="8"/>
      <x:c r="H201" s="6"/>
      <x:c r="I201" s="27"/>
      <x:c r="J201" s="6"/>
      <x:c r="K201" s="6"/>
      <x:c r="L201" s="6"/>
      <x:c r="M201" s="6"/>
      <x:c r="N201" s="6"/>
      <x:c r="O201" s="6"/>
      <x:c r="P201" s="6"/>
      <x:c r="Q201" s="6"/>
      <x:c r="R201"/>
      <x:c r="S201"/>
      <x:c r="T201"/>
    </x:row>
    <x:row r="202" spans="1:20" ht="15.75" x14ac:dyDescent="0.25">
      <x:c r="A202"/>
      <x:c r="B202"/>
      <x:c r="C202"/>
      <x:c r="D202"/>
      <x:c r="E202" s="31"/>
      <x:c r="F202" s="8"/>
      <x:c r="G202" s="8"/>
      <x:c r="H202" s="6"/>
      <x:c r="I202" s="27"/>
      <x:c r="J202" s="6"/>
      <x:c r="K202" s="6"/>
      <x:c r="L202" s="6"/>
      <x:c r="M202" s="6"/>
      <x:c r="N202" s="6"/>
      <x:c r="O202" s="6"/>
      <x:c r="P202" s="6"/>
      <x:c r="Q202" s="6"/>
      <x:c r="R202"/>
      <x:c r="S202"/>
      <x:c r="T202"/>
    </x:row>
    <x:row r="203" spans="1:20" ht="15.75" x14ac:dyDescent="0.25">
      <x:c r="A203"/>
      <x:c r="B203"/>
      <x:c r="C203"/>
      <x:c r="D203"/>
      <x:c r="E203" s="31"/>
      <x:c r="F203" s="8"/>
      <x:c r="G203" s="8"/>
      <x:c r="H203" s="6"/>
      <x:c r="I203" s="27"/>
      <x:c r="J203" s="6"/>
      <x:c r="K203" s="6"/>
      <x:c r="L203" s="6"/>
      <x:c r="M203" s="6"/>
      <x:c r="N203" s="6"/>
      <x:c r="O203" s="6"/>
      <x:c r="P203" s="6"/>
      <x:c r="Q203" s="6"/>
      <x:c r="R203"/>
      <x:c r="S203"/>
      <x:c r="T203"/>
    </x:row>
    <x:row r="204" spans="1:20" ht="15.75" x14ac:dyDescent="0.25">
      <x:c r="A204"/>
      <x:c r="B204"/>
      <x:c r="C204"/>
      <x:c r="D204"/>
      <x:c r="E204" s="31"/>
      <x:c r="F204" s="8"/>
      <x:c r="G204" s="8"/>
      <x:c r="H204" s="6"/>
      <x:c r="I204" s="27"/>
      <x:c r="J204" s="6"/>
      <x:c r="K204" s="6"/>
      <x:c r="L204" s="6"/>
      <x:c r="M204" s="6"/>
      <x:c r="N204" s="6"/>
      <x:c r="O204" s="6"/>
      <x:c r="P204" s="6"/>
      <x:c r="Q204" s="6"/>
      <x:c r="R204"/>
      <x:c r="S204"/>
      <x:c r="T204"/>
    </x:row>
    <x:row r="205" spans="1:20" ht="15.75" x14ac:dyDescent="0.25">
      <x:c r="A205"/>
      <x:c r="B205"/>
      <x:c r="C205"/>
      <x:c r="D205"/>
      <x:c r="E205" s="31"/>
      <x:c r="F205" s="8"/>
      <x:c r="G205" s="8"/>
      <x:c r="H205" s="6"/>
      <x:c r="I205" s="27"/>
      <x:c r="J205" s="6"/>
      <x:c r="K205" s="6"/>
      <x:c r="L205" s="6"/>
      <x:c r="M205" s="6"/>
      <x:c r="N205" s="6"/>
      <x:c r="O205" s="6"/>
      <x:c r="P205" s="6"/>
      <x:c r="Q205" s="6"/>
      <x:c r="R205"/>
      <x:c r="S205"/>
      <x:c r="T205"/>
    </x:row>
    <x:row r="206" spans="1:20" ht="15.75" x14ac:dyDescent="0.25">
      <x:c r="A206"/>
      <x:c r="B206"/>
      <x:c r="C206"/>
      <x:c r="D206"/>
      <x:c r="E206" s="31"/>
      <x:c r="F206" s="8"/>
      <x:c r="G206" s="8"/>
      <x:c r="H206" s="6"/>
      <x:c r="I206" s="27"/>
      <x:c r="J206" s="6"/>
      <x:c r="K206" s="6"/>
      <x:c r="L206" s="6"/>
      <x:c r="M206" s="6"/>
      <x:c r="N206" s="6"/>
      <x:c r="O206" s="6"/>
      <x:c r="P206" s="6"/>
      <x:c r="Q206" s="6"/>
      <x:c r="R206"/>
      <x:c r="S206"/>
      <x:c r="T206"/>
    </x:row>
    <x:row r="207" spans="1:20" ht="15.75" x14ac:dyDescent="0.25">
      <x:c r="A207"/>
      <x:c r="B207"/>
      <x:c r="C207"/>
      <x:c r="D207"/>
      <x:c r="E207" s="31"/>
      <x:c r="F207" s="8"/>
      <x:c r="G207" s="8"/>
      <x:c r="H207" s="6"/>
      <x:c r="I207" s="27"/>
      <x:c r="J207" s="6"/>
      <x:c r="K207" s="6"/>
      <x:c r="L207" s="6"/>
      <x:c r="M207" s="6"/>
      <x:c r="N207" s="6"/>
      <x:c r="O207" s="6"/>
      <x:c r="P207" s="6"/>
      <x:c r="Q207" s="6"/>
      <x:c r="R207"/>
      <x:c r="S207"/>
      <x:c r="T207"/>
    </x:row>
    <x:row r="208" spans="1:20" ht="15.75" x14ac:dyDescent="0.25">
      <x:c r="A208"/>
      <x:c r="B208"/>
      <x:c r="C208"/>
      <x:c r="D208"/>
      <x:c r="E208" s="31"/>
      <x:c r="F208" s="8"/>
      <x:c r="G208" s="8"/>
      <x:c r="H208" s="6"/>
      <x:c r="I208" s="27"/>
      <x:c r="J208" s="6"/>
      <x:c r="K208" s="6"/>
      <x:c r="L208" s="6"/>
      <x:c r="M208" s="6"/>
      <x:c r="N208" s="6"/>
      <x:c r="O208" s="6"/>
      <x:c r="P208" s="6"/>
      <x:c r="Q208" s="6"/>
      <x:c r="R208"/>
      <x:c r="S208"/>
      <x:c r="T208"/>
    </x:row>
    <x:row r="209" spans="1:20" ht="15.75" x14ac:dyDescent="0.25">
      <x:c r="A209"/>
      <x:c r="B209"/>
      <x:c r="C209"/>
      <x:c r="D209"/>
      <x:c r="E209" s="31"/>
      <x:c r="F209" s="8"/>
      <x:c r="G209" s="8"/>
      <x:c r="H209" s="6"/>
      <x:c r="I209" s="27"/>
      <x:c r="J209" s="6"/>
      <x:c r="K209" s="6"/>
      <x:c r="L209" s="6"/>
      <x:c r="M209" s="6"/>
      <x:c r="N209" s="6"/>
      <x:c r="O209" s="6"/>
      <x:c r="P209" s="6"/>
      <x:c r="Q209" s="6"/>
      <x:c r="R209"/>
      <x:c r="S209"/>
      <x:c r="T209"/>
    </x:row>
    <x:row r="210" spans="1:20" ht="15.75" x14ac:dyDescent="0.25">
      <x:c r="A210"/>
      <x:c r="B210"/>
      <x:c r="C210"/>
      <x:c r="D210"/>
      <x:c r="E210" s="31"/>
      <x:c r="F210" s="8"/>
      <x:c r="G210" s="8"/>
      <x:c r="H210" s="6"/>
      <x:c r="I210" s="27"/>
      <x:c r="J210" s="6"/>
      <x:c r="K210" s="6"/>
      <x:c r="L210" s="6"/>
      <x:c r="M210" s="6"/>
      <x:c r="N210" s="6"/>
      <x:c r="O210" s="6"/>
      <x:c r="P210" s="6"/>
      <x:c r="Q210" s="6"/>
      <x:c r="R210"/>
      <x:c r="S210"/>
      <x:c r="T210"/>
    </x:row>
    <x:row r="211" spans="1:20" ht="15.75" x14ac:dyDescent="0.25">
      <x:c r="A211"/>
      <x:c r="B211"/>
      <x:c r="C211"/>
      <x:c r="D211"/>
      <x:c r="E211" s="31"/>
      <x:c r="F211" s="8"/>
      <x:c r="G211" s="8"/>
      <x:c r="H211" s="6"/>
      <x:c r="I211" s="27"/>
      <x:c r="J211" s="6"/>
      <x:c r="K211" s="6"/>
      <x:c r="L211" s="6"/>
      <x:c r="M211" s="6"/>
      <x:c r="N211" s="6"/>
      <x:c r="O211" s="6"/>
      <x:c r="P211" s="6"/>
      <x:c r="Q211" s="6"/>
      <x:c r="R211"/>
      <x:c r="S211"/>
      <x:c r="T211"/>
    </x:row>
    <x:row r="212" spans="1:20" ht="15.75" x14ac:dyDescent="0.25">
      <x:c r="A212"/>
      <x:c r="B212"/>
      <x:c r="C212"/>
      <x:c r="D212"/>
      <x:c r="E212" s="31"/>
      <x:c r="F212" s="8"/>
      <x:c r="G212" s="8"/>
      <x:c r="H212" s="6"/>
      <x:c r="I212" s="27"/>
      <x:c r="J212" s="6"/>
      <x:c r="K212" s="6"/>
      <x:c r="L212" s="6"/>
      <x:c r="M212" s="6"/>
      <x:c r="N212" s="6"/>
      <x:c r="O212" s="6"/>
      <x:c r="P212" s="6"/>
      <x:c r="Q212" s="6"/>
      <x:c r="R212"/>
      <x:c r="S212"/>
      <x:c r="T212"/>
    </x:row>
    <x:row r="213" spans="1:20" ht="15.75" x14ac:dyDescent="0.25">
      <x:c r="A213"/>
      <x:c r="B213"/>
      <x:c r="C213"/>
      <x:c r="D213"/>
      <x:c r="E213" s="31"/>
      <x:c r="F213" s="8"/>
      <x:c r="G213" s="8"/>
      <x:c r="H213" s="6"/>
      <x:c r="I213" s="27"/>
      <x:c r="J213" s="6"/>
      <x:c r="K213" s="6"/>
      <x:c r="L213" s="6"/>
      <x:c r="M213" s="6"/>
      <x:c r="N213" s="6"/>
      <x:c r="O213" s="6"/>
      <x:c r="P213" s="6"/>
      <x:c r="Q213" s="6"/>
      <x:c r="R213"/>
      <x:c r="S213"/>
      <x:c r="T213"/>
    </x:row>
    <x:row r="214" spans="1:20" ht="15.75" x14ac:dyDescent="0.25">
      <x:c r="A214"/>
      <x:c r="B214"/>
      <x:c r="C214"/>
      <x:c r="D214"/>
      <x:c r="E214" s="31"/>
      <x:c r="F214" s="8"/>
      <x:c r="G214" s="8"/>
      <x:c r="H214" s="6"/>
      <x:c r="I214" s="27"/>
      <x:c r="J214" s="6"/>
      <x:c r="K214" s="6"/>
      <x:c r="L214" s="6"/>
      <x:c r="M214" s="6"/>
      <x:c r="N214" s="6"/>
      <x:c r="O214" s="6"/>
      <x:c r="P214" s="6"/>
      <x:c r="Q214" s="6"/>
      <x:c r="R214"/>
      <x:c r="S214"/>
      <x:c r="T214"/>
    </x:row>
    <x:row r="215" spans="1:20" ht="15.75" x14ac:dyDescent="0.25">
      <x:c r="A215"/>
      <x:c r="B215"/>
      <x:c r="C215"/>
      <x:c r="D215"/>
      <x:c r="E215" s="31"/>
      <x:c r="F215" s="8"/>
      <x:c r="G215" s="8"/>
      <x:c r="H215" s="6"/>
      <x:c r="I215" s="27"/>
      <x:c r="J215" s="6"/>
      <x:c r="K215" s="6"/>
      <x:c r="L215" s="6"/>
      <x:c r="M215" s="6"/>
      <x:c r="N215" s="6"/>
      <x:c r="O215" s="6"/>
      <x:c r="P215" s="6"/>
      <x:c r="Q215" s="6"/>
      <x:c r="R215"/>
      <x:c r="S215"/>
      <x:c r="T215"/>
    </x:row>
    <x:row r="216" spans="1:20" ht="15.75" x14ac:dyDescent="0.25">
      <x:c r="A216"/>
      <x:c r="B216"/>
      <x:c r="C216"/>
      <x:c r="D216"/>
      <x:c r="E216" s="31"/>
      <x:c r="F216" s="8"/>
      <x:c r="G216" s="8"/>
      <x:c r="H216" s="6"/>
      <x:c r="I216" s="27"/>
      <x:c r="J216" s="6"/>
      <x:c r="K216" s="6"/>
      <x:c r="L216" s="6"/>
      <x:c r="M216" s="6"/>
      <x:c r="N216" s="6"/>
      <x:c r="O216" s="6"/>
      <x:c r="P216" s="6"/>
      <x:c r="Q216" s="6"/>
      <x:c r="R216"/>
      <x:c r="S216"/>
      <x:c r="T216"/>
    </x:row>
    <x:row r="217" spans="1:20" ht="15.75" x14ac:dyDescent="0.25">
      <x:c r="A217"/>
      <x:c r="B217"/>
      <x:c r="C217"/>
      <x:c r="D217"/>
      <x:c r="E217" s="31"/>
      <x:c r="F217" s="8"/>
      <x:c r="G217" s="8"/>
      <x:c r="H217" s="6"/>
      <x:c r="I217" s="27"/>
      <x:c r="J217" s="6"/>
      <x:c r="K217" s="6"/>
      <x:c r="L217" s="6"/>
      <x:c r="M217" s="6"/>
      <x:c r="N217" s="6"/>
      <x:c r="O217" s="6"/>
      <x:c r="P217" s="6"/>
      <x:c r="Q217" s="6"/>
      <x:c r="R217"/>
      <x:c r="S217"/>
      <x:c r="T217"/>
    </x:row>
    <x:row r="218" spans="1:20" ht="15.75" x14ac:dyDescent="0.25">
      <x:c r="A218"/>
      <x:c r="B218"/>
      <x:c r="C218"/>
      <x:c r="D218"/>
      <x:c r="E218" s="31"/>
      <x:c r="F218" s="8"/>
      <x:c r="G218" s="8"/>
      <x:c r="H218" s="6"/>
      <x:c r="I218" s="27"/>
      <x:c r="J218" s="6"/>
      <x:c r="K218" s="6"/>
      <x:c r="L218" s="6"/>
      <x:c r="M218" s="6"/>
      <x:c r="N218" s="6"/>
      <x:c r="O218" s="6"/>
      <x:c r="P218" s="6"/>
      <x:c r="Q218" s="6"/>
      <x:c r="R218"/>
      <x:c r="S218"/>
      <x:c r="T218"/>
    </x:row>
    <x:row r="219" spans="1:20" ht="15.75" x14ac:dyDescent="0.25">
      <x:c r="A219"/>
      <x:c r="B219"/>
      <x:c r="C219"/>
      <x:c r="D219"/>
      <x:c r="E219" s="31"/>
      <x:c r="F219" s="8"/>
      <x:c r="G219" s="8"/>
      <x:c r="H219" s="6"/>
      <x:c r="I219" s="27"/>
      <x:c r="J219" s="6"/>
      <x:c r="K219" s="6"/>
      <x:c r="L219" s="6"/>
      <x:c r="M219" s="6"/>
      <x:c r="N219" s="6"/>
      <x:c r="O219" s="6"/>
      <x:c r="P219" s="6"/>
      <x:c r="Q219" s="6"/>
      <x:c r="R219"/>
      <x:c r="S219"/>
      <x:c r="T219"/>
    </x:row>
    <x:row r="220" spans="1:20" ht="15.75" x14ac:dyDescent="0.25">
      <x:c r="A220"/>
      <x:c r="B220"/>
      <x:c r="C220"/>
      <x:c r="D220"/>
      <x:c r="E220" s="31"/>
      <x:c r="F220" s="8"/>
      <x:c r="G220" s="8"/>
      <x:c r="H220" s="6"/>
      <x:c r="I220" s="27"/>
      <x:c r="J220" s="6"/>
      <x:c r="K220" s="6"/>
      <x:c r="L220" s="6"/>
      <x:c r="M220" s="6"/>
      <x:c r="N220" s="6"/>
      <x:c r="O220" s="6"/>
      <x:c r="P220" s="6"/>
      <x:c r="Q220" s="6"/>
      <x:c r="R220"/>
      <x:c r="S220"/>
      <x:c r="T220"/>
    </x:row>
    <x:row r="221" spans="1:20" ht="15.75" x14ac:dyDescent="0.25">
      <x:c r="A221"/>
      <x:c r="B221"/>
      <x:c r="C221"/>
      <x:c r="D221"/>
      <x:c r="E221" s="31"/>
      <x:c r="F221" s="8"/>
      <x:c r="G221" s="8"/>
      <x:c r="H221" s="6"/>
      <x:c r="I221" s="27"/>
      <x:c r="J221" s="6"/>
      <x:c r="K221" s="6"/>
      <x:c r="L221" s="6"/>
      <x:c r="M221" s="6"/>
      <x:c r="N221" s="6"/>
      <x:c r="O221" s="6"/>
      <x:c r="P221" s="6"/>
      <x:c r="Q221" s="6"/>
      <x:c r="R221"/>
      <x:c r="S221"/>
      <x:c r="T221"/>
    </x:row>
    <x:row r="222" spans="1:20" ht="15.75" x14ac:dyDescent="0.25">
      <x:c r="A222"/>
      <x:c r="B222"/>
      <x:c r="C222"/>
      <x:c r="D222"/>
      <x:c r="E222" s="31"/>
      <x:c r="F222" s="8"/>
      <x:c r="G222" s="8"/>
      <x:c r="H222" s="6"/>
      <x:c r="I222" s="27"/>
      <x:c r="J222" s="6"/>
      <x:c r="K222" s="6"/>
      <x:c r="L222" s="6"/>
      <x:c r="M222" s="6"/>
      <x:c r="N222" s="6"/>
      <x:c r="O222" s="6"/>
      <x:c r="P222" s="6"/>
      <x:c r="Q222" s="6"/>
      <x:c r="R222"/>
      <x:c r="S222"/>
      <x:c r="T222"/>
    </x:row>
    <x:row r="223" spans="1:20" ht="15.75" x14ac:dyDescent="0.25">
      <x:c r="A223"/>
      <x:c r="B223"/>
      <x:c r="C223"/>
      <x:c r="D223"/>
      <x:c r="E223" s="31"/>
      <x:c r="F223" s="8"/>
      <x:c r="G223" s="8"/>
      <x:c r="H223" s="6"/>
      <x:c r="I223" s="27"/>
      <x:c r="J223" s="6"/>
      <x:c r="K223" s="6"/>
      <x:c r="L223" s="6"/>
      <x:c r="M223" s="6"/>
      <x:c r="N223" s="6"/>
      <x:c r="O223" s="6"/>
      <x:c r="P223" s="6"/>
      <x:c r="Q223" s="6"/>
      <x:c r="R223"/>
      <x:c r="S223"/>
      <x:c r="T223"/>
    </x:row>
    <x:row r="224" spans="1:20" ht="15.75" x14ac:dyDescent="0.25">
      <x:c r="A224"/>
      <x:c r="B224"/>
      <x:c r="C224"/>
      <x:c r="D224"/>
      <x:c r="E224" s="31"/>
      <x:c r="F224" s="8"/>
      <x:c r="G224" s="8"/>
      <x:c r="H224" s="6"/>
      <x:c r="I224" s="27"/>
      <x:c r="J224" s="6"/>
      <x:c r="K224" s="6"/>
      <x:c r="L224" s="6"/>
      <x:c r="M224" s="6"/>
      <x:c r="N224" s="6"/>
      <x:c r="O224" s="6"/>
      <x:c r="P224" s="6"/>
      <x:c r="Q224" s="6"/>
      <x:c r="R224"/>
      <x:c r="S224"/>
      <x:c r="T224"/>
    </x:row>
    <x:row r="225" spans="1:20" ht="15.75" x14ac:dyDescent="0.25">
      <x:c r="A225"/>
      <x:c r="B225"/>
      <x:c r="C225"/>
      <x:c r="D225"/>
      <x:c r="E225" s="31"/>
      <x:c r="F225" s="8"/>
      <x:c r="G225" s="8"/>
      <x:c r="H225" s="6"/>
      <x:c r="I225" s="27"/>
      <x:c r="J225" s="6"/>
      <x:c r="K225" s="6"/>
      <x:c r="L225" s="6"/>
      <x:c r="M225" s="6"/>
      <x:c r="N225" s="6"/>
      <x:c r="O225" s="6"/>
      <x:c r="P225" s="6"/>
      <x:c r="Q225" s="6"/>
      <x:c r="R225"/>
      <x:c r="S225"/>
      <x:c r="T225"/>
    </x:row>
    <x:row r="226" spans="1:20" ht="15.75" x14ac:dyDescent="0.25">
      <x:c r="A226"/>
      <x:c r="B226"/>
      <x:c r="C226"/>
      <x:c r="D226"/>
      <x:c r="E226" s="31"/>
      <x:c r="F226" s="8"/>
      <x:c r="G226" s="8"/>
      <x:c r="H226" s="6"/>
      <x:c r="I226" s="27"/>
      <x:c r="J226" s="6"/>
      <x:c r="K226" s="6"/>
      <x:c r="L226" s="6"/>
      <x:c r="M226" s="6"/>
      <x:c r="N226" s="6"/>
      <x:c r="O226" s="6"/>
      <x:c r="P226" s="6"/>
      <x:c r="Q226" s="6"/>
      <x:c r="R226"/>
      <x:c r="S226"/>
      <x:c r="T226"/>
    </x:row>
    <x:row r="227" spans="1:20" ht="15.75" x14ac:dyDescent="0.25">
      <x:c r="A227"/>
      <x:c r="B227"/>
      <x:c r="C227"/>
      <x:c r="D227"/>
      <x:c r="E227" s="31"/>
      <x:c r="F227" s="8"/>
      <x:c r="G227" s="8"/>
      <x:c r="H227" s="6"/>
      <x:c r="I227" s="27"/>
      <x:c r="J227" s="6"/>
      <x:c r="K227" s="6"/>
      <x:c r="L227" s="6"/>
      <x:c r="M227" s="6"/>
      <x:c r="N227" s="6"/>
      <x:c r="O227" s="6"/>
      <x:c r="P227" s="6"/>
      <x:c r="Q227" s="6"/>
      <x:c r="R227"/>
      <x:c r="S227"/>
      <x:c r="T227"/>
    </x:row>
    <x:row r="228" spans="1:20" ht="15.75" x14ac:dyDescent="0.25">
      <x:c r="A228"/>
      <x:c r="B228"/>
      <x:c r="C228"/>
      <x:c r="D228"/>
      <x:c r="E228" s="31"/>
      <x:c r="F228" s="8"/>
      <x:c r="G228" s="8"/>
      <x:c r="H228" s="6"/>
      <x:c r="I228" s="27"/>
      <x:c r="J228" s="6"/>
      <x:c r="K228" s="6"/>
      <x:c r="L228" s="6"/>
      <x:c r="M228" s="6"/>
      <x:c r="N228" s="6"/>
      <x:c r="O228" s="6"/>
      <x:c r="P228" s="6"/>
      <x:c r="Q228" s="6"/>
      <x:c r="R228"/>
      <x:c r="S228"/>
      <x:c r="T228"/>
    </x:row>
    <x:row r="229" spans="1:20" ht="15.75" x14ac:dyDescent="0.25">
      <x:c r="A229"/>
      <x:c r="B229"/>
      <x:c r="C229"/>
      <x:c r="D229"/>
      <x:c r="E229" s="31"/>
      <x:c r="F229" s="8"/>
      <x:c r="G229" s="8"/>
      <x:c r="H229" s="6"/>
      <x:c r="I229" s="27"/>
      <x:c r="J229" s="6"/>
      <x:c r="K229" s="6"/>
      <x:c r="L229" s="6"/>
      <x:c r="M229" s="6"/>
      <x:c r="N229" s="6"/>
      <x:c r="O229" s="6"/>
      <x:c r="P229" s="6"/>
      <x:c r="Q229" s="6"/>
      <x:c r="R229"/>
      <x:c r="S229"/>
      <x:c r="T229"/>
    </x:row>
    <x:row r="230" spans="1:20" ht="15.75" x14ac:dyDescent="0.25">
      <x:c r="A230"/>
      <x:c r="B230"/>
      <x:c r="C230"/>
      <x:c r="D230"/>
      <x:c r="E230" s="31"/>
      <x:c r="F230" s="8"/>
      <x:c r="G230" s="8"/>
      <x:c r="H230" s="6"/>
      <x:c r="I230" s="27"/>
      <x:c r="J230" s="6"/>
      <x:c r="K230" s="6"/>
      <x:c r="L230" s="6"/>
      <x:c r="M230" s="6"/>
      <x:c r="N230" s="6"/>
      <x:c r="O230" s="6"/>
      <x:c r="P230" s="6"/>
      <x:c r="Q230" s="6"/>
      <x:c r="R230"/>
      <x:c r="S230"/>
      <x:c r="T230"/>
    </x:row>
    <x:row r="231" spans="1:20" ht="15.75" x14ac:dyDescent="0.25">
      <x:c r="A231"/>
      <x:c r="B231"/>
      <x:c r="C231"/>
      <x:c r="D231"/>
      <x:c r="E231" s="31"/>
      <x:c r="F231" s="8"/>
      <x:c r="G231" s="8"/>
      <x:c r="H231" s="6"/>
      <x:c r="I231" s="27"/>
      <x:c r="J231" s="6"/>
      <x:c r="K231" s="6"/>
      <x:c r="L231" s="6"/>
      <x:c r="M231" s="6"/>
      <x:c r="N231" s="6"/>
      <x:c r="O231" s="6"/>
      <x:c r="P231" s="6"/>
      <x:c r="Q231" s="6"/>
      <x:c r="R231"/>
      <x:c r="S231"/>
      <x:c r="T231"/>
    </x:row>
    <x:row r="232" spans="1:20" ht="15.75" x14ac:dyDescent="0.25">
      <x:c r="A232"/>
      <x:c r="B232"/>
      <x:c r="C232"/>
      <x:c r="D232"/>
      <x:c r="E232" s="31"/>
      <x:c r="F232" s="8"/>
      <x:c r="G232" s="8"/>
      <x:c r="H232" s="6"/>
      <x:c r="I232" s="27"/>
      <x:c r="J232" s="6"/>
      <x:c r="K232" s="6"/>
      <x:c r="L232" s="6"/>
      <x:c r="M232" s="6"/>
      <x:c r="N232" s="6"/>
      <x:c r="O232" s="6"/>
      <x:c r="P232" s="6"/>
      <x:c r="Q232" s="6"/>
      <x:c r="R232"/>
      <x:c r="S232"/>
      <x:c r="T232"/>
    </x:row>
    <x:row r="233" spans="1:20" ht="15.75" x14ac:dyDescent="0.25">
      <x:c r="A233"/>
      <x:c r="B233"/>
      <x:c r="C233"/>
      <x:c r="D233"/>
      <x:c r="E233" s="31"/>
      <x:c r="F233" s="8"/>
      <x:c r="G233" s="8"/>
      <x:c r="H233" s="6"/>
      <x:c r="I233" s="27"/>
      <x:c r="J233" s="6"/>
      <x:c r="K233" s="6"/>
      <x:c r="L233" s="6"/>
      <x:c r="M233" s="6"/>
      <x:c r="N233" s="6"/>
      <x:c r="O233" s="6"/>
      <x:c r="P233" s="6"/>
      <x:c r="Q233" s="6"/>
      <x:c r="R233"/>
      <x:c r="S233"/>
      <x:c r="T233"/>
    </x:row>
    <x:row r="234" spans="1:20" ht="15.75" x14ac:dyDescent="0.25">
      <x:c r="A234"/>
      <x:c r="B234"/>
      <x:c r="C234"/>
      <x:c r="D234"/>
      <x:c r="E234" s="31"/>
      <x:c r="F234" s="8"/>
      <x:c r="G234" s="8"/>
      <x:c r="H234" s="6"/>
      <x:c r="I234" s="27"/>
      <x:c r="J234" s="6"/>
      <x:c r="K234" s="6"/>
      <x:c r="L234" s="6"/>
      <x:c r="M234" s="6"/>
      <x:c r="N234" s="6"/>
      <x:c r="O234" s="6"/>
      <x:c r="P234" s="6"/>
      <x:c r="Q234" s="6"/>
      <x:c r="R234"/>
      <x:c r="S234"/>
      <x:c r="T234"/>
    </x:row>
    <x:row r="235" spans="1:20" ht="15.75" x14ac:dyDescent="0.25">
      <x:c r="A235"/>
      <x:c r="B235"/>
      <x:c r="C235"/>
      <x:c r="D235"/>
      <x:c r="E235" s="31"/>
      <x:c r="F235" s="8"/>
      <x:c r="G235" s="8"/>
      <x:c r="H235" s="6"/>
      <x:c r="I235" s="27"/>
      <x:c r="J235" s="6"/>
      <x:c r="K235" s="6"/>
      <x:c r="L235" s="6"/>
      <x:c r="M235" s="6"/>
      <x:c r="N235" s="6"/>
      <x:c r="O235" s="6"/>
      <x:c r="P235" s="6"/>
      <x:c r="Q235" s="6"/>
      <x:c r="R235"/>
      <x:c r="S235"/>
      <x:c r="T235"/>
    </x:row>
    <x:row r="236" spans="1:20" ht="15.75" x14ac:dyDescent="0.25">
      <x:c r="A236"/>
      <x:c r="B236"/>
      <x:c r="C236"/>
      <x:c r="D236"/>
      <x:c r="E236" s="31"/>
      <x:c r="F236" s="8"/>
      <x:c r="G236" s="8"/>
      <x:c r="H236" s="6"/>
      <x:c r="I236" s="27"/>
      <x:c r="J236" s="6"/>
      <x:c r="K236" s="6"/>
      <x:c r="L236" s="6"/>
      <x:c r="M236" s="6"/>
      <x:c r="N236" s="6"/>
      <x:c r="O236" s="6"/>
      <x:c r="P236" s="6"/>
      <x:c r="Q236" s="6"/>
      <x:c r="R236"/>
      <x:c r="S236"/>
      <x:c r="T236"/>
    </x:row>
    <x:row r="237" spans="1:20" ht="15.75" x14ac:dyDescent="0.25">
      <x:c r="A237"/>
      <x:c r="B237"/>
      <x:c r="C237"/>
      <x:c r="D237"/>
      <x:c r="E237" s="31"/>
      <x:c r="F237" s="8"/>
      <x:c r="G237" s="8"/>
      <x:c r="H237" s="6"/>
      <x:c r="I237" s="27"/>
      <x:c r="J237" s="6"/>
      <x:c r="K237" s="6"/>
      <x:c r="L237" s="6"/>
      <x:c r="M237" s="6"/>
      <x:c r="N237" s="6"/>
      <x:c r="O237" s="6"/>
      <x:c r="P237" s="6"/>
      <x:c r="Q237" s="6"/>
      <x:c r="R237"/>
      <x:c r="S237"/>
      <x:c r="T237"/>
    </x:row>
    <x:row r="238" spans="1:20" ht="15.75" x14ac:dyDescent="0.25">
      <x:c r="A238"/>
      <x:c r="B238"/>
      <x:c r="C238"/>
      <x:c r="D238"/>
      <x:c r="E238" s="31"/>
      <x:c r="F238" s="8"/>
      <x:c r="G238" s="8"/>
      <x:c r="H238" s="6"/>
      <x:c r="I238" s="27"/>
      <x:c r="J238" s="6"/>
      <x:c r="K238" s="6"/>
      <x:c r="L238" s="6"/>
      <x:c r="M238" s="6"/>
      <x:c r="N238" s="6"/>
      <x:c r="O238" s="6"/>
      <x:c r="P238" s="6"/>
      <x:c r="Q238" s="6"/>
      <x:c r="R238"/>
      <x:c r="S238"/>
      <x:c r="T238"/>
    </x:row>
    <x:row r="239" spans="1:20" ht="15.75" x14ac:dyDescent="0.25">
      <x:c r="A239"/>
      <x:c r="B239"/>
      <x:c r="C239"/>
      <x:c r="D239"/>
      <x:c r="E239" s="31"/>
      <x:c r="F239" s="8"/>
      <x:c r="G239" s="8"/>
      <x:c r="H239" s="6"/>
      <x:c r="I239" s="27"/>
      <x:c r="J239" s="6"/>
      <x:c r="K239" s="6"/>
      <x:c r="L239" s="6"/>
      <x:c r="M239" s="6"/>
      <x:c r="N239" s="6"/>
      <x:c r="O239" s="6"/>
      <x:c r="P239" s="6"/>
      <x:c r="Q239" s="6"/>
      <x:c r="R239"/>
      <x:c r="S239"/>
      <x:c r="T239"/>
    </x:row>
    <x:row r="240" spans="1:20" ht="15.75" x14ac:dyDescent="0.25">
      <x:c r="A240"/>
      <x:c r="B240"/>
      <x:c r="C240"/>
      <x:c r="D240"/>
      <x:c r="E240" s="31"/>
      <x:c r="F240" s="8"/>
      <x:c r="G240" s="8"/>
      <x:c r="H240" s="6"/>
      <x:c r="I240" s="27"/>
      <x:c r="J240" s="6"/>
      <x:c r="K240" s="6"/>
      <x:c r="L240" s="6"/>
      <x:c r="M240" s="6"/>
      <x:c r="N240" s="6"/>
      <x:c r="O240" s="6"/>
      <x:c r="P240" s="6"/>
      <x:c r="Q240" s="6"/>
      <x:c r="R240"/>
      <x:c r="S240"/>
      <x:c r="T240"/>
    </x:row>
    <x:row r="241" spans="1:20" ht="15.75" x14ac:dyDescent="0.25">
      <x:c r="A241"/>
      <x:c r="B241"/>
      <x:c r="C241"/>
      <x:c r="D241"/>
      <x:c r="E241" s="31"/>
      <x:c r="F241" s="8"/>
      <x:c r="G241" s="8"/>
      <x:c r="H241" s="6"/>
      <x:c r="I241" s="27"/>
      <x:c r="J241" s="6"/>
      <x:c r="K241" s="6"/>
      <x:c r="L241" s="6"/>
      <x:c r="M241" s="6"/>
      <x:c r="N241" s="6"/>
      <x:c r="O241" s="6"/>
      <x:c r="P241" s="6"/>
      <x:c r="Q241" s="6"/>
      <x:c r="R241"/>
      <x:c r="S241"/>
      <x:c r="T241"/>
    </x:row>
    <x:row r="242" spans="1:20" ht="15.75" x14ac:dyDescent="0.25">
      <x:c r="A242"/>
      <x:c r="B242"/>
      <x:c r="C242"/>
      <x:c r="D242"/>
      <x:c r="E242" s="31"/>
      <x:c r="F242" s="8"/>
      <x:c r="G242" s="8"/>
      <x:c r="H242" s="6"/>
      <x:c r="I242" s="27"/>
      <x:c r="J242" s="6"/>
      <x:c r="K242" s="6"/>
      <x:c r="L242" s="6"/>
      <x:c r="M242" s="6"/>
      <x:c r="N242" s="6"/>
      <x:c r="O242" s="6"/>
      <x:c r="P242" s="6"/>
      <x:c r="Q242" s="6"/>
      <x:c r="R242"/>
      <x:c r="S242"/>
      <x:c r="T242"/>
    </x:row>
    <x:row r="243" spans="1:20" ht="15.75" x14ac:dyDescent="0.25">
      <x:c r="A243"/>
      <x:c r="B243"/>
      <x:c r="C243"/>
      <x:c r="D243"/>
      <x:c r="E243" s="31"/>
      <x:c r="F243" s="8"/>
      <x:c r="G243" s="8"/>
      <x:c r="H243" s="6"/>
      <x:c r="I243" s="27"/>
      <x:c r="J243" s="6"/>
      <x:c r="K243" s="6"/>
      <x:c r="L243" s="6"/>
      <x:c r="M243" s="6"/>
      <x:c r="N243" s="6"/>
      <x:c r="O243" s="6"/>
      <x:c r="P243" s="6"/>
      <x:c r="Q243" s="6"/>
      <x:c r="R243"/>
      <x:c r="S243"/>
      <x:c r="T243"/>
    </x:row>
    <x:row r="244" spans="1:20" ht="15.75" x14ac:dyDescent="0.25">
      <x:c r="A244"/>
      <x:c r="B244"/>
      <x:c r="C244"/>
      <x:c r="D244"/>
      <x:c r="E244" s="31"/>
      <x:c r="F244" s="8"/>
      <x:c r="G244" s="8"/>
      <x:c r="H244" s="6"/>
      <x:c r="I244" s="27"/>
      <x:c r="J244" s="6"/>
      <x:c r="K244" s="6"/>
      <x:c r="L244" s="6"/>
      <x:c r="M244" s="6"/>
      <x:c r="N244" s="6"/>
      <x:c r="O244" s="6"/>
      <x:c r="P244" s="6"/>
      <x:c r="Q244" s="6"/>
      <x:c r="R244"/>
      <x:c r="S244"/>
      <x:c r="T244"/>
    </x:row>
    <x:row r="245" spans="1:20" ht="15.75" x14ac:dyDescent="0.25">
      <x:c r="A245"/>
      <x:c r="B245"/>
      <x:c r="C245"/>
      <x:c r="D245"/>
      <x:c r="E245" s="31"/>
      <x:c r="F245" s="8"/>
      <x:c r="G245" s="8"/>
      <x:c r="H245" s="6"/>
      <x:c r="I245" s="27"/>
      <x:c r="J245" s="6"/>
      <x:c r="K245" s="6"/>
      <x:c r="L245" s="6"/>
      <x:c r="M245" s="6"/>
      <x:c r="N245" s="6"/>
      <x:c r="O245" s="6"/>
      <x:c r="P245" s="6"/>
      <x:c r="Q245" s="6"/>
      <x:c r="R245"/>
      <x:c r="S245"/>
      <x:c r="T245"/>
    </x:row>
    <x:row r="246" spans="1:20" ht="15.75" x14ac:dyDescent="0.25">
      <x:c r="A246"/>
      <x:c r="B246"/>
      <x:c r="C246"/>
      <x:c r="D246"/>
      <x:c r="E246" s="31"/>
      <x:c r="F246" s="8"/>
      <x:c r="G246" s="8"/>
      <x:c r="H246" s="6"/>
      <x:c r="I246" s="27"/>
      <x:c r="J246" s="6"/>
      <x:c r="K246" s="6"/>
      <x:c r="L246" s="6"/>
      <x:c r="M246" s="6"/>
      <x:c r="N246" s="6"/>
      <x:c r="O246" s="6"/>
      <x:c r="P246" s="6"/>
      <x:c r="Q246" s="6"/>
      <x:c r="R246"/>
      <x:c r="S246"/>
      <x:c r="T246"/>
    </x:row>
    <x:row r="247" spans="1:20" ht="15.75" x14ac:dyDescent="0.25">
      <x:c r="A247"/>
      <x:c r="B247"/>
      <x:c r="C247"/>
      <x:c r="D247"/>
      <x:c r="E247" s="31"/>
      <x:c r="F247" s="8"/>
      <x:c r="G247" s="8"/>
      <x:c r="H247" s="6"/>
      <x:c r="I247" s="27"/>
      <x:c r="J247" s="6"/>
      <x:c r="K247" s="6"/>
      <x:c r="L247" s="6"/>
      <x:c r="M247" s="6"/>
      <x:c r="N247" s="6"/>
      <x:c r="O247" s="6"/>
      <x:c r="P247" s="6"/>
      <x:c r="Q247" s="6"/>
      <x:c r="R247"/>
      <x:c r="S247"/>
      <x:c r="T247"/>
    </x:row>
    <x:row r="248" spans="1:20" ht="15.75" x14ac:dyDescent="0.25">
      <x:c r="A248"/>
      <x:c r="B248"/>
      <x:c r="C248"/>
      <x:c r="D248"/>
      <x:c r="E248" s="31"/>
      <x:c r="F248" s="8"/>
      <x:c r="G248" s="8"/>
      <x:c r="H248" s="6"/>
      <x:c r="I248" s="27"/>
      <x:c r="J248" s="6"/>
      <x:c r="K248" s="6"/>
      <x:c r="L248" s="6"/>
      <x:c r="M248" s="6"/>
      <x:c r="N248" s="6"/>
      <x:c r="O248" s="6"/>
      <x:c r="P248" s="6"/>
      <x:c r="Q248" s="6"/>
      <x:c r="R248"/>
      <x:c r="S248"/>
      <x:c r="T248"/>
    </x:row>
    <x:row r="249" spans="1:20" ht="15.75" x14ac:dyDescent="0.25">
      <x:c r="A249"/>
      <x:c r="B249"/>
      <x:c r="C249"/>
      <x:c r="D249"/>
      <x:c r="E249" s="31"/>
      <x:c r="F249" s="8"/>
      <x:c r="G249" s="8"/>
      <x:c r="H249" s="6"/>
      <x:c r="I249" s="27"/>
      <x:c r="J249" s="6"/>
      <x:c r="K249" s="6"/>
      <x:c r="L249" s="6"/>
      <x:c r="M249" s="6"/>
      <x:c r="N249" s="6"/>
      <x:c r="O249" s="6"/>
      <x:c r="P249" s="6"/>
      <x:c r="Q249" s="6"/>
      <x:c r="R249"/>
      <x:c r="S249"/>
      <x:c r="T249"/>
    </x:row>
    <x:row r="250" spans="1:20" ht="15.75" x14ac:dyDescent="0.25">
      <x:c r="A250"/>
      <x:c r="B250"/>
      <x:c r="C250"/>
      <x:c r="D250"/>
      <x:c r="E250" s="31"/>
      <x:c r="F250" s="8"/>
      <x:c r="G250" s="8"/>
      <x:c r="H250" s="6"/>
      <x:c r="I250" s="27"/>
      <x:c r="J250" s="6"/>
      <x:c r="K250" s="6"/>
      <x:c r="L250" s="6"/>
      <x:c r="M250" s="6"/>
      <x:c r="N250" s="6"/>
      <x:c r="O250" s="6"/>
      <x:c r="P250" s="6"/>
      <x:c r="Q250" s="6"/>
      <x:c r="R250"/>
      <x:c r="S250"/>
      <x:c r="T250"/>
    </x:row>
    <x:row r="251" spans="1:20" ht="15.75" x14ac:dyDescent="0.25">
      <x:c r="A251"/>
      <x:c r="B251"/>
      <x:c r="C251"/>
      <x:c r="D251"/>
      <x:c r="E251" s="31"/>
      <x:c r="F251" s="8"/>
      <x:c r="G251" s="8"/>
      <x:c r="H251" s="6"/>
      <x:c r="I251" s="27"/>
      <x:c r="J251" s="6"/>
      <x:c r="K251" s="6"/>
      <x:c r="L251" s="6"/>
      <x:c r="M251" s="6"/>
      <x:c r="N251" s="6"/>
      <x:c r="O251" s="6"/>
      <x:c r="P251" s="6"/>
      <x:c r="Q251" s="6"/>
      <x:c r="R251"/>
      <x:c r="S251"/>
      <x:c r="T251"/>
    </x:row>
    <x:row r="252" spans="1:20" ht="15.75" x14ac:dyDescent="0.25">
      <x:c r="A252"/>
      <x:c r="B252"/>
      <x:c r="C252"/>
      <x:c r="D252"/>
      <x:c r="E252" s="31"/>
      <x:c r="F252" s="8"/>
      <x:c r="G252" s="8"/>
      <x:c r="H252" s="6"/>
      <x:c r="I252" s="27"/>
      <x:c r="J252" s="6"/>
      <x:c r="K252" s="6"/>
      <x:c r="L252" s="6"/>
      <x:c r="M252" s="6"/>
      <x:c r="N252" s="6"/>
      <x:c r="O252" s="6"/>
      <x:c r="P252" s="6"/>
      <x:c r="Q252" s="6"/>
      <x:c r="R252"/>
      <x:c r="S252"/>
      <x:c r="T252"/>
    </x:row>
    <x:row r="253" spans="1:20" ht="15.75" x14ac:dyDescent="0.25">
      <x:c r="A253"/>
      <x:c r="B253"/>
      <x:c r="C253"/>
      <x:c r="D253"/>
      <x:c r="E253" s="31"/>
      <x:c r="F253" s="8"/>
      <x:c r="G253" s="8"/>
      <x:c r="H253" s="6"/>
      <x:c r="I253" s="27"/>
      <x:c r="J253" s="6"/>
      <x:c r="K253" s="6"/>
      <x:c r="L253" s="6"/>
      <x:c r="M253" s="6"/>
      <x:c r="N253" s="6"/>
      <x:c r="O253" s="6"/>
      <x:c r="P253" s="6"/>
      <x:c r="Q253" s="6"/>
      <x:c r="R253"/>
      <x:c r="S253"/>
      <x:c r="T253"/>
    </x:row>
    <x:row r="254" spans="1:20" ht="15.75" x14ac:dyDescent="0.25">
      <x:c r="A254"/>
      <x:c r="B254"/>
      <x:c r="C254"/>
      <x:c r="D254"/>
      <x:c r="E254" s="31"/>
      <x:c r="F254" s="8"/>
      <x:c r="G254" s="8"/>
      <x:c r="H254" s="6"/>
      <x:c r="I254" s="27"/>
      <x:c r="J254" s="6"/>
      <x:c r="K254" s="6"/>
      <x:c r="L254" s="6"/>
      <x:c r="M254" s="6"/>
      <x:c r="N254" s="6"/>
      <x:c r="O254" s="6"/>
      <x:c r="P254" s="6"/>
      <x:c r="Q254" s="6"/>
      <x:c r="R254"/>
      <x:c r="S254"/>
      <x:c r="T254"/>
    </x:row>
    <x:row r="255" spans="1:20" ht="15.75" x14ac:dyDescent="0.25">
      <x:c r="A255"/>
      <x:c r="B255"/>
      <x:c r="C255"/>
      <x:c r="D255"/>
      <x:c r="E255" s="31"/>
      <x:c r="F255" s="8"/>
      <x:c r="G255" s="8"/>
      <x:c r="H255" s="6"/>
      <x:c r="I255" s="27"/>
      <x:c r="J255" s="6"/>
      <x:c r="K255" s="6"/>
      <x:c r="L255" s="6"/>
      <x:c r="M255" s="6"/>
      <x:c r="N255" s="6"/>
      <x:c r="O255" s="6"/>
      <x:c r="P255" s="6"/>
      <x:c r="Q255" s="6"/>
      <x:c r="R255"/>
      <x:c r="S255"/>
      <x:c r="T255"/>
    </x:row>
    <x:row r="256" spans="1:20" ht="15.75" x14ac:dyDescent="0.25">
      <x:c r="A256"/>
      <x:c r="B256"/>
      <x:c r="C256"/>
      <x:c r="D256"/>
      <x:c r="E256" s="31"/>
      <x:c r="F256" s="8"/>
      <x:c r="G256" s="8"/>
      <x:c r="H256" s="6"/>
      <x:c r="I256" s="27"/>
      <x:c r="J256" s="6"/>
      <x:c r="K256" s="6"/>
      <x:c r="L256" s="6"/>
      <x:c r="M256" s="6"/>
      <x:c r="N256" s="6"/>
      <x:c r="O256" s="6"/>
      <x:c r="P256" s="6"/>
      <x:c r="Q256" s="6"/>
      <x:c r="R256"/>
      <x:c r="S256"/>
      <x:c r="T256"/>
    </x:row>
    <x:row r="257" spans="1:20" ht="15.75" x14ac:dyDescent="0.25">
      <x:c r="A257"/>
      <x:c r="B257"/>
      <x:c r="C257"/>
      <x:c r="D257"/>
      <x:c r="E257" s="31"/>
      <x:c r="F257" s="8"/>
      <x:c r="G257" s="8"/>
      <x:c r="H257" s="6"/>
      <x:c r="I257" s="27"/>
      <x:c r="J257" s="6"/>
      <x:c r="K257" s="6"/>
      <x:c r="L257" s="6"/>
      <x:c r="M257" s="6"/>
      <x:c r="N257" s="6"/>
      <x:c r="O257" s="6"/>
      <x:c r="P257" s="6"/>
      <x:c r="Q257" s="6"/>
      <x:c r="R257"/>
      <x:c r="S257"/>
      <x:c r="T257"/>
    </x:row>
    <x:row r="258" spans="1:20" ht="15.75" x14ac:dyDescent="0.25">
      <x:c r="A258"/>
      <x:c r="B258"/>
      <x:c r="C258"/>
      <x:c r="D258"/>
      <x:c r="E258" s="31"/>
      <x:c r="F258" s="8"/>
      <x:c r="G258" s="8"/>
      <x:c r="H258" s="6"/>
      <x:c r="I258" s="27"/>
      <x:c r="J258" s="6"/>
      <x:c r="K258" s="6"/>
      <x:c r="L258" s="6"/>
      <x:c r="M258" s="6"/>
      <x:c r="N258" s="6"/>
      <x:c r="O258" s="6"/>
      <x:c r="P258" s="6"/>
      <x:c r="Q258" s="6"/>
      <x:c r="R258"/>
      <x:c r="S258"/>
      <x:c r="T258"/>
    </x:row>
    <x:row r="259" spans="1:20" ht="15.75" x14ac:dyDescent="0.25">
      <x:c r="A259"/>
      <x:c r="B259"/>
      <x:c r="C259"/>
      <x:c r="D259"/>
      <x:c r="E259" s="31"/>
      <x:c r="F259" s="8"/>
      <x:c r="G259" s="8"/>
      <x:c r="H259" s="6"/>
      <x:c r="I259" s="27"/>
      <x:c r="J259" s="6"/>
      <x:c r="K259" s="6"/>
      <x:c r="L259" s="6"/>
      <x:c r="M259" s="6"/>
      <x:c r="N259" s="6"/>
      <x:c r="O259" s="6"/>
      <x:c r="P259" s="6"/>
      <x:c r="Q259" s="6"/>
      <x:c r="R259"/>
      <x:c r="S259"/>
      <x:c r="T259"/>
    </x:row>
    <x:row r="260" spans="1:20" ht="15.75" x14ac:dyDescent="0.25">
      <x:c r="A260"/>
      <x:c r="B260"/>
      <x:c r="C260"/>
      <x:c r="D260"/>
      <x:c r="E260" s="31"/>
      <x:c r="F260" s="8"/>
      <x:c r="G260" s="8"/>
      <x:c r="H260" s="6"/>
      <x:c r="I260" s="27"/>
      <x:c r="J260" s="6"/>
      <x:c r="K260" s="6"/>
      <x:c r="L260" s="6"/>
      <x:c r="M260" s="6"/>
      <x:c r="N260" s="6"/>
      <x:c r="O260" s="6"/>
      <x:c r="P260" s="6"/>
      <x:c r="Q260" s="6"/>
      <x:c r="R260"/>
      <x:c r="S260"/>
      <x:c r="T260"/>
    </x:row>
    <x:row r="261" spans="1:20" ht="15.75" x14ac:dyDescent="0.25">
      <x:c r="A261"/>
      <x:c r="B261"/>
      <x:c r="C261"/>
      <x:c r="D261"/>
      <x:c r="E261" s="31"/>
      <x:c r="F261" s="8"/>
      <x:c r="G261" s="8"/>
      <x:c r="H261" s="6"/>
      <x:c r="I261" s="27"/>
      <x:c r="J261" s="6"/>
      <x:c r="K261" s="6"/>
      <x:c r="L261" s="6"/>
      <x:c r="M261" s="6"/>
      <x:c r="N261" s="6"/>
      <x:c r="O261" s="6"/>
      <x:c r="P261" s="6"/>
      <x:c r="Q261" s="6"/>
      <x:c r="R261"/>
      <x:c r="S261"/>
      <x:c r="T261"/>
    </x:row>
    <x:row r="262" spans="1:20" ht="15.75" x14ac:dyDescent="0.25">
      <x:c r="A262"/>
      <x:c r="B262"/>
      <x:c r="C262"/>
      <x:c r="D262"/>
      <x:c r="E262" s="31"/>
      <x:c r="F262" s="8"/>
      <x:c r="G262" s="8"/>
      <x:c r="H262" s="6"/>
      <x:c r="I262" s="27"/>
      <x:c r="J262" s="6"/>
      <x:c r="K262" s="6"/>
      <x:c r="L262" s="6"/>
      <x:c r="M262" s="6"/>
      <x:c r="N262" s="6"/>
      <x:c r="O262" s="6"/>
      <x:c r="P262" s="6"/>
      <x:c r="Q262" s="6"/>
      <x:c r="R262"/>
      <x:c r="S262"/>
      <x:c r="T262"/>
    </x:row>
    <x:row r="263" spans="1:20" ht="15.75" x14ac:dyDescent="0.25">
      <x:c r="A263"/>
      <x:c r="B263"/>
      <x:c r="C263"/>
      <x:c r="D263"/>
      <x:c r="E263" s="31"/>
      <x:c r="F263" s="8"/>
      <x:c r="G263" s="8"/>
      <x:c r="H263" s="6"/>
      <x:c r="I263" s="27"/>
      <x:c r="J263" s="6"/>
      <x:c r="K263" s="6"/>
      <x:c r="L263" s="6"/>
      <x:c r="M263" s="6"/>
      <x:c r="N263" s="6"/>
      <x:c r="O263" s="6"/>
      <x:c r="P263" s="6"/>
      <x:c r="Q263" s="6"/>
      <x:c r="R263"/>
      <x:c r="S263"/>
      <x:c r="T263"/>
    </x:row>
    <x:row r="264" spans="1:20" ht="15.75" x14ac:dyDescent="0.25">
      <x:c r="A264"/>
      <x:c r="B264"/>
      <x:c r="C264"/>
      <x:c r="D264"/>
      <x:c r="E264" s="31"/>
      <x:c r="F264" s="8"/>
      <x:c r="G264" s="8"/>
      <x:c r="H264" s="6"/>
      <x:c r="I264" s="27"/>
      <x:c r="J264" s="6"/>
      <x:c r="K264" s="6"/>
      <x:c r="L264" s="6"/>
      <x:c r="M264" s="6"/>
      <x:c r="N264" s="6"/>
      <x:c r="O264" s="6"/>
      <x:c r="P264" s="6"/>
      <x:c r="Q264" s="6"/>
      <x:c r="R264"/>
      <x:c r="S264"/>
      <x:c r="T264"/>
    </x:row>
    <x:row r="265" spans="1:20" ht="15.75" x14ac:dyDescent="0.25">
      <x:c r="A265"/>
      <x:c r="B265"/>
      <x:c r="C265"/>
      <x:c r="D265"/>
      <x:c r="E265" s="31"/>
      <x:c r="F265" s="8"/>
      <x:c r="G265" s="8"/>
      <x:c r="H265" s="6"/>
      <x:c r="I265" s="27"/>
      <x:c r="J265" s="6"/>
      <x:c r="K265" s="6"/>
      <x:c r="L265" s="6"/>
      <x:c r="M265" s="6"/>
      <x:c r="N265" s="6"/>
      <x:c r="O265" s="6"/>
      <x:c r="P265" s="6"/>
      <x:c r="Q265" s="6"/>
      <x:c r="R265"/>
      <x:c r="S265"/>
      <x:c r="T265"/>
    </x:row>
    <x:row r="266" spans="1:20" ht="15.75" x14ac:dyDescent="0.25">
      <x:c r="A266"/>
      <x:c r="B266"/>
      <x:c r="C266"/>
      <x:c r="D266"/>
      <x:c r="E266" s="31"/>
      <x:c r="F266" s="8"/>
      <x:c r="G266" s="8"/>
      <x:c r="H266" s="6"/>
      <x:c r="I266" s="27"/>
      <x:c r="J266" s="6"/>
      <x:c r="K266" s="6"/>
      <x:c r="L266" s="6"/>
      <x:c r="M266" s="6"/>
      <x:c r="N266" s="6"/>
      <x:c r="O266" s="6"/>
      <x:c r="P266" s="6"/>
      <x:c r="Q266" s="6"/>
      <x:c r="R266"/>
      <x:c r="S266"/>
      <x:c r="T266"/>
    </x:row>
    <x:row r="267" spans="1:20" ht="15.75" x14ac:dyDescent="0.25">
      <x:c r="A267"/>
      <x:c r="B267"/>
      <x:c r="C267"/>
      <x:c r="D267"/>
      <x:c r="E267" s="31"/>
      <x:c r="F267" s="8"/>
      <x:c r="G267" s="8"/>
      <x:c r="H267" s="6"/>
      <x:c r="I267" s="27"/>
      <x:c r="J267" s="6"/>
      <x:c r="K267" s="6"/>
      <x:c r="L267" s="6"/>
      <x:c r="M267" s="6"/>
      <x:c r="N267" s="6"/>
      <x:c r="O267" s="6"/>
      <x:c r="P267" s="6"/>
      <x:c r="Q267" s="6"/>
      <x:c r="R267"/>
      <x:c r="S267"/>
      <x:c r="T267"/>
    </x:row>
    <x:row r="268" spans="1:20" ht="15.75" x14ac:dyDescent="0.25">
      <x:c r="A268"/>
      <x:c r="B268"/>
      <x:c r="C268"/>
      <x:c r="D268"/>
      <x:c r="E268" s="31"/>
      <x:c r="F268" s="8"/>
      <x:c r="G268" s="8"/>
      <x:c r="H268" s="6"/>
      <x:c r="I268" s="27"/>
      <x:c r="J268" s="6"/>
      <x:c r="K268" s="6"/>
      <x:c r="L268" s="6"/>
      <x:c r="M268" s="6"/>
      <x:c r="N268" s="6"/>
      <x:c r="O268" s="6"/>
      <x:c r="P268" s="6"/>
      <x:c r="Q268" s="6"/>
      <x:c r="R268"/>
      <x:c r="S268"/>
      <x:c r="T268"/>
    </x:row>
    <x:row r="269" spans="1:20" ht="15.75" x14ac:dyDescent="0.25">
      <x:c r="A269"/>
      <x:c r="B269"/>
      <x:c r="C269"/>
      <x:c r="D269"/>
      <x:c r="E269" s="31"/>
      <x:c r="F269" s="8"/>
      <x:c r="G269" s="8"/>
      <x:c r="H269" s="6"/>
      <x:c r="I269" s="27"/>
      <x:c r="J269" s="6"/>
      <x:c r="K269" s="6"/>
      <x:c r="L269" s="6"/>
      <x:c r="M269" s="6"/>
      <x:c r="N269" s="6"/>
      <x:c r="O269" s="6"/>
      <x:c r="P269" s="6"/>
      <x:c r="Q269" s="6"/>
      <x:c r="R269"/>
      <x:c r="S269"/>
      <x:c r="T269"/>
    </x:row>
    <x:row r="270" spans="1:20" ht="15.75" x14ac:dyDescent="0.25">
      <x:c r="A270"/>
      <x:c r="B270"/>
      <x:c r="C270"/>
      <x:c r="D270"/>
      <x:c r="E270" s="31"/>
      <x:c r="F270" s="8"/>
      <x:c r="G270" s="8"/>
      <x:c r="H270" s="6"/>
      <x:c r="I270" s="27"/>
      <x:c r="J270" s="6"/>
      <x:c r="K270" s="6"/>
      <x:c r="L270" s="6"/>
      <x:c r="M270" s="6"/>
      <x:c r="N270" s="6"/>
      <x:c r="O270" s="6"/>
      <x:c r="P270" s="6"/>
      <x:c r="Q270" s="6"/>
      <x:c r="R270"/>
      <x:c r="S270"/>
      <x:c r="T270"/>
    </x:row>
    <x:row r="271" spans="1:20" ht="15.75" x14ac:dyDescent="0.25">
      <x:c r="A271"/>
      <x:c r="B271"/>
      <x:c r="C271"/>
      <x:c r="D271"/>
      <x:c r="E271" s="31"/>
      <x:c r="F271" s="8"/>
      <x:c r="G271" s="8"/>
      <x:c r="H271" s="6"/>
      <x:c r="I271" s="27"/>
      <x:c r="J271" s="6"/>
      <x:c r="K271" s="6"/>
      <x:c r="L271" s="6"/>
      <x:c r="M271" s="6"/>
      <x:c r="N271" s="6"/>
      <x:c r="O271" s="6"/>
      <x:c r="P271" s="6"/>
      <x:c r="Q271" s="6"/>
      <x:c r="R271"/>
      <x:c r="S271"/>
      <x:c r="T271"/>
    </x:row>
    <x:row r="272" spans="1:20" ht="15.75" x14ac:dyDescent="0.25">
      <x:c r="A272"/>
      <x:c r="B272"/>
      <x:c r="C272"/>
      <x:c r="D272"/>
      <x:c r="E272" s="31"/>
      <x:c r="F272" s="8"/>
      <x:c r="G272" s="8"/>
      <x:c r="H272" s="6"/>
      <x:c r="I272" s="27"/>
      <x:c r="J272" s="6"/>
      <x:c r="K272" s="6"/>
      <x:c r="L272" s="6"/>
      <x:c r="M272" s="6"/>
      <x:c r="N272" s="6"/>
      <x:c r="O272" s="6"/>
      <x:c r="P272" s="6"/>
      <x:c r="Q272" s="6"/>
      <x:c r="R272"/>
      <x:c r="S272"/>
      <x:c r="T272"/>
    </x:row>
    <x:row r="273" spans="1:20" ht="15.75" x14ac:dyDescent="0.25">
      <x:c r="A273"/>
      <x:c r="B273"/>
      <x:c r="C273"/>
      <x:c r="D273"/>
      <x:c r="E273" s="31"/>
      <x:c r="F273" s="8"/>
      <x:c r="G273" s="8"/>
      <x:c r="H273" s="6"/>
      <x:c r="I273" s="27"/>
      <x:c r="J273" s="6"/>
      <x:c r="K273" s="6"/>
      <x:c r="L273" s="6"/>
      <x:c r="M273" s="6"/>
      <x:c r="N273" s="6"/>
      <x:c r="O273" s="6"/>
      <x:c r="P273" s="6"/>
      <x:c r="Q273" s="6"/>
      <x:c r="R273"/>
      <x:c r="S273"/>
      <x:c r="T273"/>
    </x:row>
    <x:row r="274" spans="1:20" ht="15.75" x14ac:dyDescent="0.25">
      <x:c r="A274"/>
      <x:c r="B274"/>
      <x:c r="C274"/>
      <x:c r="D274"/>
      <x:c r="E274" s="31"/>
      <x:c r="F274" s="8"/>
      <x:c r="G274" s="8"/>
      <x:c r="H274" s="6"/>
      <x:c r="I274" s="27"/>
      <x:c r="J274" s="6"/>
      <x:c r="K274" s="6"/>
      <x:c r="L274" s="6"/>
      <x:c r="M274" s="6"/>
      <x:c r="N274" s="6"/>
      <x:c r="O274" s="6"/>
      <x:c r="P274" s="6"/>
      <x:c r="Q274" s="6"/>
      <x:c r="R274"/>
      <x:c r="S274"/>
      <x:c r="T274"/>
    </x:row>
    <x:row r="275" spans="1:20" ht="15.75" x14ac:dyDescent="0.25">
      <x:c r="A275"/>
      <x:c r="B275"/>
      <x:c r="C275"/>
      <x:c r="D275"/>
      <x:c r="E275" s="31"/>
      <x:c r="F275" s="8"/>
      <x:c r="G275" s="8"/>
      <x:c r="H275" s="6"/>
      <x:c r="I275" s="27"/>
      <x:c r="J275" s="6"/>
      <x:c r="K275" s="6"/>
      <x:c r="L275" s="6"/>
      <x:c r="M275" s="6"/>
      <x:c r="N275" s="6"/>
      <x:c r="O275" s="6"/>
      <x:c r="P275" s="6"/>
      <x:c r="Q275" s="6"/>
      <x:c r="R275"/>
      <x:c r="S275"/>
      <x:c r="T275"/>
    </x:row>
    <x:row r="276" spans="1:20" ht="15.75" x14ac:dyDescent="0.25">
      <x:c r="A276"/>
      <x:c r="B276"/>
      <x:c r="C276"/>
      <x:c r="D276"/>
      <x:c r="E276" s="31"/>
      <x:c r="F276" s="8"/>
      <x:c r="G276" s="8"/>
      <x:c r="H276" s="6"/>
      <x:c r="I276" s="27"/>
      <x:c r="J276" s="6"/>
      <x:c r="K276" s="6"/>
      <x:c r="L276" s="6"/>
      <x:c r="M276" s="6"/>
      <x:c r="N276" s="6"/>
      <x:c r="O276" s="6"/>
      <x:c r="P276" s="6"/>
      <x:c r="Q276" s="6"/>
      <x:c r="R276"/>
      <x:c r="S276"/>
      <x:c r="T276"/>
    </x:row>
    <x:row r="277" spans="1:20" ht="15.75" x14ac:dyDescent="0.25">
      <x:c r="A277"/>
      <x:c r="B277"/>
      <x:c r="C277"/>
      <x:c r="D277"/>
      <x:c r="E277" s="31"/>
      <x:c r="F277" s="8"/>
      <x:c r="G277" s="8"/>
      <x:c r="H277" s="6"/>
      <x:c r="I277" s="27"/>
      <x:c r="J277" s="6"/>
      <x:c r="K277" s="6"/>
      <x:c r="L277" s="6"/>
      <x:c r="M277" s="6"/>
      <x:c r="N277" s="6"/>
      <x:c r="O277" s="6"/>
      <x:c r="P277" s="6"/>
      <x:c r="Q277" s="6"/>
      <x:c r="R277"/>
      <x:c r="S277"/>
      <x:c r="T277"/>
    </x:row>
    <x:row r="278" spans="1:20" ht="15.75" x14ac:dyDescent="0.25">
      <x:c r="A278"/>
      <x:c r="B278"/>
      <x:c r="C278"/>
      <x:c r="D278"/>
      <x:c r="E278" s="31"/>
      <x:c r="F278" s="8"/>
      <x:c r="G278" s="8"/>
      <x:c r="H278" s="6"/>
      <x:c r="I278" s="27"/>
      <x:c r="J278" s="6"/>
      <x:c r="K278" s="6"/>
      <x:c r="L278" s="6"/>
      <x:c r="M278" s="6"/>
      <x:c r="N278" s="6"/>
      <x:c r="O278" s="6"/>
      <x:c r="P278" s="6"/>
      <x:c r="Q278" s="6"/>
      <x:c r="R278"/>
      <x:c r="S278"/>
      <x:c r="T278"/>
    </x:row>
    <x:row r="279" spans="1:20" ht="15.75" x14ac:dyDescent="0.25">
      <x:c r="A279"/>
      <x:c r="B279"/>
      <x:c r="C279"/>
      <x:c r="D279"/>
      <x:c r="E279" s="31"/>
      <x:c r="F279" s="8"/>
      <x:c r="G279" s="8"/>
      <x:c r="H279" s="6"/>
      <x:c r="I279" s="27"/>
      <x:c r="J279" s="6"/>
      <x:c r="K279" s="6"/>
      <x:c r="L279" s="6"/>
      <x:c r="M279" s="6"/>
      <x:c r="N279" s="6"/>
      <x:c r="O279" s="6"/>
      <x:c r="P279" s="6"/>
      <x:c r="Q279" s="6"/>
      <x:c r="R279"/>
      <x:c r="S279"/>
      <x:c r="T279"/>
    </x:row>
    <x:row r="280" spans="1:20" ht="15.75" x14ac:dyDescent="0.25">
      <x:c r="A280"/>
      <x:c r="B280"/>
      <x:c r="C280"/>
      <x:c r="D280"/>
      <x:c r="E280" s="31"/>
      <x:c r="F280" s="8"/>
      <x:c r="G280" s="8"/>
      <x:c r="H280" s="6"/>
      <x:c r="I280" s="27"/>
      <x:c r="J280" s="6"/>
      <x:c r="K280" s="6"/>
      <x:c r="L280" s="6"/>
      <x:c r="M280" s="6"/>
      <x:c r="N280" s="6"/>
      <x:c r="O280" s="6"/>
      <x:c r="P280" s="6"/>
      <x:c r="Q280" s="6"/>
      <x:c r="R280"/>
      <x:c r="S280"/>
      <x:c r="T280"/>
    </x:row>
    <x:row r="281" spans="1:20" ht="15.75" x14ac:dyDescent="0.25">
      <x:c r="A281"/>
      <x:c r="B281"/>
      <x:c r="C281"/>
      <x:c r="D281"/>
      <x:c r="E281" s="31"/>
      <x:c r="F281" s="8"/>
      <x:c r="G281" s="8"/>
      <x:c r="H281" s="6"/>
      <x:c r="I281" s="27"/>
      <x:c r="J281" s="6"/>
      <x:c r="K281" s="6"/>
      <x:c r="L281" s="6"/>
      <x:c r="M281" s="6"/>
      <x:c r="N281" s="6"/>
      <x:c r="O281" s="6"/>
      <x:c r="P281" s="6"/>
      <x:c r="Q281" s="6"/>
      <x:c r="R281"/>
      <x:c r="S281"/>
      <x:c r="T281"/>
    </x:row>
    <x:row r="282" spans="1:20" ht="15.75" x14ac:dyDescent="0.25">
      <x:c r="A282"/>
      <x:c r="B282"/>
      <x:c r="C282"/>
      <x:c r="D282"/>
      <x:c r="E282" s="31"/>
      <x:c r="F282" s="8"/>
      <x:c r="G282" s="8"/>
      <x:c r="H282" s="6"/>
      <x:c r="I282" s="27"/>
      <x:c r="J282" s="6"/>
      <x:c r="K282" s="6"/>
      <x:c r="L282" s="6"/>
      <x:c r="M282" s="6"/>
      <x:c r="N282" s="6"/>
      <x:c r="O282" s="6"/>
      <x:c r="P282" s="6"/>
      <x:c r="Q282" s="6"/>
      <x:c r="R282"/>
      <x:c r="S282"/>
      <x:c r="T282"/>
    </x:row>
    <x:row r="283" spans="1:20" ht="15.75" x14ac:dyDescent="0.25">
      <x:c r="A283"/>
      <x:c r="B283"/>
      <x:c r="C283"/>
      <x:c r="D283"/>
      <x:c r="E283" s="31"/>
      <x:c r="F283" s="8"/>
      <x:c r="G283" s="8"/>
      <x:c r="H283" s="6"/>
      <x:c r="I283" s="27"/>
      <x:c r="J283" s="6"/>
      <x:c r="K283" s="6"/>
      <x:c r="L283" s="6"/>
      <x:c r="M283" s="6"/>
      <x:c r="N283" s="6"/>
      <x:c r="O283" s="6"/>
      <x:c r="P283" s="6"/>
      <x:c r="Q283" s="6"/>
      <x:c r="R283"/>
      <x:c r="S283"/>
      <x:c r="T283"/>
    </x:row>
    <x:row r="284" spans="1:20" ht="15.75" x14ac:dyDescent="0.25">
      <x:c r="A284"/>
      <x:c r="B284"/>
      <x:c r="C284"/>
      <x:c r="D284"/>
      <x:c r="E284" s="31"/>
      <x:c r="F284" s="8"/>
      <x:c r="G284" s="8"/>
      <x:c r="H284" s="6"/>
      <x:c r="I284" s="27"/>
      <x:c r="J284" s="6"/>
      <x:c r="K284" s="6"/>
      <x:c r="L284" s="6"/>
      <x:c r="M284" s="6"/>
      <x:c r="N284" s="6"/>
      <x:c r="O284" s="6"/>
      <x:c r="P284" s="6"/>
      <x:c r="Q284" s="6"/>
      <x:c r="R284"/>
      <x:c r="S284"/>
      <x:c r="T284"/>
    </x:row>
    <x:row r="285" spans="1:20" ht="15.75" x14ac:dyDescent="0.25">
      <x:c r="A285"/>
      <x:c r="B285"/>
      <x:c r="C285"/>
      <x:c r="D285"/>
      <x:c r="E285" s="31"/>
      <x:c r="F285" s="8"/>
      <x:c r="G285" s="8"/>
      <x:c r="H285" s="6"/>
      <x:c r="I285" s="27"/>
      <x:c r="J285" s="6"/>
      <x:c r="K285" s="6"/>
      <x:c r="L285" s="6"/>
      <x:c r="M285" s="6"/>
      <x:c r="N285" s="6"/>
      <x:c r="O285" s="6"/>
      <x:c r="P285" s="6"/>
      <x:c r="Q285" s="6"/>
      <x:c r="R285"/>
      <x:c r="S285"/>
      <x:c r="T285"/>
    </x:row>
    <x:row r="286" spans="1:20" ht="15.75" x14ac:dyDescent="0.25">
      <x:c r="A286"/>
      <x:c r="B286"/>
      <x:c r="C286"/>
      <x:c r="D286"/>
      <x:c r="E286" s="31"/>
      <x:c r="F286" s="8"/>
      <x:c r="G286" s="8"/>
      <x:c r="H286" s="6"/>
      <x:c r="I286" s="27"/>
      <x:c r="J286" s="6"/>
      <x:c r="K286" s="6"/>
      <x:c r="L286" s="6"/>
      <x:c r="M286" s="6"/>
      <x:c r="N286" s="6"/>
      <x:c r="O286" s="6"/>
      <x:c r="P286" s="6"/>
      <x:c r="Q286" s="6"/>
      <x:c r="R286"/>
      <x:c r="S286"/>
      <x:c r="T286"/>
    </x:row>
    <x:row r="287" spans="1:20" ht="15.75" x14ac:dyDescent="0.25">
      <x:c r="A287"/>
      <x:c r="B287"/>
      <x:c r="C287"/>
      <x:c r="D287"/>
      <x:c r="E287" s="31"/>
      <x:c r="F287" s="8"/>
      <x:c r="G287" s="8"/>
      <x:c r="H287" s="6"/>
      <x:c r="I287" s="27"/>
      <x:c r="J287" s="6"/>
      <x:c r="K287" s="6"/>
      <x:c r="L287" s="6"/>
      <x:c r="M287" s="6"/>
      <x:c r="N287" s="6"/>
      <x:c r="O287" s="6"/>
      <x:c r="P287" s="6"/>
      <x:c r="Q287" s="6"/>
      <x:c r="R287"/>
      <x:c r="S287"/>
      <x:c r="T287"/>
    </x:row>
    <x:row r="288" spans="1:20" ht="15.75" x14ac:dyDescent="0.25">
      <x:c r="A288"/>
      <x:c r="B288"/>
      <x:c r="C288"/>
      <x:c r="D288"/>
      <x:c r="E288" s="31"/>
      <x:c r="F288" s="8"/>
      <x:c r="G288" s="8"/>
      <x:c r="H288" s="6"/>
      <x:c r="I288" s="27"/>
      <x:c r="J288" s="6"/>
      <x:c r="K288" s="6"/>
      <x:c r="L288" s="6"/>
      <x:c r="M288" s="6"/>
      <x:c r="N288" s="6"/>
      <x:c r="O288" s="6"/>
      <x:c r="P288" s="6"/>
      <x:c r="Q288" s="6"/>
      <x:c r="R288"/>
      <x:c r="S288"/>
      <x:c r="T288"/>
    </x:row>
    <x:row r="289" spans="1:20" ht="15.75" x14ac:dyDescent="0.25">
      <x:c r="A289"/>
      <x:c r="B289"/>
      <x:c r="C289"/>
      <x:c r="D289"/>
      <x:c r="E289" s="31"/>
      <x:c r="F289" s="8"/>
      <x:c r="G289" s="8"/>
      <x:c r="H289" s="6"/>
      <x:c r="I289" s="27"/>
      <x:c r="J289" s="6"/>
      <x:c r="K289" s="6"/>
      <x:c r="L289" s="6"/>
      <x:c r="M289" s="6"/>
      <x:c r="N289" s="6"/>
      <x:c r="O289" s="6"/>
      <x:c r="P289" s="6"/>
      <x:c r="Q289" s="6"/>
      <x:c r="R289"/>
      <x:c r="S289"/>
      <x:c r="T289"/>
    </x:row>
    <x:row r="290" spans="1:20" ht="15.75" x14ac:dyDescent="0.25">
      <x:c r="A290"/>
      <x:c r="B290"/>
      <x:c r="C290"/>
      <x:c r="D290"/>
      <x:c r="E290" s="31"/>
      <x:c r="F290" s="8"/>
      <x:c r="G290" s="8"/>
      <x:c r="H290" s="6"/>
      <x:c r="I290" s="27"/>
      <x:c r="J290" s="6"/>
      <x:c r="K290" s="6"/>
      <x:c r="L290" s="6"/>
      <x:c r="M290" s="6"/>
      <x:c r="N290" s="6"/>
      <x:c r="O290" s="6"/>
      <x:c r="P290" s="6"/>
      <x:c r="Q290" s="6"/>
      <x:c r="R290"/>
      <x:c r="S290"/>
      <x:c r="T290"/>
    </x:row>
    <x:row r="291" spans="1:20" ht="15.75" x14ac:dyDescent="0.25">
      <x:c r="A291"/>
      <x:c r="B291"/>
      <x:c r="C291"/>
      <x:c r="D291"/>
      <x:c r="E291" s="31"/>
      <x:c r="F291" s="8"/>
      <x:c r="G291" s="8"/>
      <x:c r="H291" s="6"/>
      <x:c r="I291" s="27"/>
      <x:c r="J291" s="6"/>
      <x:c r="K291" s="6"/>
      <x:c r="L291" s="6"/>
      <x:c r="M291" s="6"/>
      <x:c r="N291" s="6"/>
      <x:c r="O291" s="6"/>
      <x:c r="P291" s="6"/>
      <x:c r="Q291" s="6"/>
      <x:c r="R291"/>
      <x:c r="S291"/>
      <x:c r="T291"/>
    </x:row>
    <x:row r="292" spans="1:20" ht="15.75" x14ac:dyDescent="0.25">
      <x:c r="A292"/>
      <x:c r="B292"/>
      <x:c r="C292"/>
      <x:c r="D292"/>
      <x:c r="E292" s="31"/>
      <x:c r="F292" s="8"/>
      <x:c r="G292" s="8"/>
      <x:c r="H292" s="6"/>
      <x:c r="I292" s="27"/>
      <x:c r="J292" s="6"/>
      <x:c r="K292" s="6"/>
      <x:c r="L292" s="6"/>
      <x:c r="M292" s="6"/>
      <x:c r="N292" s="6"/>
      <x:c r="O292" s="6"/>
      <x:c r="P292" s="6"/>
      <x:c r="Q292" s="6"/>
      <x:c r="R292"/>
      <x:c r="S292"/>
      <x:c r="T292"/>
    </x:row>
    <x:row r="293" spans="1:20" ht="15.75" x14ac:dyDescent="0.25">
      <x:c r="A293"/>
      <x:c r="B293"/>
      <x:c r="C293"/>
      <x:c r="D293"/>
      <x:c r="E293" s="31"/>
      <x:c r="F293" s="8"/>
      <x:c r="G293" s="8"/>
      <x:c r="H293" s="6"/>
      <x:c r="I293" s="27"/>
      <x:c r="J293" s="6"/>
      <x:c r="K293" s="6"/>
      <x:c r="L293" s="6"/>
      <x:c r="M293" s="6"/>
      <x:c r="N293" s="6"/>
      <x:c r="O293" s="6"/>
      <x:c r="P293" s="6"/>
      <x:c r="Q293" s="6"/>
      <x:c r="R293"/>
      <x:c r="S293"/>
      <x:c r="T293"/>
    </x:row>
    <x:row r="294" spans="1:20" ht="15.75" x14ac:dyDescent="0.25">
      <x:c r="A294"/>
      <x:c r="B294"/>
      <x:c r="C294"/>
      <x:c r="D294"/>
      <x:c r="E294" s="31"/>
      <x:c r="F294" s="8"/>
      <x:c r="G294" s="8"/>
      <x:c r="H294" s="6"/>
      <x:c r="I294" s="27"/>
      <x:c r="J294" s="6"/>
      <x:c r="K294" s="6"/>
      <x:c r="L294" s="6"/>
      <x:c r="M294" s="6"/>
      <x:c r="N294" s="6"/>
      <x:c r="O294" s="6"/>
      <x:c r="P294" s="6"/>
      <x:c r="Q294" s="6"/>
      <x:c r="R294"/>
      <x:c r="S294"/>
      <x:c r="T294"/>
    </x:row>
    <x:row r="295" spans="1:20" ht="15.75" x14ac:dyDescent="0.25">
      <x:c r="A295"/>
      <x:c r="B295"/>
      <x:c r="C295"/>
      <x:c r="D295"/>
      <x:c r="E295" s="31"/>
      <x:c r="F295" s="8"/>
      <x:c r="G295" s="8"/>
      <x:c r="H295" s="6"/>
      <x:c r="I295" s="27"/>
      <x:c r="J295" s="6"/>
      <x:c r="K295" s="6"/>
      <x:c r="L295" s="6"/>
      <x:c r="M295" s="6"/>
      <x:c r="N295" s="6"/>
      <x:c r="O295" s="6"/>
      <x:c r="P295" s="6"/>
      <x:c r="Q295" s="6"/>
      <x:c r="R295"/>
      <x:c r="S295"/>
      <x:c r="T295"/>
    </x:row>
    <x:row r="296" spans="1:20" ht="15.75" x14ac:dyDescent="0.25">
      <x:c r="A296"/>
      <x:c r="B296"/>
      <x:c r="C296"/>
      <x:c r="D296"/>
      <x:c r="E296" s="31"/>
      <x:c r="F296" s="8"/>
      <x:c r="G296" s="8"/>
      <x:c r="H296" s="6"/>
      <x:c r="I296" s="27"/>
      <x:c r="J296" s="6"/>
      <x:c r="K296" s="6"/>
      <x:c r="L296" s="6"/>
      <x:c r="M296" s="6"/>
      <x:c r="N296" s="6"/>
      <x:c r="O296" s="6"/>
      <x:c r="P296" s="6"/>
      <x:c r="Q296" s="6"/>
      <x:c r="R296"/>
      <x:c r="S296"/>
      <x:c r="T296"/>
    </x:row>
    <x:row r="297" spans="1:20" ht="15.75" x14ac:dyDescent="0.25">
      <x:c r="A297"/>
      <x:c r="B297"/>
      <x:c r="C297"/>
      <x:c r="D297"/>
      <x:c r="E297" s="31"/>
      <x:c r="F297" s="8"/>
      <x:c r="G297" s="8"/>
      <x:c r="H297" s="6"/>
      <x:c r="I297" s="27"/>
      <x:c r="J297" s="6"/>
      <x:c r="K297" s="6"/>
      <x:c r="L297" s="6"/>
      <x:c r="M297" s="6"/>
      <x:c r="N297" s="6"/>
      <x:c r="O297" s="6"/>
      <x:c r="P297" s="6"/>
      <x:c r="Q297" s="6"/>
      <x:c r="R297"/>
      <x:c r="S297"/>
      <x:c r="T297"/>
    </x:row>
    <x:row r="298" spans="1:20" ht="15.75" x14ac:dyDescent="0.25">
      <x:c r="A298"/>
      <x:c r="B298"/>
      <x:c r="C298"/>
      <x:c r="D298"/>
      <x:c r="E298" s="31"/>
      <x:c r="F298" s="8"/>
      <x:c r="G298" s="8"/>
      <x:c r="H298" s="6"/>
      <x:c r="I298" s="27"/>
      <x:c r="J298" s="6"/>
      <x:c r="K298" s="6"/>
      <x:c r="L298" s="6"/>
      <x:c r="M298" s="6"/>
      <x:c r="N298" s="6"/>
      <x:c r="O298" s="6"/>
      <x:c r="P298" s="6"/>
      <x:c r="Q298" s="6"/>
      <x:c r="R298"/>
      <x:c r="S298"/>
      <x:c r="T298"/>
    </x:row>
    <x:row r="299" spans="1:20" ht="15.75" x14ac:dyDescent="0.25">
      <x:c r="A299"/>
      <x:c r="B299"/>
      <x:c r="C299"/>
      <x:c r="D299"/>
      <x:c r="E299" s="31"/>
      <x:c r="F299" s="8"/>
      <x:c r="G299" s="8"/>
      <x:c r="H299" s="6"/>
      <x:c r="I299" s="27"/>
      <x:c r="J299" s="6"/>
      <x:c r="K299" s="6"/>
      <x:c r="L299" s="6"/>
      <x:c r="M299" s="6"/>
      <x:c r="N299" s="6"/>
      <x:c r="O299" s="6"/>
      <x:c r="P299" s="6"/>
      <x:c r="Q299" s="6"/>
      <x:c r="R299"/>
      <x:c r="S299"/>
      <x:c r="T299"/>
    </x:row>
    <x:row r="300" spans="1:20" ht="15.75" x14ac:dyDescent="0.25">
      <x:c r="A300"/>
      <x:c r="B300"/>
      <x:c r="C300"/>
      <x:c r="D300"/>
      <x:c r="E300" s="31"/>
      <x:c r="F300" s="8"/>
      <x:c r="G300" s="8"/>
      <x:c r="H300" s="6"/>
      <x:c r="I300" s="27"/>
      <x:c r="J300" s="6"/>
      <x:c r="K300" s="6"/>
      <x:c r="L300" s="6"/>
      <x:c r="M300" s="6"/>
      <x:c r="N300" s="6"/>
      <x:c r="O300" s="6"/>
      <x:c r="P300" s="6"/>
      <x:c r="Q300" s="6"/>
      <x:c r="R300"/>
      <x:c r="S300"/>
      <x:c r="T300"/>
    </x:row>
    <x:row r="301" spans="1:20" ht="15.75" x14ac:dyDescent="0.25">
      <x:c r="A301"/>
      <x:c r="B301"/>
      <x:c r="C301"/>
      <x:c r="D301"/>
      <x:c r="E301" s="31"/>
      <x:c r="F301" s="8"/>
      <x:c r="G301" s="8"/>
      <x:c r="H301" s="6"/>
      <x:c r="I301" s="27"/>
      <x:c r="J301" s="6"/>
      <x:c r="K301" s="6"/>
      <x:c r="L301" s="6"/>
      <x:c r="M301" s="6"/>
      <x:c r="N301" s="6"/>
      <x:c r="O301" s="6"/>
      <x:c r="P301" s="6"/>
      <x:c r="Q301" s="6"/>
      <x:c r="R301"/>
      <x:c r="S301"/>
      <x:c r="T301"/>
    </x:row>
    <x:row r="302" spans="1:20" ht="15.75" x14ac:dyDescent="0.25">
      <x:c r="A302"/>
      <x:c r="B302"/>
      <x:c r="C302"/>
      <x:c r="D302"/>
      <x:c r="E302" s="31"/>
      <x:c r="F302" s="8"/>
      <x:c r="G302" s="8"/>
      <x:c r="H302" s="6"/>
      <x:c r="I302" s="27"/>
      <x:c r="J302" s="6"/>
      <x:c r="K302" s="6"/>
      <x:c r="L302" s="6"/>
      <x:c r="M302" s="6"/>
      <x:c r="N302" s="6"/>
      <x:c r="O302" s="6"/>
      <x:c r="P302" s="6"/>
      <x:c r="Q302" s="6"/>
      <x:c r="R302"/>
      <x:c r="S302"/>
      <x:c r="T302"/>
    </x:row>
    <x:row r="303" spans="1:20" ht="15.75" x14ac:dyDescent="0.25">
      <x:c r="A303"/>
      <x:c r="B303"/>
      <x:c r="C303"/>
      <x:c r="D303"/>
      <x:c r="E303" s="31"/>
      <x:c r="F303" s="8"/>
      <x:c r="G303" s="8"/>
      <x:c r="H303" s="6"/>
      <x:c r="I303" s="27"/>
      <x:c r="J303" s="6"/>
      <x:c r="K303" s="6"/>
      <x:c r="L303" s="6"/>
      <x:c r="M303" s="6"/>
      <x:c r="N303" s="6"/>
      <x:c r="O303" s="6"/>
      <x:c r="P303" s="6"/>
      <x:c r="Q303" s="6"/>
      <x:c r="R303"/>
      <x:c r="S303"/>
      <x:c r="T303"/>
    </x:row>
    <x:row r="304" spans="1:20" ht="15.75" x14ac:dyDescent="0.25">
      <x:c r="A304"/>
      <x:c r="B304"/>
      <x:c r="C304"/>
      <x:c r="D304"/>
      <x:c r="E304" s="31"/>
      <x:c r="F304" s="8"/>
      <x:c r="G304" s="8"/>
      <x:c r="H304" s="6"/>
      <x:c r="I304" s="27"/>
      <x:c r="J304" s="6"/>
      <x:c r="K304" s="6"/>
      <x:c r="L304" s="6"/>
      <x:c r="M304" s="6"/>
      <x:c r="N304" s="6"/>
      <x:c r="O304" s="6"/>
      <x:c r="P304" s="6"/>
      <x:c r="Q304" s="6"/>
      <x:c r="R304"/>
      <x:c r="S304"/>
      <x:c r="T304"/>
    </x:row>
    <x:row r="305" spans="1:20" ht="15.75" x14ac:dyDescent="0.25">
      <x:c r="A305"/>
      <x:c r="B305"/>
      <x:c r="C305"/>
      <x:c r="D305"/>
      <x:c r="E305" s="31"/>
      <x:c r="F305" s="8"/>
      <x:c r="G305" s="8"/>
      <x:c r="H305" s="6"/>
      <x:c r="I305" s="27"/>
      <x:c r="J305" s="6"/>
      <x:c r="K305" s="6"/>
      <x:c r="L305" s="6"/>
      <x:c r="M305" s="6"/>
      <x:c r="N305" s="6"/>
      <x:c r="O305" s="6"/>
      <x:c r="P305" s="6"/>
      <x:c r="Q305" s="6"/>
      <x:c r="R305"/>
      <x:c r="S305"/>
      <x:c r="T305"/>
    </x:row>
    <x:row r="306" spans="1:20" ht="15.75" x14ac:dyDescent="0.25">
      <x:c r="A306"/>
      <x:c r="B306"/>
      <x:c r="C306"/>
      <x:c r="D306"/>
      <x:c r="E306" s="31"/>
      <x:c r="F306" s="8"/>
      <x:c r="G306" s="8"/>
      <x:c r="H306" s="6"/>
      <x:c r="I306" s="27"/>
      <x:c r="J306" s="6"/>
      <x:c r="K306" s="6"/>
      <x:c r="L306" s="6"/>
      <x:c r="M306" s="6"/>
      <x:c r="N306" s="6"/>
      <x:c r="O306" s="6"/>
      <x:c r="P306" s="6"/>
      <x:c r="Q306" s="6"/>
      <x:c r="R306"/>
      <x:c r="S306"/>
      <x:c r="T306"/>
    </x:row>
    <x:row r="307" spans="1:20" ht="15.75" x14ac:dyDescent="0.25">
      <x:c r="A307"/>
      <x:c r="B307"/>
      <x:c r="C307"/>
      <x:c r="D307"/>
      <x:c r="E307" s="31"/>
      <x:c r="F307" s="8"/>
      <x:c r="G307" s="8"/>
      <x:c r="H307" s="6"/>
      <x:c r="I307" s="27"/>
      <x:c r="J307" s="6"/>
      <x:c r="K307" s="6"/>
      <x:c r="L307" s="6"/>
      <x:c r="M307" s="6"/>
      <x:c r="N307" s="6"/>
      <x:c r="O307" s="6"/>
      <x:c r="P307" s="6"/>
      <x:c r="Q307" s="6"/>
      <x:c r="R307"/>
      <x:c r="S307"/>
      <x:c r="T307"/>
    </x:row>
    <x:row r="308" spans="1:20" ht="15.75" x14ac:dyDescent="0.25">
      <x:c r="A308"/>
      <x:c r="B308"/>
      <x:c r="C308"/>
      <x:c r="D308"/>
      <x:c r="E308" s="31"/>
      <x:c r="F308" s="8"/>
      <x:c r="G308" s="8"/>
      <x:c r="H308" s="6"/>
      <x:c r="I308" s="27"/>
      <x:c r="J308" s="6"/>
      <x:c r="K308" s="6"/>
      <x:c r="L308" s="6"/>
      <x:c r="M308" s="6"/>
      <x:c r="N308" s="6"/>
      <x:c r="O308" s="6"/>
      <x:c r="P308" s="6"/>
      <x:c r="Q308" s="6"/>
      <x:c r="R308"/>
      <x:c r="S308"/>
      <x:c r="T308"/>
    </x:row>
    <x:row r="309" spans="1:20" ht="15.75" x14ac:dyDescent="0.25">
      <x:c r="A309"/>
      <x:c r="B309"/>
      <x:c r="C309"/>
      <x:c r="D309"/>
      <x:c r="E309" s="31"/>
      <x:c r="F309" s="8"/>
      <x:c r="G309" s="8"/>
      <x:c r="H309" s="6"/>
      <x:c r="I309" s="27"/>
      <x:c r="J309" s="6"/>
      <x:c r="K309" s="6"/>
      <x:c r="L309" s="6"/>
      <x:c r="M309" s="6"/>
      <x:c r="N309" s="6"/>
      <x:c r="O309" s="6"/>
      <x:c r="P309" s="6"/>
      <x:c r="Q309" s="6"/>
      <x:c r="R309"/>
      <x:c r="S309"/>
      <x:c r="T309"/>
    </x:row>
    <x:row r="310" spans="1:20" ht="15.75" x14ac:dyDescent="0.25">
      <x:c r="A310"/>
      <x:c r="B310"/>
      <x:c r="C310"/>
      <x:c r="D310"/>
      <x:c r="E310" s="31"/>
      <x:c r="F310" s="8"/>
      <x:c r="G310" s="8"/>
      <x:c r="H310" s="6"/>
      <x:c r="I310" s="27"/>
      <x:c r="J310" s="6"/>
      <x:c r="K310" s="6"/>
      <x:c r="L310" s="6"/>
      <x:c r="M310" s="6"/>
      <x:c r="N310" s="6"/>
      <x:c r="O310" s="6"/>
      <x:c r="P310" s="6"/>
      <x:c r="Q310" s="6"/>
      <x:c r="R310"/>
      <x:c r="S310"/>
      <x:c r="T310"/>
    </x:row>
    <x:row r="311" spans="1:20" ht="15.75" x14ac:dyDescent="0.25">
      <x:c r="A311"/>
      <x:c r="B311"/>
      <x:c r="C311"/>
      <x:c r="D311"/>
      <x:c r="E311" s="31"/>
      <x:c r="F311" s="8"/>
      <x:c r="G311" s="8"/>
      <x:c r="H311" s="6"/>
      <x:c r="I311" s="27"/>
      <x:c r="J311" s="6"/>
      <x:c r="K311" s="6"/>
      <x:c r="L311" s="6"/>
      <x:c r="M311" s="6"/>
      <x:c r="N311" s="6"/>
      <x:c r="O311" s="6"/>
      <x:c r="P311" s="6"/>
      <x:c r="Q311" s="6"/>
      <x:c r="R311"/>
      <x:c r="S311"/>
      <x:c r="T311"/>
    </x:row>
    <x:row r="312" spans="1:20" ht="15.75" x14ac:dyDescent="0.25">
      <x:c r="A312"/>
      <x:c r="B312"/>
      <x:c r="C312"/>
      <x:c r="D312"/>
      <x:c r="E312" s="31"/>
      <x:c r="F312" s="8"/>
      <x:c r="G312" s="8"/>
      <x:c r="H312" s="6"/>
      <x:c r="I312" s="27"/>
      <x:c r="J312" s="6"/>
      <x:c r="K312" s="6"/>
      <x:c r="L312" s="6"/>
      <x:c r="M312" s="6"/>
      <x:c r="N312" s="6"/>
      <x:c r="O312" s="6"/>
      <x:c r="P312" s="6"/>
      <x:c r="Q312" s="6"/>
      <x:c r="R312"/>
      <x:c r="S312"/>
      <x:c r="T312"/>
    </x:row>
    <x:row r="313" spans="1:20" ht="15.75" x14ac:dyDescent="0.25">
      <x:c r="A313"/>
      <x:c r="B313"/>
      <x:c r="C313"/>
      <x:c r="D313"/>
      <x:c r="E313" s="31"/>
      <x:c r="F313" s="8"/>
      <x:c r="G313" s="8"/>
      <x:c r="H313" s="6"/>
      <x:c r="I313" s="27"/>
      <x:c r="J313" s="6"/>
      <x:c r="K313" s="6"/>
      <x:c r="L313" s="6"/>
      <x:c r="M313" s="6"/>
      <x:c r="N313" s="6"/>
      <x:c r="O313" s="6"/>
      <x:c r="P313" s="6"/>
      <x:c r="Q313" s="6"/>
      <x:c r="R313"/>
      <x:c r="S313"/>
      <x:c r="T313"/>
    </x:row>
    <x:row r="314" spans="1:20" ht="15.75" x14ac:dyDescent="0.25">
      <x:c r="A314"/>
      <x:c r="B314"/>
      <x:c r="C314"/>
      <x:c r="D314"/>
      <x:c r="E314" s="31"/>
      <x:c r="F314" s="8"/>
      <x:c r="G314" s="8"/>
      <x:c r="H314" s="6"/>
      <x:c r="I314" s="27"/>
      <x:c r="J314" s="6"/>
      <x:c r="K314" s="6"/>
      <x:c r="L314" s="6"/>
      <x:c r="M314" s="6"/>
      <x:c r="N314" s="6"/>
      <x:c r="O314" s="6"/>
      <x:c r="P314" s="6"/>
      <x:c r="Q314" s="6"/>
      <x:c r="R314"/>
      <x:c r="S314"/>
      <x:c r="T314"/>
    </x:row>
    <x:row r="315" spans="1:20" ht="15.75" x14ac:dyDescent="0.25">
      <x:c r="A315"/>
      <x:c r="B315"/>
      <x:c r="C315"/>
      <x:c r="D315"/>
      <x:c r="E315" s="31"/>
      <x:c r="F315" s="8"/>
      <x:c r="G315" s="8"/>
      <x:c r="H315" s="6"/>
      <x:c r="I315" s="27"/>
      <x:c r="J315" s="6"/>
      <x:c r="K315" s="6"/>
      <x:c r="L315" s="6"/>
      <x:c r="M315" s="6"/>
      <x:c r="N315" s="6"/>
      <x:c r="O315" s="6"/>
      <x:c r="P315" s="6"/>
      <x:c r="Q315" s="6"/>
      <x:c r="R315"/>
      <x:c r="S315"/>
      <x:c r="T315"/>
    </x:row>
    <x:row r="316" spans="1:20" ht="15.75" x14ac:dyDescent="0.25">
      <x:c r="A316"/>
      <x:c r="B316"/>
      <x:c r="C316"/>
      <x:c r="D316"/>
      <x:c r="E316" s="31"/>
      <x:c r="F316" s="8"/>
      <x:c r="G316" s="8"/>
      <x:c r="H316" s="6"/>
      <x:c r="I316" s="27"/>
      <x:c r="J316" s="6"/>
      <x:c r="K316" s="6"/>
      <x:c r="L316" s="6"/>
      <x:c r="M316" s="6"/>
      <x:c r="N316" s="6"/>
      <x:c r="O316" s="6"/>
      <x:c r="P316" s="6"/>
      <x:c r="Q316" s="6"/>
      <x:c r="R316"/>
      <x:c r="S316"/>
      <x:c r="T316"/>
    </x:row>
    <x:row r="317" spans="1:20" ht="15.75" x14ac:dyDescent="0.25">
      <x:c r="A317"/>
      <x:c r="B317"/>
      <x:c r="C317"/>
      <x:c r="D317"/>
      <x:c r="E317" s="31"/>
      <x:c r="F317" s="8"/>
      <x:c r="G317" s="8"/>
      <x:c r="H317" s="6"/>
      <x:c r="I317" s="27"/>
      <x:c r="J317" s="6"/>
      <x:c r="K317" s="6"/>
      <x:c r="L317" s="6"/>
      <x:c r="M317" s="6"/>
      <x:c r="N317" s="6"/>
      <x:c r="O317" s="6"/>
      <x:c r="P317" s="6"/>
      <x:c r="Q317" s="6"/>
      <x:c r="R317"/>
      <x:c r="S317"/>
      <x:c r="T317"/>
    </x:row>
    <x:row r="318" spans="1:20" ht="15.75" x14ac:dyDescent="0.25">
      <x:c r="A318"/>
      <x:c r="B318"/>
      <x:c r="C318"/>
      <x:c r="D318"/>
      <x:c r="E318" s="31"/>
      <x:c r="F318" s="8"/>
      <x:c r="G318" s="8"/>
      <x:c r="H318" s="6"/>
      <x:c r="I318" s="27"/>
      <x:c r="J318" s="6"/>
      <x:c r="K318" s="6"/>
      <x:c r="L318" s="6"/>
      <x:c r="M318" s="6"/>
      <x:c r="N318" s="6"/>
      <x:c r="O318" s="6"/>
      <x:c r="P318" s="6"/>
      <x:c r="Q318" s="6"/>
      <x:c r="R318"/>
      <x:c r="S318"/>
      <x:c r="T318"/>
    </x:row>
    <x:row r="319" spans="1:20" ht="15.75" x14ac:dyDescent="0.25">
      <x:c r="A319"/>
      <x:c r="B319"/>
      <x:c r="C319"/>
      <x:c r="D319"/>
      <x:c r="E319" s="31"/>
      <x:c r="F319" s="8"/>
      <x:c r="G319" s="8"/>
      <x:c r="H319" s="6"/>
      <x:c r="I319" s="27"/>
      <x:c r="J319" s="6"/>
      <x:c r="K319" s="6"/>
      <x:c r="L319" s="6"/>
      <x:c r="M319" s="6"/>
      <x:c r="N319" s="6"/>
      <x:c r="O319" s="6"/>
      <x:c r="P319" s="6"/>
      <x:c r="Q319" s="6"/>
      <x:c r="R319"/>
      <x:c r="S319"/>
      <x:c r="T319"/>
    </x:row>
    <x:row r="320" spans="1:20" ht="15.75" x14ac:dyDescent="0.25">
      <x:c r="A320"/>
      <x:c r="B320"/>
      <x:c r="C320"/>
      <x:c r="D320"/>
      <x:c r="E320" s="31"/>
      <x:c r="F320" s="8"/>
      <x:c r="G320" s="8"/>
      <x:c r="H320" s="6"/>
      <x:c r="I320" s="27"/>
      <x:c r="J320" s="6"/>
      <x:c r="K320" s="6"/>
      <x:c r="L320" s="6"/>
      <x:c r="M320" s="6"/>
      <x:c r="N320" s="6"/>
      <x:c r="O320" s="6"/>
      <x:c r="P320" s="6"/>
      <x:c r="Q320" s="6"/>
      <x:c r="R320"/>
      <x:c r="S320"/>
      <x:c r="T320"/>
    </x:row>
    <x:row r="321" spans="1:20" ht="15.75" x14ac:dyDescent="0.25">
      <x:c r="A321"/>
      <x:c r="B321"/>
      <x:c r="C321"/>
      <x:c r="D321"/>
      <x:c r="E321" s="31"/>
      <x:c r="F321" s="8"/>
      <x:c r="G321" s="8"/>
      <x:c r="H321" s="6"/>
      <x:c r="I321" s="27"/>
      <x:c r="J321" s="6"/>
      <x:c r="K321" s="6"/>
      <x:c r="L321" s="6"/>
      <x:c r="M321" s="6"/>
      <x:c r="N321" s="6"/>
      <x:c r="O321" s="6"/>
      <x:c r="P321" s="6"/>
      <x:c r="Q321" s="6"/>
      <x:c r="R321"/>
      <x:c r="S321"/>
      <x:c r="T321"/>
    </x:row>
    <x:row r="322" spans="1:20" ht="15.75" x14ac:dyDescent="0.25">
      <x:c r="A322"/>
      <x:c r="B322"/>
      <x:c r="C322"/>
      <x:c r="D322"/>
      <x:c r="E322" s="31"/>
      <x:c r="F322" s="8"/>
      <x:c r="G322" s="8"/>
      <x:c r="H322" s="6"/>
      <x:c r="I322" s="27"/>
      <x:c r="J322" s="6"/>
      <x:c r="K322" s="6"/>
      <x:c r="L322" s="6"/>
      <x:c r="M322" s="6"/>
      <x:c r="N322" s="6"/>
      <x:c r="O322" s="6"/>
      <x:c r="P322" s="6"/>
      <x:c r="Q322" s="6"/>
      <x:c r="R322"/>
      <x:c r="S322"/>
      <x:c r="T322"/>
    </x:row>
    <x:row r="323" spans="1:20" ht="15.75" x14ac:dyDescent="0.25">
      <x:c r="A323"/>
      <x:c r="B323"/>
      <x:c r="C323"/>
      <x:c r="D323"/>
      <x:c r="E323" s="31"/>
      <x:c r="F323" s="8"/>
      <x:c r="G323" s="8"/>
      <x:c r="H323" s="6"/>
      <x:c r="I323" s="27"/>
      <x:c r="J323" s="6"/>
      <x:c r="K323" s="6"/>
      <x:c r="L323" s="6"/>
      <x:c r="M323" s="6"/>
      <x:c r="N323" s="6"/>
      <x:c r="O323" s="6"/>
      <x:c r="P323" s="6"/>
      <x:c r="Q323" s="6"/>
      <x:c r="R323"/>
      <x:c r="S323"/>
      <x:c r="T323"/>
    </x:row>
    <x:row r="324" spans="1:20" ht="15.75" x14ac:dyDescent="0.25">
      <x:c r="A324"/>
      <x:c r="B324"/>
      <x:c r="C324"/>
      <x:c r="D324"/>
      <x:c r="E324" s="31"/>
      <x:c r="F324" s="8"/>
      <x:c r="G324" s="8"/>
      <x:c r="H324" s="6"/>
      <x:c r="I324" s="27"/>
      <x:c r="J324" s="6"/>
      <x:c r="K324" s="6"/>
      <x:c r="L324" s="6"/>
      <x:c r="M324" s="6"/>
      <x:c r="N324" s="6"/>
      <x:c r="O324" s="6"/>
      <x:c r="P324" s="6"/>
      <x:c r="Q324" s="6"/>
      <x:c r="R324"/>
      <x:c r="S324"/>
      <x:c r="T324"/>
    </x:row>
    <x:row r="325" spans="1:20" ht="15.75" x14ac:dyDescent="0.25">
      <x:c r="A325"/>
      <x:c r="B325"/>
      <x:c r="C325"/>
      <x:c r="D325"/>
      <x:c r="E325" s="31"/>
      <x:c r="F325" s="8"/>
      <x:c r="G325" s="8"/>
      <x:c r="H325" s="6"/>
      <x:c r="I325" s="27"/>
      <x:c r="J325" s="6"/>
      <x:c r="K325" s="6"/>
      <x:c r="L325" s="6"/>
      <x:c r="M325" s="6"/>
      <x:c r="N325" s="6"/>
      <x:c r="O325" s="6"/>
      <x:c r="P325" s="6"/>
      <x:c r="Q325" s="6"/>
      <x:c r="R325"/>
      <x:c r="S325"/>
      <x:c r="T325"/>
    </x:row>
    <x:row r="326" spans="1:20" ht="15.75" x14ac:dyDescent="0.25">
      <x:c r="A326"/>
      <x:c r="B326"/>
      <x:c r="C326"/>
      <x:c r="D326"/>
      <x:c r="E326" s="31"/>
      <x:c r="F326" s="8"/>
      <x:c r="G326" s="8"/>
      <x:c r="H326" s="6"/>
      <x:c r="I326" s="27"/>
      <x:c r="J326" s="6"/>
      <x:c r="K326" s="6"/>
      <x:c r="L326" s="6"/>
      <x:c r="M326" s="6"/>
      <x:c r="N326" s="6"/>
      <x:c r="O326" s="6"/>
      <x:c r="P326" s="6"/>
      <x:c r="Q326" s="6"/>
      <x:c r="R326"/>
      <x:c r="S326"/>
      <x:c r="T326"/>
    </x:row>
    <x:row r="327" spans="1:20" ht="15.75" x14ac:dyDescent="0.25">
      <x:c r="A327"/>
      <x:c r="B327"/>
      <x:c r="C327"/>
      <x:c r="D327"/>
      <x:c r="E327" s="31"/>
      <x:c r="F327" s="8"/>
      <x:c r="G327" s="8"/>
      <x:c r="H327" s="6"/>
      <x:c r="I327" s="27"/>
      <x:c r="J327" s="6"/>
      <x:c r="K327" s="6"/>
      <x:c r="L327" s="6"/>
      <x:c r="M327" s="6"/>
      <x:c r="N327" s="6"/>
      <x:c r="O327" s="6"/>
      <x:c r="P327" s="6"/>
      <x:c r="Q327" s="6"/>
      <x:c r="R327"/>
      <x:c r="S327"/>
      <x:c r="T327"/>
    </x:row>
    <x:row r="328" spans="1:20" ht="15.75" x14ac:dyDescent="0.25">
      <x:c r="A328"/>
      <x:c r="B328"/>
      <x:c r="C328"/>
      <x:c r="D328"/>
      <x:c r="E328" s="31"/>
      <x:c r="F328" s="8"/>
      <x:c r="G328" s="8"/>
      <x:c r="H328" s="6"/>
      <x:c r="I328" s="27"/>
      <x:c r="J328" s="6"/>
      <x:c r="K328" s="6"/>
      <x:c r="L328" s="6"/>
      <x:c r="M328" s="6"/>
      <x:c r="N328" s="6"/>
      <x:c r="O328" s="6"/>
      <x:c r="P328" s="6"/>
      <x:c r="Q328" s="6"/>
      <x:c r="R328"/>
      <x:c r="S328"/>
      <x:c r="T328"/>
    </x:row>
    <x:row r="329" spans="1:20" ht="15.75" x14ac:dyDescent="0.25">
      <x:c r="A329"/>
      <x:c r="B329"/>
      <x:c r="C329"/>
      <x:c r="D329"/>
      <x:c r="E329" s="31"/>
      <x:c r="F329" s="8"/>
      <x:c r="G329" s="8"/>
      <x:c r="H329" s="6"/>
      <x:c r="I329" s="27"/>
      <x:c r="J329" s="6"/>
      <x:c r="K329" s="6"/>
      <x:c r="L329" s="6"/>
      <x:c r="M329" s="6"/>
      <x:c r="N329" s="6"/>
      <x:c r="O329" s="6"/>
      <x:c r="P329" s="6"/>
      <x:c r="Q329" s="6"/>
      <x:c r="R329"/>
      <x:c r="S329"/>
      <x:c r="T329"/>
    </x:row>
    <x:row r="330" spans="1:20" ht="15.75" x14ac:dyDescent="0.25">
      <x:c r="A330"/>
      <x:c r="B330"/>
      <x:c r="C330"/>
      <x:c r="D330"/>
      <x:c r="E330" s="31"/>
      <x:c r="F330" s="8"/>
      <x:c r="G330" s="8"/>
      <x:c r="H330" s="6"/>
      <x:c r="I330" s="27"/>
      <x:c r="J330" s="6"/>
      <x:c r="K330" s="6"/>
      <x:c r="L330" s="6"/>
      <x:c r="M330" s="6"/>
      <x:c r="N330" s="6"/>
      <x:c r="O330" s="6"/>
      <x:c r="P330" s="6"/>
      <x:c r="Q330" s="6"/>
      <x:c r="R330"/>
      <x:c r="S330"/>
      <x:c r="T330"/>
    </x:row>
    <x:row r="331" spans="1:20" ht="15.75" x14ac:dyDescent="0.25">
      <x:c r="A331"/>
      <x:c r="B331"/>
      <x:c r="C331"/>
      <x:c r="D331"/>
      <x:c r="E331" s="31"/>
      <x:c r="F331" s="8"/>
      <x:c r="G331" s="8"/>
      <x:c r="H331" s="6"/>
      <x:c r="I331" s="27"/>
      <x:c r="J331" s="6"/>
      <x:c r="K331" s="6"/>
      <x:c r="L331" s="6"/>
      <x:c r="M331" s="6"/>
      <x:c r="N331" s="6"/>
      <x:c r="O331" s="6"/>
      <x:c r="P331" s="6"/>
      <x:c r="Q331" s="6"/>
      <x:c r="R331"/>
      <x:c r="S331"/>
      <x:c r="T331"/>
    </x:row>
    <x:row r="332" spans="1:20" ht="15.75" x14ac:dyDescent="0.25">
      <x:c r="A332"/>
      <x:c r="B332"/>
      <x:c r="C332"/>
      <x:c r="D332"/>
      <x:c r="E332" s="31"/>
      <x:c r="F332" s="8"/>
      <x:c r="G332" s="8"/>
      <x:c r="H332" s="6"/>
      <x:c r="I332" s="27"/>
      <x:c r="J332" s="6"/>
      <x:c r="K332" s="6"/>
      <x:c r="L332" s="6"/>
      <x:c r="M332" s="6"/>
      <x:c r="N332" s="6"/>
      <x:c r="O332" s="6"/>
      <x:c r="P332" s="6"/>
      <x:c r="Q332" s="6"/>
      <x:c r="R332"/>
      <x:c r="S332"/>
      <x:c r="T332"/>
    </x:row>
    <x:row r="333" spans="1:20" ht="15.75" x14ac:dyDescent="0.25">
      <x:c r="A333"/>
      <x:c r="B333"/>
      <x:c r="C333"/>
      <x:c r="D333"/>
      <x:c r="E333" s="31"/>
      <x:c r="F333" s="8"/>
      <x:c r="G333" s="8"/>
      <x:c r="H333" s="6"/>
      <x:c r="I333" s="27"/>
      <x:c r="J333" s="6"/>
      <x:c r="K333" s="6"/>
      <x:c r="L333" s="6"/>
      <x:c r="M333" s="6"/>
      <x:c r="N333" s="6"/>
      <x:c r="O333" s="6"/>
      <x:c r="P333" s="6"/>
      <x:c r="Q333" s="6"/>
      <x:c r="R333"/>
      <x:c r="S333"/>
      <x:c r="T333"/>
    </x:row>
    <x:row r="334" spans="1:20" ht="15.75" x14ac:dyDescent="0.25">
      <x:c r="A334"/>
      <x:c r="B334"/>
      <x:c r="C334"/>
      <x:c r="D334"/>
      <x:c r="E334" s="31"/>
      <x:c r="F334" s="8"/>
      <x:c r="G334" s="8"/>
      <x:c r="H334" s="6"/>
      <x:c r="I334" s="27"/>
      <x:c r="J334" s="6"/>
      <x:c r="K334" s="6"/>
      <x:c r="L334" s="6"/>
      <x:c r="M334" s="6"/>
      <x:c r="N334" s="6"/>
      <x:c r="O334" s="6"/>
      <x:c r="P334" s="6"/>
      <x:c r="Q334" s="6"/>
      <x:c r="R334"/>
      <x:c r="S334"/>
      <x:c r="T334"/>
    </x:row>
    <x:row r="335" spans="1:20" ht="15.75" x14ac:dyDescent="0.25">
      <x:c r="A335"/>
      <x:c r="B335"/>
      <x:c r="C335"/>
      <x:c r="D335"/>
      <x:c r="E335" s="31"/>
      <x:c r="F335" s="8"/>
      <x:c r="G335" s="8"/>
      <x:c r="H335" s="6"/>
      <x:c r="I335" s="27"/>
      <x:c r="J335" s="6"/>
      <x:c r="K335" s="6"/>
      <x:c r="L335" s="6"/>
      <x:c r="M335" s="6"/>
      <x:c r="N335" s="6"/>
      <x:c r="O335" s="6"/>
      <x:c r="P335" s="6"/>
      <x:c r="Q335" s="6"/>
      <x:c r="R335"/>
      <x:c r="S335"/>
      <x:c r="T335"/>
    </x:row>
    <x:row r="336" spans="1:20" ht="15.75" x14ac:dyDescent="0.25">
      <x:c r="A336"/>
      <x:c r="B336"/>
      <x:c r="C336"/>
      <x:c r="D336"/>
      <x:c r="E336" s="31"/>
      <x:c r="F336" s="8"/>
      <x:c r="G336" s="8"/>
      <x:c r="H336" s="6"/>
      <x:c r="I336" s="27"/>
      <x:c r="J336" s="6"/>
      <x:c r="K336" s="6"/>
      <x:c r="L336" s="6"/>
      <x:c r="M336" s="6"/>
      <x:c r="N336" s="6"/>
      <x:c r="O336" s="6"/>
      <x:c r="P336" s="6"/>
      <x:c r="Q336" s="6"/>
      <x:c r="R336"/>
      <x:c r="S336"/>
      <x:c r="T336"/>
    </x:row>
    <x:row r="337" spans="1:20" ht="15.75" x14ac:dyDescent="0.25">
      <x:c r="A337"/>
      <x:c r="B337"/>
      <x:c r="C337"/>
      <x:c r="D337"/>
      <x:c r="E337" s="31"/>
      <x:c r="F337" s="8"/>
      <x:c r="G337" s="8"/>
      <x:c r="H337" s="6"/>
      <x:c r="I337" s="27"/>
      <x:c r="J337" s="6"/>
      <x:c r="K337" s="6"/>
      <x:c r="L337" s="6"/>
      <x:c r="M337" s="6"/>
      <x:c r="N337" s="6"/>
      <x:c r="O337" s="6"/>
      <x:c r="P337" s="6"/>
      <x:c r="Q337" s="6"/>
      <x:c r="R337"/>
      <x:c r="S337"/>
      <x:c r="T337"/>
    </x:row>
    <x:row r="338" spans="1:20" ht="15.75" x14ac:dyDescent="0.25">
      <x:c r="A338"/>
      <x:c r="B338"/>
      <x:c r="C338"/>
      <x:c r="D338"/>
      <x:c r="E338" s="31"/>
      <x:c r="F338" s="8"/>
      <x:c r="G338" s="8"/>
      <x:c r="H338" s="6"/>
      <x:c r="I338" s="27"/>
      <x:c r="J338" s="6"/>
      <x:c r="K338" s="6"/>
      <x:c r="L338" s="6"/>
      <x:c r="M338" s="6"/>
      <x:c r="N338" s="6"/>
      <x:c r="O338" s="6"/>
      <x:c r="P338" s="6"/>
      <x:c r="Q338" s="6"/>
      <x:c r="R338"/>
      <x:c r="S338"/>
      <x:c r="T338"/>
    </x:row>
    <x:row r="339" spans="1:20" ht="15.75" x14ac:dyDescent="0.25">
      <x:c r="A339"/>
      <x:c r="B339"/>
      <x:c r="C339"/>
      <x:c r="D339"/>
      <x:c r="E339" s="31"/>
      <x:c r="F339" s="8"/>
      <x:c r="G339" s="8"/>
      <x:c r="H339" s="6"/>
      <x:c r="I339" s="27"/>
      <x:c r="J339" s="6"/>
      <x:c r="K339" s="6"/>
      <x:c r="L339" s="6"/>
      <x:c r="M339" s="6"/>
      <x:c r="N339" s="6"/>
      <x:c r="O339" s="6"/>
      <x:c r="P339" s="6"/>
      <x:c r="Q339" s="6"/>
      <x:c r="R339"/>
      <x:c r="S339"/>
      <x:c r="T339"/>
    </x:row>
    <x:row r="340" spans="1:20" ht="15.75" x14ac:dyDescent="0.25">
      <x:c r="A340"/>
      <x:c r="B340"/>
      <x:c r="C340"/>
      <x:c r="D340"/>
      <x:c r="E340" s="31"/>
      <x:c r="F340" s="8"/>
      <x:c r="G340" s="8"/>
      <x:c r="H340" s="6"/>
      <x:c r="I340" s="27"/>
      <x:c r="J340" s="6"/>
      <x:c r="K340" s="6"/>
      <x:c r="L340" s="6"/>
      <x:c r="M340" s="6"/>
      <x:c r="N340" s="6"/>
      <x:c r="O340" s="6"/>
      <x:c r="P340" s="6"/>
      <x:c r="Q340" s="6"/>
      <x:c r="R340"/>
      <x:c r="S340"/>
      <x:c r="T340"/>
    </x:row>
    <x:row r="341" spans="1:20" ht="15.75" x14ac:dyDescent="0.25">
      <x:c r="A341"/>
      <x:c r="B341"/>
      <x:c r="C341"/>
      <x:c r="D341"/>
      <x:c r="E341" s="31"/>
      <x:c r="F341" s="8"/>
      <x:c r="G341" s="8"/>
      <x:c r="H341" s="6"/>
      <x:c r="I341" s="27"/>
      <x:c r="J341" s="6"/>
      <x:c r="K341" s="6"/>
      <x:c r="L341" s="6"/>
      <x:c r="M341" s="6"/>
      <x:c r="N341" s="6"/>
      <x:c r="O341" s="6"/>
      <x:c r="P341" s="6"/>
      <x:c r="Q341" s="6"/>
      <x:c r="R341"/>
      <x:c r="S341"/>
      <x:c r="T341"/>
    </x:row>
    <x:row r="342" spans="1:20" ht="15.75" x14ac:dyDescent="0.25">
      <x:c r="A342"/>
      <x:c r="B342"/>
      <x:c r="C342"/>
      <x:c r="D342"/>
      <x:c r="E342" s="31"/>
      <x:c r="F342" s="8"/>
      <x:c r="G342" s="8"/>
      <x:c r="H342" s="6"/>
      <x:c r="I342" s="27"/>
      <x:c r="J342" s="6"/>
      <x:c r="K342" s="6"/>
      <x:c r="L342" s="6"/>
      <x:c r="M342" s="6"/>
      <x:c r="N342" s="6"/>
      <x:c r="O342" s="6"/>
      <x:c r="P342" s="6"/>
      <x:c r="Q342" s="6"/>
      <x:c r="R342"/>
      <x:c r="S342"/>
      <x:c r="T342"/>
    </x:row>
    <x:row r="343" spans="1:20" ht="15.75" x14ac:dyDescent="0.25">
      <x:c r="A343"/>
      <x:c r="B343"/>
      <x:c r="C343"/>
      <x:c r="D343"/>
      <x:c r="E343" s="31"/>
      <x:c r="F343" s="8"/>
      <x:c r="G343" s="8"/>
      <x:c r="H343" s="6"/>
      <x:c r="I343" s="27"/>
      <x:c r="J343" s="6"/>
      <x:c r="K343" s="6"/>
      <x:c r="L343" s="6"/>
      <x:c r="M343" s="6"/>
      <x:c r="N343" s="6"/>
      <x:c r="O343" s="6"/>
      <x:c r="P343" s="6"/>
      <x:c r="Q343" s="6"/>
      <x:c r="R343"/>
      <x:c r="S343"/>
      <x:c r="T343"/>
    </x:row>
    <x:row r="344" spans="1:20" ht="15.75" x14ac:dyDescent="0.25">
      <x:c r="A344"/>
      <x:c r="B344"/>
      <x:c r="C344"/>
      <x:c r="D344"/>
      <x:c r="E344" s="31"/>
      <x:c r="F344" s="8"/>
      <x:c r="G344" s="8"/>
      <x:c r="H344" s="6"/>
      <x:c r="I344" s="27"/>
      <x:c r="J344" s="6"/>
      <x:c r="K344" s="6"/>
      <x:c r="L344" s="6"/>
      <x:c r="M344" s="6"/>
      <x:c r="N344" s="6"/>
      <x:c r="O344" s="6"/>
      <x:c r="P344" s="6"/>
      <x:c r="Q344" s="6"/>
      <x:c r="R344"/>
      <x:c r="S344"/>
      <x:c r="T344"/>
    </x:row>
    <x:row r="345" spans="1:20" ht="15.75" x14ac:dyDescent="0.25">
      <x:c r="A345"/>
      <x:c r="B345"/>
      <x:c r="C345"/>
      <x:c r="D345"/>
      <x:c r="E345" s="31"/>
      <x:c r="F345" s="8"/>
      <x:c r="G345" s="8"/>
      <x:c r="H345" s="6"/>
      <x:c r="I345" s="27"/>
      <x:c r="J345" s="6"/>
      <x:c r="K345" s="6"/>
      <x:c r="L345" s="6"/>
      <x:c r="M345" s="6"/>
      <x:c r="N345" s="6"/>
      <x:c r="O345" s="6"/>
      <x:c r="P345" s="6"/>
      <x:c r="Q345" s="6"/>
      <x:c r="R345"/>
      <x:c r="S345"/>
      <x:c r="T345"/>
    </x:row>
    <x:row r="346" spans="1:20" ht="15.75" x14ac:dyDescent="0.25">
      <x:c r="A346"/>
      <x:c r="B346"/>
      <x:c r="C346"/>
      <x:c r="D346"/>
      <x:c r="E346" s="31"/>
      <x:c r="F346" s="8"/>
      <x:c r="G346" s="8"/>
      <x:c r="H346" s="6"/>
      <x:c r="I346" s="27"/>
      <x:c r="J346" s="6"/>
      <x:c r="K346" s="6"/>
      <x:c r="L346" s="6"/>
      <x:c r="M346" s="6"/>
      <x:c r="N346" s="6"/>
      <x:c r="O346" s="6"/>
      <x:c r="P346" s="6"/>
      <x:c r="Q346" s="6"/>
      <x:c r="R346"/>
      <x:c r="S346"/>
      <x:c r="T346"/>
    </x:row>
    <x:row r="347" spans="1:20" ht="15.75" x14ac:dyDescent="0.25">
      <x:c r="A347"/>
      <x:c r="B347"/>
      <x:c r="C347"/>
      <x:c r="D347"/>
      <x:c r="E347" s="31"/>
      <x:c r="F347" s="8"/>
      <x:c r="G347" s="8"/>
      <x:c r="H347" s="6"/>
      <x:c r="I347" s="27"/>
      <x:c r="J347" s="6"/>
      <x:c r="K347" s="6"/>
      <x:c r="L347" s="6"/>
      <x:c r="M347" s="6"/>
      <x:c r="N347" s="6"/>
      <x:c r="O347" s="6"/>
      <x:c r="P347" s="6"/>
      <x:c r="Q347" s="6"/>
      <x:c r="R347"/>
      <x:c r="S347"/>
      <x:c r="T347"/>
    </x:row>
    <x:row r="348" spans="1:20" ht="15.75" x14ac:dyDescent="0.25">
      <x:c r="A348"/>
      <x:c r="B348"/>
      <x:c r="C348"/>
      <x:c r="D348"/>
      <x:c r="E348" s="31"/>
      <x:c r="F348" s="8"/>
      <x:c r="G348" s="8"/>
      <x:c r="H348" s="6"/>
      <x:c r="I348" s="27"/>
      <x:c r="J348" s="6"/>
      <x:c r="K348" s="6"/>
      <x:c r="L348" s="6"/>
      <x:c r="M348" s="6"/>
      <x:c r="N348" s="6"/>
      <x:c r="O348" s="6"/>
      <x:c r="P348" s="6"/>
      <x:c r="Q348" s="6"/>
      <x:c r="R348"/>
      <x:c r="S348"/>
      <x:c r="T348"/>
    </x:row>
    <x:row r="349" spans="1:20" ht="15.75" x14ac:dyDescent="0.25">
      <x:c r="A349"/>
      <x:c r="B349"/>
      <x:c r="C349"/>
      <x:c r="D349"/>
      <x:c r="E349" s="31"/>
      <x:c r="F349" s="8"/>
      <x:c r="G349" s="8"/>
      <x:c r="H349" s="6"/>
      <x:c r="I349" s="27"/>
      <x:c r="J349" s="6"/>
      <x:c r="K349" s="6"/>
      <x:c r="L349" s="6"/>
      <x:c r="M349" s="6"/>
      <x:c r="N349" s="6"/>
      <x:c r="O349" s="6"/>
      <x:c r="P349" s="6"/>
      <x:c r="Q349" s="6"/>
      <x:c r="R349"/>
      <x:c r="S349"/>
      <x:c r="T349"/>
    </x:row>
    <x:row r="350" spans="1:20" ht="15.75" x14ac:dyDescent="0.25">
      <x:c r="A350"/>
      <x:c r="B350"/>
      <x:c r="C350"/>
      <x:c r="D350"/>
      <x:c r="E350" s="31"/>
      <x:c r="F350" s="8"/>
      <x:c r="G350" s="8"/>
      <x:c r="H350" s="6"/>
      <x:c r="I350" s="27"/>
      <x:c r="J350" s="6"/>
      <x:c r="K350" s="6"/>
      <x:c r="L350" s="6"/>
      <x:c r="M350" s="6"/>
      <x:c r="N350" s="6"/>
      <x:c r="O350" s="6"/>
      <x:c r="P350" s="6"/>
      <x:c r="Q350" s="6"/>
      <x:c r="R350"/>
      <x:c r="S350"/>
      <x:c r="T350"/>
    </x:row>
    <x:row r="351" spans="1:20" ht="15.75" x14ac:dyDescent="0.25">
      <x:c r="A351"/>
      <x:c r="B351"/>
      <x:c r="C351"/>
      <x:c r="D351"/>
      <x:c r="E351" s="31"/>
      <x:c r="F351" s="8"/>
      <x:c r="G351" s="8"/>
      <x:c r="H351" s="6"/>
      <x:c r="I351" s="27"/>
      <x:c r="J351" s="6"/>
      <x:c r="K351" s="6"/>
      <x:c r="L351" s="6"/>
      <x:c r="M351" s="6"/>
      <x:c r="N351" s="6"/>
      <x:c r="O351" s="6"/>
      <x:c r="P351" s="6"/>
      <x:c r="Q351" s="6"/>
      <x:c r="R351"/>
      <x:c r="S351"/>
      <x:c r="T351"/>
    </x:row>
    <x:row r="352" spans="1:20" ht="15.75" x14ac:dyDescent="0.25">
      <x:c r="A352"/>
      <x:c r="B352"/>
      <x:c r="C352"/>
      <x:c r="D352"/>
      <x:c r="E352" s="31"/>
      <x:c r="F352" s="8"/>
      <x:c r="G352" s="8"/>
      <x:c r="H352" s="6"/>
      <x:c r="I352" s="27"/>
      <x:c r="J352" s="6"/>
      <x:c r="K352" s="6"/>
      <x:c r="L352" s="6"/>
      <x:c r="M352" s="6"/>
      <x:c r="N352" s="6"/>
      <x:c r="O352" s="6"/>
      <x:c r="P352" s="6"/>
      <x:c r="Q352" s="6"/>
      <x:c r="R352"/>
      <x:c r="S352"/>
      <x:c r="T352"/>
    </x:row>
    <x:row r="353" spans="1:20" ht="15.75" x14ac:dyDescent="0.25">
      <x:c r="A353"/>
      <x:c r="B353"/>
      <x:c r="C353"/>
      <x:c r="D353"/>
      <x:c r="E353" s="31"/>
      <x:c r="F353" s="8"/>
      <x:c r="G353" s="8"/>
      <x:c r="H353" s="6"/>
      <x:c r="I353" s="27"/>
      <x:c r="J353" s="6"/>
      <x:c r="K353" s="6"/>
      <x:c r="L353" s="6"/>
      <x:c r="M353" s="6"/>
      <x:c r="N353" s="6"/>
      <x:c r="O353" s="6"/>
      <x:c r="P353" s="6"/>
      <x:c r="Q353" s="6"/>
      <x:c r="R353"/>
      <x:c r="S353"/>
      <x:c r="T353"/>
    </x:row>
    <x:row r="354" spans="1:20" ht="15.75" x14ac:dyDescent="0.25">
      <x:c r="A354"/>
      <x:c r="B354"/>
      <x:c r="C354"/>
      <x:c r="D354"/>
      <x:c r="E354" s="31"/>
      <x:c r="F354" s="8"/>
      <x:c r="G354" s="8"/>
      <x:c r="H354" s="6"/>
      <x:c r="I354" s="27"/>
      <x:c r="J354" s="6"/>
      <x:c r="K354" s="6"/>
      <x:c r="L354" s="6"/>
      <x:c r="M354" s="6"/>
      <x:c r="N354" s="6"/>
      <x:c r="O354" s="6"/>
      <x:c r="P354" s="6"/>
      <x:c r="Q354" s="6"/>
      <x:c r="R354"/>
      <x:c r="S354"/>
      <x:c r="T354"/>
    </x:row>
    <x:row r="355" spans="1:20" ht="15.75" x14ac:dyDescent="0.25">
      <x:c r="A355"/>
      <x:c r="B355"/>
      <x:c r="C355"/>
      <x:c r="D355"/>
      <x:c r="E355" s="31"/>
      <x:c r="F355" s="8"/>
      <x:c r="G355" s="8"/>
      <x:c r="H355" s="6"/>
      <x:c r="I355" s="27"/>
      <x:c r="J355" s="6"/>
      <x:c r="K355" s="6"/>
      <x:c r="L355" s="6"/>
      <x:c r="M355" s="6"/>
      <x:c r="N355" s="6"/>
      <x:c r="O355" s="6"/>
      <x:c r="P355" s="6"/>
      <x:c r="Q355" s="6"/>
      <x:c r="R355"/>
      <x:c r="S355"/>
      <x:c r="T355"/>
    </x:row>
    <x:row r="356" spans="1:20" ht="15.75" x14ac:dyDescent="0.25">
      <x:c r="A356"/>
      <x:c r="B356"/>
      <x:c r="C356"/>
      <x:c r="D356"/>
      <x:c r="E356" s="31"/>
      <x:c r="F356" s="8"/>
      <x:c r="G356" s="8"/>
      <x:c r="H356" s="6"/>
      <x:c r="I356" s="27"/>
      <x:c r="J356" s="6"/>
      <x:c r="K356" s="6"/>
      <x:c r="L356" s="6"/>
      <x:c r="M356" s="6"/>
      <x:c r="N356" s="6"/>
      <x:c r="O356" s="6"/>
      <x:c r="P356" s="6"/>
      <x:c r="Q356" s="6"/>
      <x:c r="R356"/>
      <x:c r="S356"/>
      <x:c r="T356"/>
    </x:row>
    <x:row r="357" spans="1:20" ht="15.75" x14ac:dyDescent="0.25">
      <x:c r="A357"/>
      <x:c r="B357"/>
      <x:c r="C357"/>
      <x:c r="D357"/>
      <x:c r="E357" s="31"/>
      <x:c r="F357" s="8"/>
      <x:c r="G357" s="8"/>
      <x:c r="H357" s="6"/>
      <x:c r="I357" s="27"/>
      <x:c r="J357" s="6"/>
      <x:c r="K357" s="6"/>
      <x:c r="L357" s="6"/>
      <x:c r="M357" s="6"/>
      <x:c r="N357" s="6"/>
      <x:c r="O357" s="6"/>
      <x:c r="P357" s="6"/>
      <x:c r="Q357" s="6"/>
      <x:c r="R357"/>
      <x:c r="S357"/>
      <x:c r="T357"/>
    </x:row>
    <x:row r="358" spans="1:20" ht="15.75" x14ac:dyDescent="0.25">
      <x:c r="A358"/>
      <x:c r="B358"/>
      <x:c r="C358"/>
      <x:c r="D358"/>
      <x:c r="E358" s="31"/>
      <x:c r="F358" s="8"/>
      <x:c r="G358" s="8"/>
      <x:c r="H358" s="6"/>
      <x:c r="I358" s="27"/>
      <x:c r="J358" s="6"/>
      <x:c r="K358" s="6"/>
      <x:c r="L358" s="6"/>
      <x:c r="M358" s="6"/>
      <x:c r="N358" s="6"/>
      <x:c r="O358" s="6"/>
      <x:c r="P358" s="6"/>
      <x:c r="Q358" s="6"/>
      <x:c r="R358"/>
      <x:c r="S358"/>
      <x:c r="T358"/>
    </x:row>
    <x:row r="359" spans="1:20" ht="15.75" x14ac:dyDescent="0.25">
      <x:c r="A359"/>
      <x:c r="B359"/>
      <x:c r="C359"/>
      <x:c r="D359"/>
      <x:c r="E359" s="31"/>
      <x:c r="F359" s="8"/>
      <x:c r="G359" s="8"/>
      <x:c r="H359" s="6"/>
      <x:c r="I359" s="27"/>
      <x:c r="J359" s="6"/>
      <x:c r="K359" s="6"/>
      <x:c r="L359" s="6"/>
      <x:c r="M359" s="6"/>
      <x:c r="N359" s="6"/>
      <x:c r="O359" s="6"/>
      <x:c r="P359" s="6"/>
      <x:c r="Q359" s="6"/>
      <x:c r="R359"/>
      <x:c r="S359"/>
      <x:c r="T359"/>
    </x:row>
    <x:row r="360" spans="1:20" ht="15.75" x14ac:dyDescent="0.25">
      <x:c r="A360"/>
      <x:c r="B360"/>
      <x:c r="C360"/>
      <x:c r="D360"/>
      <x:c r="E360" s="31"/>
      <x:c r="F360" s="8"/>
      <x:c r="G360" s="8"/>
      <x:c r="H360" s="6"/>
      <x:c r="I360" s="27"/>
      <x:c r="J360" s="6"/>
      <x:c r="K360" s="6"/>
      <x:c r="L360" s="6"/>
      <x:c r="M360" s="6"/>
      <x:c r="N360" s="6"/>
      <x:c r="O360" s="6"/>
      <x:c r="P360" s="6"/>
      <x:c r="Q360" s="6"/>
      <x:c r="R360"/>
      <x:c r="S360"/>
      <x:c r="T360"/>
    </x:row>
    <x:row r="361" spans="1:20" ht="15.75" x14ac:dyDescent="0.25">
      <x:c r="A361"/>
      <x:c r="B361"/>
      <x:c r="C361"/>
      <x:c r="D361"/>
      <x:c r="E361" s="31"/>
      <x:c r="F361" s="8"/>
      <x:c r="G361" s="8"/>
      <x:c r="H361" s="6"/>
      <x:c r="I361" s="27"/>
      <x:c r="J361" s="6"/>
      <x:c r="K361" s="6"/>
      <x:c r="L361" s="6"/>
      <x:c r="M361" s="6"/>
      <x:c r="N361" s="6"/>
      <x:c r="O361" s="6"/>
      <x:c r="P361" s="6"/>
      <x:c r="Q361" s="6"/>
      <x:c r="R361"/>
      <x:c r="S361"/>
      <x:c r="T361"/>
    </x:row>
    <x:row r="362" spans="1:20" ht="15.75" x14ac:dyDescent="0.25">
      <x:c r="A362"/>
      <x:c r="B362"/>
      <x:c r="C362"/>
      <x:c r="D362"/>
      <x:c r="E362" s="31"/>
      <x:c r="F362" s="8"/>
      <x:c r="G362" s="8"/>
      <x:c r="H362" s="6"/>
      <x:c r="I362" s="27"/>
      <x:c r="J362" s="6"/>
      <x:c r="K362" s="6"/>
      <x:c r="L362" s="6"/>
      <x:c r="M362" s="6"/>
      <x:c r="N362" s="6"/>
      <x:c r="O362" s="6"/>
      <x:c r="P362" s="6"/>
      <x:c r="Q362" s="6"/>
      <x:c r="R362"/>
      <x:c r="S362"/>
      <x:c r="T362"/>
    </x:row>
    <x:row r="363" spans="1:20" ht="15.75" x14ac:dyDescent="0.25">
      <x:c r="A363"/>
      <x:c r="B363"/>
      <x:c r="C363"/>
      <x:c r="D363"/>
      <x:c r="E363" s="31"/>
      <x:c r="F363" s="8"/>
      <x:c r="G363" s="8"/>
      <x:c r="H363" s="6"/>
      <x:c r="I363" s="27"/>
      <x:c r="J363" s="6"/>
      <x:c r="K363" s="6"/>
      <x:c r="L363" s="6"/>
      <x:c r="M363" s="6"/>
      <x:c r="N363" s="6"/>
      <x:c r="O363" s="6"/>
      <x:c r="P363" s="6"/>
      <x:c r="Q363" s="6"/>
      <x:c r="R363"/>
      <x:c r="S363"/>
      <x:c r="T363"/>
    </x:row>
    <x:row r="364" spans="1:20" ht="15.75" x14ac:dyDescent="0.25">
      <x:c r="A364"/>
      <x:c r="B364"/>
      <x:c r="C364"/>
      <x:c r="D364"/>
      <x:c r="E364" s="31"/>
      <x:c r="F364" s="8"/>
      <x:c r="G364" s="8"/>
      <x:c r="H364" s="6"/>
      <x:c r="I364" s="27"/>
      <x:c r="J364" s="6"/>
      <x:c r="K364" s="6"/>
      <x:c r="L364" s="6"/>
      <x:c r="M364" s="6"/>
      <x:c r="N364" s="6"/>
      <x:c r="O364" s="6"/>
      <x:c r="P364" s="6"/>
      <x:c r="Q364" s="6"/>
      <x:c r="R364"/>
      <x:c r="S364"/>
      <x:c r="T364"/>
    </x:row>
    <x:row r="365" spans="1:20" ht="15.75" x14ac:dyDescent="0.25">
      <x:c r="A365"/>
      <x:c r="B365"/>
      <x:c r="C365"/>
      <x:c r="D365"/>
      <x:c r="E365" s="31"/>
      <x:c r="F365" s="8"/>
      <x:c r="G365" s="8"/>
      <x:c r="H365" s="6"/>
      <x:c r="I365" s="27"/>
      <x:c r="J365" s="6"/>
      <x:c r="K365" s="6"/>
      <x:c r="L365" s="6"/>
      <x:c r="M365" s="6"/>
      <x:c r="N365" s="6"/>
      <x:c r="O365" s="6"/>
      <x:c r="P365" s="6"/>
      <x:c r="Q365" s="6"/>
      <x:c r="R365"/>
      <x:c r="S365"/>
      <x:c r="T365"/>
    </x:row>
    <x:row r="366" spans="1:20" ht="15.75" x14ac:dyDescent="0.25">
      <x:c r="A366"/>
      <x:c r="B366"/>
      <x:c r="C366"/>
      <x:c r="D366"/>
      <x:c r="E366" s="31"/>
      <x:c r="F366" s="8"/>
      <x:c r="G366" s="8"/>
      <x:c r="H366" s="6"/>
      <x:c r="I366" s="27"/>
      <x:c r="J366" s="6"/>
      <x:c r="K366" s="6"/>
      <x:c r="L366" s="6"/>
      <x:c r="M366" s="6"/>
      <x:c r="N366" s="6"/>
      <x:c r="O366" s="6"/>
      <x:c r="P366" s="6"/>
      <x:c r="Q366" s="6"/>
      <x:c r="R366"/>
      <x:c r="S366"/>
      <x:c r="T366"/>
    </x:row>
    <x:row r="367" spans="1:20" ht="15.75" x14ac:dyDescent="0.25">
      <x:c r="A367"/>
      <x:c r="B367"/>
      <x:c r="C367"/>
      <x:c r="D367"/>
      <x:c r="E367" s="31"/>
      <x:c r="F367" s="8"/>
      <x:c r="G367" s="8"/>
      <x:c r="H367" s="6"/>
      <x:c r="I367" s="27"/>
      <x:c r="J367" s="6"/>
      <x:c r="K367" s="6"/>
      <x:c r="L367" s="6"/>
      <x:c r="M367" s="6"/>
      <x:c r="N367" s="6"/>
      <x:c r="O367" s="6"/>
      <x:c r="P367" s="6"/>
      <x:c r="Q367" s="6"/>
      <x:c r="R367"/>
      <x:c r="S367"/>
      <x:c r="T367"/>
    </x:row>
    <x:row r="368" spans="1:20" ht="15.75" x14ac:dyDescent="0.25">
      <x:c r="A368"/>
      <x:c r="B368"/>
      <x:c r="C368"/>
      <x:c r="D368"/>
      <x:c r="E368" s="31"/>
      <x:c r="F368" s="8"/>
      <x:c r="G368" s="8"/>
      <x:c r="H368" s="6"/>
      <x:c r="I368" s="27"/>
      <x:c r="J368" s="6"/>
      <x:c r="K368" s="6"/>
      <x:c r="L368" s="6"/>
      <x:c r="M368" s="6"/>
      <x:c r="N368" s="6"/>
      <x:c r="O368" s="6"/>
      <x:c r="P368" s="6"/>
      <x:c r="Q368" s="6"/>
      <x:c r="R368"/>
      <x:c r="S368"/>
      <x:c r="T368"/>
    </x:row>
    <x:row r="369" spans="1:20" ht="15.75" x14ac:dyDescent="0.25">
      <x:c r="A369"/>
      <x:c r="B369"/>
      <x:c r="C369"/>
      <x:c r="D369"/>
      <x:c r="E369" s="31"/>
      <x:c r="F369" s="8"/>
      <x:c r="G369" s="8"/>
      <x:c r="H369" s="6"/>
      <x:c r="I369" s="27"/>
      <x:c r="J369" s="6"/>
      <x:c r="K369" s="6"/>
      <x:c r="L369" s="6"/>
      <x:c r="M369" s="6"/>
      <x:c r="N369" s="6"/>
      <x:c r="O369" s="6"/>
      <x:c r="P369" s="6"/>
      <x:c r="Q369" s="6"/>
      <x:c r="R369"/>
      <x:c r="S369"/>
      <x:c r="T369"/>
    </x:row>
    <x:row r="370" spans="1:20" ht="15.75" x14ac:dyDescent="0.25">
      <x:c r="A370"/>
      <x:c r="B370"/>
      <x:c r="C370"/>
      <x:c r="D370"/>
      <x:c r="E370" s="31"/>
      <x:c r="F370" s="8"/>
      <x:c r="G370" s="8"/>
      <x:c r="H370" s="6"/>
      <x:c r="I370" s="27"/>
      <x:c r="J370" s="6"/>
      <x:c r="K370" s="6"/>
      <x:c r="L370" s="6"/>
      <x:c r="M370" s="6"/>
      <x:c r="N370" s="6"/>
      <x:c r="O370" s="6"/>
      <x:c r="P370" s="6"/>
      <x:c r="Q370" s="6"/>
      <x:c r="R370"/>
      <x:c r="S370"/>
      <x:c r="T370"/>
    </x:row>
    <x:row r="371" spans="1:20" ht="15.75" x14ac:dyDescent="0.25">
      <x:c r="A371"/>
      <x:c r="B371"/>
      <x:c r="C371"/>
      <x:c r="D371"/>
      <x:c r="E371" s="31"/>
      <x:c r="F371" s="8"/>
      <x:c r="G371" s="8"/>
      <x:c r="H371" s="6"/>
      <x:c r="I371" s="27"/>
      <x:c r="J371" s="6"/>
      <x:c r="K371" s="6"/>
      <x:c r="L371" s="6"/>
      <x:c r="M371" s="6"/>
      <x:c r="N371" s="6"/>
      <x:c r="O371" s="6"/>
      <x:c r="P371" s="6"/>
      <x:c r="Q371" s="6"/>
      <x:c r="R371"/>
      <x:c r="S371"/>
      <x:c r="T371"/>
    </x:row>
    <x:row r="372" spans="1:20" ht="15.75" x14ac:dyDescent="0.25">
      <x:c r="A372"/>
      <x:c r="B372"/>
      <x:c r="C372"/>
      <x:c r="D372"/>
      <x:c r="E372" s="31"/>
      <x:c r="F372" s="8"/>
      <x:c r="G372" s="8"/>
      <x:c r="H372" s="6"/>
      <x:c r="I372" s="27"/>
      <x:c r="J372" s="6"/>
      <x:c r="K372" s="6"/>
      <x:c r="L372" s="6"/>
      <x:c r="M372" s="6"/>
      <x:c r="N372" s="6"/>
      <x:c r="O372" s="6"/>
      <x:c r="P372" s="6"/>
      <x:c r="Q372" s="6"/>
      <x:c r="R372"/>
      <x:c r="S372"/>
      <x:c r="T372"/>
    </x:row>
    <x:row r="373" spans="1:20" ht="15.75" x14ac:dyDescent="0.25">
      <x:c r="A373"/>
      <x:c r="B373"/>
      <x:c r="C373"/>
      <x:c r="D373"/>
      <x:c r="E373" s="31"/>
      <x:c r="F373" s="8"/>
      <x:c r="G373" s="8"/>
      <x:c r="H373" s="6"/>
      <x:c r="I373" s="27"/>
      <x:c r="J373" s="6"/>
      <x:c r="K373" s="6"/>
      <x:c r="L373" s="6"/>
      <x:c r="M373" s="6"/>
      <x:c r="N373" s="6"/>
      <x:c r="O373" s="6"/>
      <x:c r="P373" s="6"/>
      <x:c r="Q373" s="6"/>
      <x:c r="R373"/>
      <x:c r="S373"/>
      <x:c r="T373"/>
    </x:row>
    <x:row r="374" spans="1:20" ht="15.75" x14ac:dyDescent="0.25">
      <x:c r="A374"/>
      <x:c r="B374"/>
      <x:c r="C374"/>
      <x:c r="D374"/>
      <x:c r="E374" s="31"/>
      <x:c r="F374" s="8"/>
      <x:c r="G374" s="8"/>
      <x:c r="H374" s="6"/>
      <x:c r="I374" s="27"/>
      <x:c r="J374" s="6"/>
      <x:c r="K374" s="6"/>
      <x:c r="L374" s="6"/>
      <x:c r="M374" s="6"/>
      <x:c r="N374" s="6"/>
      <x:c r="O374" s="6"/>
      <x:c r="P374" s="6"/>
      <x:c r="Q374" s="6"/>
      <x:c r="R374"/>
      <x:c r="S374"/>
      <x:c r="T374"/>
    </x:row>
    <x:row r="375" spans="1:20" ht="15.75" x14ac:dyDescent="0.25">
      <x:c r="A375"/>
      <x:c r="B375"/>
      <x:c r="C375"/>
      <x:c r="D375"/>
      <x:c r="E375" s="31"/>
      <x:c r="F375" s="8"/>
      <x:c r="G375" s="8"/>
      <x:c r="H375" s="6"/>
      <x:c r="I375" s="27"/>
      <x:c r="J375" s="6"/>
      <x:c r="K375" s="6"/>
      <x:c r="L375" s="6"/>
      <x:c r="M375" s="6"/>
      <x:c r="N375" s="6"/>
      <x:c r="O375" s="6"/>
      <x:c r="P375" s="6"/>
      <x:c r="Q375" s="6"/>
      <x:c r="R375"/>
      <x:c r="S375"/>
      <x:c r="T375"/>
    </x:row>
    <x:row r="376" spans="1:20" ht="15.75" x14ac:dyDescent="0.25">
      <x:c r="A376"/>
      <x:c r="B376"/>
      <x:c r="C376"/>
      <x:c r="D376"/>
      <x:c r="E376" s="31"/>
      <x:c r="F376" s="8"/>
      <x:c r="G376" s="8"/>
      <x:c r="H376" s="6"/>
      <x:c r="I376" s="27"/>
      <x:c r="J376" s="6"/>
      <x:c r="K376" s="6"/>
      <x:c r="L376" s="6"/>
      <x:c r="M376" s="6"/>
      <x:c r="N376" s="6"/>
      <x:c r="O376" s="6"/>
      <x:c r="P376" s="6"/>
      <x:c r="Q376" s="6"/>
      <x:c r="R376"/>
      <x:c r="S376"/>
      <x:c r="T376"/>
    </x:row>
    <x:row r="377" spans="1:20" ht="15.75" x14ac:dyDescent="0.25">
      <x:c r="A377"/>
      <x:c r="B377"/>
      <x:c r="C377"/>
      <x:c r="D377"/>
      <x:c r="E377" s="31"/>
      <x:c r="F377" s="8"/>
      <x:c r="G377" s="8"/>
      <x:c r="H377" s="6"/>
      <x:c r="I377" s="27"/>
      <x:c r="J377" s="6"/>
      <x:c r="K377" s="6"/>
      <x:c r="L377" s="6"/>
      <x:c r="M377" s="6"/>
      <x:c r="N377" s="6"/>
      <x:c r="O377" s="6"/>
      <x:c r="P377" s="6"/>
      <x:c r="Q377" s="6"/>
      <x:c r="R377"/>
      <x:c r="S377"/>
      <x:c r="T377"/>
    </x:row>
    <x:row r="378" spans="1:20" ht="15.75" x14ac:dyDescent="0.25">
      <x:c r="A378"/>
      <x:c r="B378"/>
      <x:c r="C378"/>
      <x:c r="D378"/>
      <x:c r="E378" s="31"/>
      <x:c r="F378" s="8"/>
      <x:c r="G378" s="8"/>
      <x:c r="H378" s="6"/>
      <x:c r="I378" s="27"/>
      <x:c r="J378" s="6"/>
      <x:c r="K378" s="6"/>
      <x:c r="L378" s="6"/>
      <x:c r="M378" s="6"/>
      <x:c r="N378" s="6"/>
      <x:c r="O378" s="6"/>
      <x:c r="P378" s="6"/>
      <x:c r="Q378" s="6"/>
      <x:c r="R378"/>
      <x:c r="S378"/>
      <x:c r="T378"/>
    </x:row>
    <x:row r="379" spans="1:20" ht="15.75" x14ac:dyDescent="0.25">
      <x:c r="A379"/>
      <x:c r="B379"/>
      <x:c r="C379"/>
      <x:c r="D379"/>
      <x:c r="E379" s="31"/>
      <x:c r="F379" s="8"/>
      <x:c r="G379" s="8"/>
      <x:c r="H379" s="6"/>
      <x:c r="I379" s="27"/>
      <x:c r="J379" s="6"/>
      <x:c r="K379" s="6"/>
      <x:c r="L379" s="6"/>
      <x:c r="M379" s="6"/>
      <x:c r="N379" s="6"/>
      <x:c r="O379" s="6"/>
      <x:c r="P379" s="6"/>
      <x:c r="Q379" s="6"/>
      <x:c r="R379"/>
      <x:c r="S379"/>
      <x:c r="T379"/>
    </x:row>
    <x:row r="380" spans="1:20" ht="15.75" x14ac:dyDescent="0.25">
      <x:c r="A380"/>
      <x:c r="B380"/>
      <x:c r="C380"/>
      <x:c r="D380"/>
      <x:c r="E380" s="31"/>
      <x:c r="F380" s="8"/>
      <x:c r="G380" s="8"/>
      <x:c r="H380" s="6"/>
      <x:c r="I380" s="27"/>
      <x:c r="J380" s="6"/>
      <x:c r="K380" s="6"/>
      <x:c r="L380" s="6"/>
      <x:c r="M380" s="6"/>
      <x:c r="N380" s="6"/>
      <x:c r="O380" s="6"/>
      <x:c r="P380" s="6"/>
      <x:c r="Q380" s="6"/>
      <x:c r="R380"/>
      <x:c r="S380"/>
      <x:c r="T380"/>
    </x:row>
    <x:row r="381" spans="1:20" ht="15.75" x14ac:dyDescent="0.25">
      <x:c r="A381"/>
      <x:c r="B381"/>
      <x:c r="C381"/>
      <x:c r="D381"/>
      <x:c r="E381" s="31"/>
      <x:c r="F381" s="8"/>
      <x:c r="G381" s="8"/>
      <x:c r="H381" s="6"/>
      <x:c r="I381" s="27"/>
      <x:c r="J381" s="6"/>
      <x:c r="K381" s="6"/>
      <x:c r="L381" s="6"/>
      <x:c r="M381" s="6"/>
      <x:c r="N381" s="6"/>
      <x:c r="O381" s="6"/>
      <x:c r="P381" s="6"/>
      <x:c r="Q381" s="6"/>
      <x:c r="R381"/>
      <x:c r="S381"/>
      <x:c r="T381"/>
    </x:row>
    <x:row r="382" spans="1:20" ht="15.75" x14ac:dyDescent="0.25">
      <x:c r="A382"/>
      <x:c r="B382"/>
      <x:c r="C382"/>
      <x:c r="D382"/>
      <x:c r="E382" s="31"/>
      <x:c r="F382" s="8"/>
      <x:c r="G382" s="8"/>
      <x:c r="H382" s="6"/>
      <x:c r="I382" s="27"/>
      <x:c r="J382" s="6"/>
      <x:c r="K382" s="6"/>
      <x:c r="L382" s="6"/>
      <x:c r="M382" s="6"/>
      <x:c r="N382" s="6"/>
      <x:c r="O382" s="6"/>
      <x:c r="P382" s="6"/>
      <x:c r="Q382" s="6"/>
      <x:c r="R382"/>
      <x:c r="S382"/>
      <x:c r="T382"/>
    </x:row>
    <x:row r="383" spans="1:20" ht="15.75" x14ac:dyDescent="0.25">
      <x:c r="A383"/>
      <x:c r="B383"/>
      <x:c r="C383"/>
      <x:c r="D383"/>
      <x:c r="E383" s="31"/>
      <x:c r="F383" s="8"/>
      <x:c r="G383" s="8"/>
      <x:c r="H383" s="6"/>
      <x:c r="I383" s="27"/>
      <x:c r="J383" s="6"/>
      <x:c r="K383" s="6"/>
      <x:c r="L383" s="6"/>
      <x:c r="M383" s="6"/>
      <x:c r="N383" s="6"/>
      <x:c r="O383" s="6"/>
      <x:c r="P383" s="6"/>
      <x:c r="Q383" s="6"/>
      <x:c r="R383"/>
      <x:c r="S383"/>
      <x:c r="T383"/>
    </x:row>
    <x:row r="384" spans="1:20" ht="15.75" x14ac:dyDescent="0.25">
      <x:c r="A384"/>
      <x:c r="B384"/>
      <x:c r="C384"/>
      <x:c r="D384"/>
      <x:c r="E384" s="31"/>
      <x:c r="F384" s="8"/>
      <x:c r="G384" s="8"/>
      <x:c r="H384" s="6"/>
      <x:c r="I384" s="27"/>
      <x:c r="J384" s="6"/>
      <x:c r="K384" s="6"/>
      <x:c r="L384" s="6"/>
      <x:c r="M384" s="6"/>
      <x:c r="N384" s="6"/>
      <x:c r="O384" s="6"/>
      <x:c r="P384" s="6"/>
      <x:c r="Q384" s="6"/>
      <x:c r="R384"/>
      <x:c r="S384"/>
      <x:c r="T384"/>
    </x:row>
    <x:row r="385" spans="1:20" ht="15.75" x14ac:dyDescent="0.25">
      <x:c r="A385"/>
      <x:c r="B385"/>
      <x:c r="C385"/>
      <x:c r="D385"/>
      <x:c r="E385" s="31"/>
      <x:c r="F385" s="8"/>
      <x:c r="G385" s="8"/>
      <x:c r="H385" s="6"/>
      <x:c r="I385" s="27"/>
      <x:c r="J385" s="6"/>
      <x:c r="K385" s="6"/>
      <x:c r="L385" s="6"/>
      <x:c r="M385" s="6"/>
      <x:c r="N385" s="6"/>
      <x:c r="O385" s="6"/>
      <x:c r="P385" s="6"/>
      <x:c r="Q385" s="6"/>
      <x:c r="R385"/>
      <x:c r="S385"/>
      <x:c r="T385"/>
    </x:row>
    <x:row r="386" spans="1:20" ht="15.75" x14ac:dyDescent="0.25">
      <x:c r="A386"/>
      <x:c r="B386"/>
      <x:c r="C386"/>
      <x:c r="D386"/>
      <x:c r="E386" s="31"/>
      <x:c r="F386" s="8"/>
      <x:c r="G386" s="8"/>
      <x:c r="H386" s="6"/>
      <x:c r="I386" s="27"/>
      <x:c r="J386" s="6"/>
      <x:c r="K386" s="6"/>
      <x:c r="L386" s="6"/>
      <x:c r="M386" s="6"/>
      <x:c r="N386" s="6"/>
      <x:c r="O386" s="6"/>
      <x:c r="P386" s="6"/>
      <x:c r="Q386" s="6"/>
      <x:c r="R386"/>
      <x:c r="S386"/>
      <x:c r="T386"/>
    </x:row>
    <x:row r="387" spans="1:20" ht="15.75" x14ac:dyDescent="0.25">
      <x:c r="A387"/>
      <x:c r="B387"/>
      <x:c r="C387"/>
      <x:c r="D387"/>
      <x:c r="E387" s="31"/>
      <x:c r="F387" s="8"/>
      <x:c r="G387" s="8"/>
      <x:c r="H387" s="6"/>
      <x:c r="I387" s="27"/>
      <x:c r="J387" s="6"/>
      <x:c r="K387" s="6"/>
      <x:c r="L387" s="6"/>
      <x:c r="M387" s="6"/>
      <x:c r="N387" s="6"/>
      <x:c r="O387" s="6"/>
      <x:c r="P387" s="6"/>
      <x:c r="Q387" s="6"/>
      <x:c r="R387"/>
      <x:c r="S387"/>
      <x:c r="T387"/>
    </x:row>
    <x:row r="388" spans="1:20" ht="15.75" x14ac:dyDescent="0.25">
      <x:c r="A388"/>
      <x:c r="B388"/>
      <x:c r="C388"/>
      <x:c r="D388"/>
      <x:c r="E388" s="31"/>
      <x:c r="F388" s="8"/>
      <x:c r="G388" s="8"/>
      <x:c r="H388" s="6"/>
      <x:c r="I388" s="27"/>
      <x:c r="J388" s="6"/>
      <x:c r="K388" s="6"/>
      <x:c r="L388" s="6"/>
      <x:c r="M388" s="6"/>
      <x:c r="N388" s="6"/>
      <x:c r="O388" s="6"/>
      <x:c r="P388" s="6"/>
      <x:c r="Q388" s="6"/>
      <x:c r="R388"/>
      <x:c r="S388"/>
      <x:c r="T388"/>
    </x:row>
    <x:row r="389" spans="1:20" ht="15.75" x14ac:dyDescent="0.25">
      <x:c r="A389"/>
      <x:c r="B389"/>
      <x:c r="C389"/>
      <x:c r="D389"/>
      <x:c r="E389" s="31"/>
      <x:c r="F389" s="8"/>
      <x:c r="G389" s="8"/>
      <x:c r="H389" s="6"/>
      <x:c r="I389" s="27"/>
      <x:c r="J389" s="6"/>
      <x:c r="K389" s="6"/>
      <x:c r="L389" s="6"/>
      <x:c r="M389" s="6"/>
      <x:c r="N389" s="6"/>
      <x:c r="O389" s="6"/>
      <x:c r="P389" s="6"/>
      <x:c r="Q389" s="6"/>
      <x:c r="R389"/>
      <x:c r="S389"/>
      <x:c r="T389"/>
    </x:row>
    <x:row r="390" spans="1:20" ht="15.75" x14ac:dyDescent="0.25">
      <x:c r="A390"/>
      <x:c r="B390"/>
      <x:c r="C390"/>
      <x:c r="D390"/>
      <x:c r="E390" s="31"/>
      <x:c r="F390" s="8"/>
      <x:c r="G390" s="8"/>
      <x:c r="H390" s="6"/>
      <x:c r="I390" s="27"/>
      <x:c r="J390" s="6"/>
      <x:c r="K390" s="6"/>
      <x:c r="L390" s="6"/>
      <x:c r="M390" s="6"/>
      <x:c r="N390" s="6"/>
      <x:c r="O390" s="6"/>
      <x:c r="P390" s="6"/>
      <x:c r="Q390" s="6"/>
      <x:c r="R390"/>
      <x:c r="S390"/>
      <x:c r="T390"/>
    </x:row>
    <x:row r="391" spans="1:20" ht="15.75" x14ac:dyDescent="0.25">
      <x:c r="A391"/>
      <x:c r="B391"/>
      <x:c r="C391"/>
      <x:c r="D391"/>
      <x:c r="E391" s="31"/>
      <x:c r="F391" s="8"/>
      <x:c r="G391" s="8"/>
      <x:c r="H391" s="6"/>
      <x:c r="I391" s="27"/>
      <x:c r="J391" s="6"/>
      <x:c r="K391" s="6"/>
      <x:c r="L391" s="6"/>
      <x:c r="M391" s="6"/>
      <x:c r="N391" s="6"/>
      <x:c r="O391" s="6"/>
      <x:c r="P391" s="6"/>
      <x:c r="Q391" s="6"/>
      <x:c r="R391"/>
      <x:c r="S391"/>
      <x:c r="T391"/>
    </x:row>
    <x:row r="392" spans="1:20" ht="15.75" x14ac:dyDescent="0.25">
      <x:c r="A392"/>
      <x:c r="B392"/>
      <x:c r="C392"/>
      <x:c r="D392"/>
      <x:c r="E392" s="31"/>
      <x:c r="F392" s="8"/>
      <x:c r="G392" s="8"/>
      <x:c r="H392" s="6"/>
      <x:c r="I392" s="27"/>
      <x:c r="J392" s="6"/>
      <x:c r="K392" s="6"/>
      <x:c r="L392" s="6"/>
      <x:c r="M392" s="6"/>
      <x:c r="N392" s="6"/>
      <x:c r="O392" s="6"/>
      <x:c r="P392" s="6"/>
      <x:c r="Q392" s="6"/>
      <x:c r="R392"/>
      <x:c r="S392"/>
      <x:c r="T392"/>
    </x:row>
    <x:row r="393" spans="1:20" ht="15.75" x14ac:dyDescent="0.25">
      <x:c r="A393"/>
      <x:c r="B393"/>
      <x:c r="C393"/>
      <x:c r="D393"/>
      <x:c r="E393" s="31"/>
      <x:c r="F393" s="8"/>
      <x:c r="G393" s="8"/>
      <x:c r="H393" s="6"/>
      <x:c r="I393" s="27"/>
      <x:c r="J393" s="6"/>
      <x:c r="K393" s="6"/>
      <x:c r="L393" s="6"/>
      <x:c r="M393" s="6"/>
      <x:c r="N393" s="6"/>
      <x:c r="O393" s="6"/>
      <x:c r="P393" s="6"/>
      <x:c r="Q393" s="6"/>
      <x:c r="R393"/>
      <x:c r="S393"/>
      <x:c r="T393"/>
    </x:row>
    <x:row r="394" spans="1:20" ht="15.75" x14ac:dyDescent="0.25">
      <x:c r="A394"/>
      <x:c r="B394"/>
      <x:c r="C394"/>
      <x:c r="D394"/>
      <x:c r="E394" s="31"/>
      <x:c r="F394" s="8"/>
      <x:c r="G394" s="8"/>
      <x:c r="H394" s="6"/>
      <x:c r="I394" s="27"/>
      <x:c r="J394" s="6"/>
      <x:c r="K394" s="6"/>
      <x:c r="L394" s="6"/>
      <x:c r="M394" s="6"/>
      <x:c r="N394" s="6"/>
      <x:c r="O394" s="6"/>
      <x:c r="P394" s="6"/>
      <x:c r="Q394" s="6"/>
      <x:c r="R394"/>
      <x:c r="S394"/>
      <x:c r="T394"/>
    </x:row>
    <x:row r="395" spans="1:20" ht="15.75" x14ac:dyDescent="0.25">
      <x:c r="A395"/>
      <x:c r="B395"/>
      <x:c r="C395"/>
      <x:c r="D395"/>
      <x:c r="E395" s="31"/>
      <x:c r="F395" s="8"/>
      <x:c r="G395" s="8"/>
      <x:c r="H395" s="6"/>
      <x:c r="I395" s="27"/>
      <x:c r="J395" s="6"/>
      <x:c r="K395" s="6"/>
      <x:c r="L395" s="6"/>
      <x:c r="M395" s="6"/>
      <x:c r="N395" s="6"/>
      <x:c r="O395" s="6"/>
      <x:c r="P395" s="6"/>
      <x:c r="Q395" s="6"/>
      <x:c r="R395"/>
      <x:c r="S395"/>
      <x:c r="T395"/>
    </x:row>
    <x:row r="396" spans="1:20" ht="15.75" x14ac:dyDescent="0.25">
      <x:c r="A396"/>
      <x:c r="B396"/>
      <x:c r="C396"/>
      <x:c r="D396"/>
      <x:c r="E396" s="31"/>
      <x:c r="F396" s="8"/>
      <x:c r="G396" s="8"/>
      <x:c r="H396" s="6"/>
      <x:c r="I396" s="27"/>
      <x:c r="J396" s="6"/>
      <x:c r="K396" s="6"/>
      <x:c r="L396" s="6"/>
      <x:c r="M396" s="6"/>
      <x:c r="N396" s="6"/>
      <x:c r="O396" s="6"/>
      <x:c r="P396" s="6"/>
      <x:c r="Q396" s="6"/>
      <x:c r="R396"/>
      <x:c r="S396"/>
      <x:c r="T396"/>
    </x:row>
    <x:row r="397" spans="1:20" ht="15.75" x14ac:dyDescent="0.25">
      <x:c r="A397"/>
      <x:c r="B397"/>
      <x:c r="C397"/>
      <x:c r="D397"/>
      <x:c r="E397" s="31"/>
      <x:c r="F397" s="8"/>
      <x:c r="G397" s="8"/>
      <x:c r="H397" s="6"/>
      <x:c r="I397" s="27"/>
      <x:c r="J397" s="6"/>
      <x:c r="K397" s="6"/>
      <x:c r="L397" s="6"/>
      <x:c r="M397" s="6"/>
      <x:c r="N397" s="6"/>
      <x:c r="O397" s="6"/>
      <x:c r="P397" s="6"/>
      <x:c r="Q397" s="6"/>
      <x:c r="R397"/>
      <x:c r="S397"/>
      <x:c r="T397"/>
    </x:row>
    <x:row r="398" spans="1:20" ht="15.75" x14ac:dyDescent="0.25">
      <x:c r="A398"/>
      <x:c r="B398"/>
      <x:c r="C398"/>
      <x:c r="D398"/>
      <x:c r="E398" s="31"/>
      <x:c r="F398" s="8"/>
      <x:c r="G398" s="8"/>
      <x:c r="H398" s="6"/>
      <x:c r="I398" s="27"/>
      <x:c r="J398" s="6"/>
      <x:c r="K398" s="6"/>
      <x:c r="L398" s="6"/>
      <x:c r="M398" s="6"/>
      <x:c r="N398" s="6"/>
      <x:c r="O398" s="6"/>
      <x:c r="P398" s="6"/>
      <x:c r="Q398" s="6"/>
      <x:c r="R398"/>
      <x:c r="S398"/>
      <x:c r="T398"/>
    </x:row>
    <x:row r="399" spans="1:20" ht="15.75" x14ac:dyDescent="0.25">
      <x:c r="A399"/>
      <x:c r="B399"/>
      <x:c r="C399"/>
      <x:c r="D399"/>
      <x:c r="E399" s="31"/>
      <x:c r="F399" s="8"/>
      <x:c r="G399" s="8"/>
      <x:c r="H399" s="6"/>
      <x:c r="I399" s="27"/>
      <x:c r="J399" s="6"/>
      <x:c r="K399" s="6"/>
      <x:c r="L399" s="6"/>
      <x:c r="M399" s="6"/>
      <x:c r="N399" s="6"/>
      <x:c r="O399" s="6"/>
      <x:c r="P399" s="6"/>
      <x:c r="Q399" s="6"/>
      <x:c r="R399"/>
      <x:c r="S399"/>
      <x:c r="T399"/>
    </x:row>
    <x:row r="400" spans="1:20" ht="15.75" x14ac:dyDescent="0.25">
      <x:c r="A400"/>
      <x:c r="B400"/>
      <x:c r="C400"/>
      <x:c r="D400"/>
      <x:c r="E400" s="31"/>
      <x:c r="F400" s="8"/>
      <x:c r="G400" s="8"/>
      <x:c r="H400" s="6"/>
      <x:c r="I400" s="27"/>
      <x:c r="J400" s="6"/>
      <x:c r="K400" s="6"/>
      <x:c r="L400" s="6"/>
      <x:c r="M400" s="6"/>
      <x:c r="N400" s="6"/>
      <x:c r="O400" s="6"/>
      <x:c r="P400" s="6"/>
      <x:c r="Q400" s="6"/>
      <x:c r="R400"/>
      <x:c r="S400"/>
      <x:c r="T400"/>
    </x:row>
    <x:row r="401" spans="1:20" ht="15.75" x14ac:dyDescent="0.25">
      <x:c r="A401"/>
      <x:c r="B401"/>
      <x:c r="C401"/>
      <x:c r="D401"/>
      <x:c r="E401" s="31"/>
      <x:c r="F401" s="8"/>
      <x:c r="G401" s="8"/>
      <x:c r="H401" s="6"/>
      <x:c r="I401" s="27"/>
      <x:c r="J401" s="6"/>
      <x:c r="K401" s="6"/>
      <x:c r="L401" s="6"/>
      <x:c r="M401" s="6"/>
      <x:c r="N401" s="6"/>
      <x:c r="O401" s="6"/>
      <x:c r="P401" s="6"/>
      <x:c r="Q401" s="6"/>
      <x:c r="R401"/>
      <x:c r="S401"/>
      <x:c r="T401"/>
    </x:row>
    <x:row r="402" spans="1:20" ht="15.75" x14ac:dyDescent="0.25">
      <x:c r="A402"/>
      <x:c r="B402"/>
      <x:c r="C402"/>
      <x:c r="D402"/>
      <x:c r="E402" s="31"/>
      <x:c r="F402" s="8"/>
      <x:c r="G402" s="8"/>
      <x:c r="H402" s="6"/>
      <x:c r="I402" s="27"/>
      <x:c r="J402" s="6"/>
      <x:c r="K402" s="6"/>
      <x:c r="L402" s="6"/>
      <x:c r="M402" s="6"/>
      <x:c r="N402" s="6"/>
      <x:c r="O402" s="6"/>
      <x:c r="P402" s="6"/>
      <x:c r="Q402" s="6"/>
      <x:c r="R402"/>
      <x:c r="S402"/>
      <x:c r="T402"/>
    </x:row>
    <x:row r="403" spans="1:20" ht="15.75" x14ac:dyDescent="0.25">
      <x:c r="A403"/>
      <x:c r="B403"/>
      <x:c r="C403"/>
      <x:c r="D403"/>
      <x:c r="E403" s="31"/>
      <x:c r="F403" s="8"/>
      <x:c r="G403" s="8"/>
      <x:c r="H403" s="6"/>
      <x:c r="I403" s="27"/>
      <x:c r="J403" s="6"/>
      <x:c r="K403" s="6"/>
      <x:c r="L403" s="6"/>
      <x:c r="M403" s="6"/>
      <x:c r="N403" s="6"/>
      <x:c r="O403" s="6"/>
      <x:c r="P403" s="6"/>
      <x:c r="Q403" s="6"/>
      <x:c r="R403"/>
      <x:c r="S403"/>
      <x:c r="T403"/>
    </x:row>
    <x:row r="404" spans="1:20" ht="15.75" x14ac:dyDescent="0.25">
      <x:c r="A404"/>
      <x:c r="B404"/>
      <x:c r="C404"/>
      <x:c r="D404"/>
      <x:c r="E404" s="31"/>
      <x:c r="F404" s="8"/>
      <x:c r="G404" s="8"/>
      <x:c r="H404" s="6"/>
      <x:c r="I404" s="27"/>
      <x:c r="J404" s="6"/>
      <x:c r="K404" s="6"/>
      <x:c r="L404" s="6"/>
      <x:c r="M404" s="6"/>
      <x:c r="N404" s="6"/>
      <x:c r="O404" s="6"/>
      <x:c r="P404" s="6"/>
      <x:c r="Q404" s="6"/>
      <x:c r="R404"/>
      <x:c r="S404"/>
      <x:c r="T404"/>
    </x:row>
    <x:row r="405" spans="1:20" ht="15.75" x14ac:dyDescent="0.25">
      <x:c r="A405"/>
      <x:c r="B405"/>
      <x:c r="C405"/>
      <x:c r="D405"/>
      <x:c r="E405" s="31"/>
      <x:c r="F405" s="8"/>
      <x:c r="G405" s="8"/>
      <x:c r="H405" s="6"/>
      <x:c r="I405" s="27"/>
      <x:c r="J405" s="6"/>
      <x:c r="K405" s="6"/>
      <x:c r="L405" s="6"/>
      <x:c r="M405" s="6"/>
      <x:c r="N405" s="6"/>
      <x:c r="O405" s="6"/>
      <x:c r="P405" s="6"/>
      <x:c r="Q405" s="6"/>
      <x:c r="R405"/>
      <x:c r="S405"/>
      <x:c r="T405"/>
    </x:row>
    <x:row r="406" spans="1:20" ht="15.75" x14ac:dyDescent="0.25">
      <x:c r="A406"/>
      <x:c r="B406"/>
      <x:c r="C406"/>
      <x:c r="D406"/>
      <x:c r="E406" s="31"/>
      <x:c r="F406" s="8"/>
      <x:c r="G406" s="8"/>
      <x:c r="H406" s="6"/>
      <x:c r="I406" s="27"/>
      <x:c r="J406" s="6"/>
      <x:c r="K406" s="6"/>
      <x:c r="L406" s="6"/>
      <x:c r="M406" s="6"/>
      <x:c r="N406" s="6"/>
      <x:c r="O406" s="6"/>
      <x:c r="P406" s="6"/>
      <x:c r="Q406" s="6"/>
      <x:c r="R406"/>
      <x:c r="S406"/>
      <x:c r="T406"/>
    </x:row>
    <x:row r="407" spans="1:20" ht="15.75" x14ac:dyDescent="0.25">
      <x:c r="A407"/>
      <x:c r="B407"/>
      <x:c r="C407"/>
      <x:c r="D407"/>
      <x:c r="E407" s="31"/>
      <x:c r="F407" s="8"/>
      <x:c r="G407" s="8"/>
      <x:c r="H407" s="6"/>
      <x:c r="I407" s="27"/>
      <x:c r="J407" s="6"/>
      <x:c r="K407" s="6"/>
      <x:c r="L407" s="6"/>
      <x:c r="M407" s="6"/>
      <x:c r="N407" s="6"/>
      <x:c r="O407" s="6"/>
      <x:c r="P407" s="6"/>
      <x:c r="Q407" s="6"/>
      <x:c r="R407"/>
      <x:c r="S407"/>
      <x:c r="T407"/>
    </x:row>
    <x:row r="408" spans="1:20" ht="15.75" x14ac:dyDescent="0.25">
      <x:c r="A408"/>
      <x:c r="B408"/>
      <x:c r="C408"/>
      <x:c r="D408"/>
      <x:c r="E408" s="31"/>
      <x:c r="F408" s="8"/>
      <x:c r="G408" s="8"/>
      <x:c r="H408" s="6"/>
      <x:c r="I408" s="27"/>
      <x:c r="J408" s="6"/>
      <x:c r="K408" s="6"/>
      <x:c r="L408" s="6"/>
      <x:c r="M408" s="6"/>
      <x:c r="N408" s="6"/>
      <x:c r="O408" s="6"/>
      <x:c r="P408" s="6"/>
      <x:c r="Q408" s="6"/>
      <x:c r="R408"/>
      <x:c r="S408"/>
      <x:c r="T408"/>
    </x:row>
    <x:row r="409" spans="1:20" ht="15.75" x14ac:dyDescent="0.25">
      <x:c r="A409"/>
      <x:c r="B409"/>
      <x:c r="C409"/>
      <x:c r="D409"/>
      <x:c r="E409" s="31"/>
      <x:c r="F409" s="8"/>
      <x:c r="G409" s="8"/>
      <x:c r="H409" s="6"/>
      <x:c r="I409" s="27"/>
      <x:c r="J409" s="6"/>
      <x:c r="K409" s="6"/>
      <x:c r="L409" s="6"/>
      <x:c r="M409" s="6"/>
      <x:c r="N409" s="6"/>
      <x:c r="O409" s="6"/>
      <x:c r="P409" s="6"/>
      <x:c r="Q409" s="6"/>
      <x:c r="R409"/>
      <x:c r="S409"/>
      <x:c r="T409"/>
    </x:row>
    <x:row r="410" spans="1:20" ht="15.75" x14ac:dyDescent="0.25">
      <x:c r="A410"/>
      <x:c r="B410"/>
      <x:c r="C410"/>
      <x:c r="D410"/>
      <x:c r="E410" s="31"/>
      <x:c r="F410" s="8"/>
      <x:c r="G410" s="8"/>
      <x:c r="H410" s="6"/>
      <x:c r="I410" s="27"/>
      <x:c r="J410" s="6"/>
      <x:c r="K410" s="6"/>
      <x:c r="L410" s="6"/>
      <x:c r="M410" s="6"/>
      <x:c r="N410" s="6"/>
      <x:c r="O410" s="6"/>
      <x:c r="P410" s="6"/>
      <x:c r="Q410" s="6"/>
      <x:c r="R410"/>
      <x:c r="S410"/>
      <x:c r="T410"/>
    </x:row>
    <x:row r="411" spans="1:20" ht="15.75" x14ac:dyDescent="0.25">
      <x:c r="A411"/>
      <x:c r="B411"/>
      <x:c r="C411"/>
      <x:c r="D411"/>
      <x:c r="E411" s="31"/>
      <x:c r="F411" s="8"/>
      <x:c r="G411" s="8"/>
      <x:c r="H411" s="6"/>
      <x:c r="I411" s="27"/>
      <x:c r="J411" s="6"/>
      <x:c r="K411" s="6"/>
      <x:c r="L411" s="6"/>
      <x:c r="M411" s="6"/>
      <x:c r="N411" s="6"/>
      <x:c r="O411" s="6"/>
      <x:c r="P411" s="6"/>
      <x:c r="Q411" s="6"/>
      <x:c r="R411"/>
      <x:c r="S411"/>
      <x:c r="T411"/>
    </x:row>
    <x:row r="412" spans="1:20" ht="15.75" x14ac:dyDescent="0.25">
      <x:c r="A412"/>
      <x:c r="B412"/>
      <x:c r="C412"/>
      <x:c r="D412"/>
      <x:c r="E412" s="31"/>
      <x:c r="F412" s="8"/>
      <x:c r="G412" s="8"/>
      <x:c r="H412" s="6"/>
      <x:c r="I412" s="27"/>
      <x:c r="J412" s="6"/>
      <x:c r="K412" s="6"/>
      <x:c r="L412" s="6"/>
      <x:c r="M412" s="6"/>
      <x:c r="N412" s="6"/>
      <x:c r="O412" s="6"/>
      <x:c r="P412" s="6"/>
      <x:c r="Q412" s="6"/>
      <x:c r="R412"/>
      <x:c r="S412"/>
      <x:c r="T412"/>
    </x:row>
    <x:row r="413" spans="1:20" ht="15.75" x14ac:dyDescent="0.25">
      <x:c r="A413"/>
      <x:c r="B413"/>
      <x:c r="C413"/>
      <x:c r="D413"/>
      <x:c r="E413" s="31"/>
      <x:c r="F413" s="8"/>
      <x:c r="G413" s="8"/>
      <x:c r="H413" s="6"/>
      <x:c r="I413" s="27"/>
      <x:c r="J413" s="6"/>
      <x:c r="K413" s="6"/>
      <x:c r="L413" s="6"/>
      <x:c r="M413" s="6"/>
      <x:c r="N413" s="6"/>
      <x:c r="O413" s="6"/>
      <x:c r="P413" s="6"/>
      <x:c r="Q413" s="6"/>
      <x:c r="R413"/>
      <x:c r="S413"/>
      <x:c r="T413"/>
    </x:row>
    <x:row r="414" spans="1:20" ht="15.75" x14ac:dyDescent="0.25">
      <x:c r="A414"/>
      <x:c r="B414"/>
      <x:c r="C414"/>
      <x:c r="D414"/>
      <x:c r="E414" s="31"/>
      <x:c r="F414" s="8"/>
      <x:c r="G414" s="8"/>
      <x:c r="H414" s="6"/>
      <x:c r="I414" s="27"/>
      <x:c r="J414" s="6"/>
      <x:c r="K414" s="6"/>
      <x:c r="L414" s="6"/>
      <x:c r="M414" s="6"/>
      <x:c r="N414" s="6"/>
      <x:c r="O414" s="6"/>
      <x:c r="P414" s="6"/>
      <x:c r="Q414" s="6"/>
      <x:c r="R414"/>
      <x:c r="S414"/>
      <x:c r="T414"/>
    </x:row>
    <x:row r="415" spans="1:20" ht="15.75" x14ac:dyDescent="0.25">
      <x:c r="A415"/>
      <x:c r="B415"/>
      <x:c r="C415"/>
      <x:c r="D415"/>
      <x:c r="E415" s="31"/>
      <x:c r="F415" s="8"/>
      <x:c r="G415" s="8"/>
      <x:c r="H415" s="6"/>
      <x:c r="I415" s="27"/>
      <x:c r="J415" s="6"/>
      <x:c r="K415" s="6"/>
      <x:c r="L415" s="6"/>
      <x:c r="M415" s="6"/>
      <x:c r="N415" s="6"/>
      <x:c r="O415" s="6"/>
      <x:c r="P415" s="6"/>
      <x:c r="Q415" s="6"/>
      <x:c r="R415"/>
      <x:c r="S415"/>
      <x:c r="T415"/>
    </x:row>
    <x:row r="416" spans="1:20" ht="15.75" x14ac:dyDescent="0.25">
      <x:c r="A416"/>
      <x:c r="B416"/>
      <x:c r="C416"/>
      <x:c r="D416"/>
      <x:c r="E416" s="31"/>
      <x:c r="F416" s="8"/>
      <x:c r="G416" s="8"/>
      <x:c r="H416" s="6"/>
      <x:c r="I416" s="27"/>
      <x:c r="J416" s="6"/>
      <x:c r="K416" s="6"/>
      <x:c r="L416" s="6"/>
      <x:c r="M416" s="6"/>
      <x:c r="N416" s="6"/>
      <x:c r="O416" s="6"/>
      <x:c r="P416" s="6"/>
      <x:c r="Q416" s="6"/>
      <x:c r="R416"/>
      <x:c r="S416"/>
      <x:c r="T416"/>
    </x:row>
    <x:row r="417" spans="1:20" ht="15.75" x14ac:dyDescent="0.25">
      <x:c r="A417"/>
      <x:c r="B417"/>
      <x:c r="C417"/>
      <x:c r="D417"/>
      <x:c r="E417" s="31"/>
      <x:c r="F417" s="8"/>
      <x:c r="G417" s="8"/>
      <x:c r="H417" s="6"/>
      <x:c r="I417" s="27"/>
      <x:c r="J417" s="6"/>
      <x:c r="K417" s="6"/>
      <x:c r="L417" s="6"/>
      <x:c r="M417" s="6"/>
      <x:c r="N417" s="6"/>
      <x:c r="O417" s="6"/>
      <x:c r="P417" s="6"/>
      <x:c r="Q417" s="6"/>
      <x:c r="R417"/>
      <x:c r="S417"/>
      <x:c r="T417"/>
    </x:row>
    <x:row r="418" spans="1:20" ht="15.75" x14ac:dyDescent="0.25">
      <x:c r="A418"/>
      <x:c r="B418"/>
      <x:c r="C418"/>
      <x:c r="D418"/>
      <x:c r="E418" s="31"/>
      <x:c r="F418" s="8"/>
      <x:c r="G418" s="8"/>
      <x:c r="H418" s="6"/>
      <x:c r="I418" s="27"/>
      <x:c r="J418" s="6"/>
      <x:c r="K418" s="6"/>
      <x:c r="L418" s="6"/>
      <x:c r="M418" s="6"/>
      <x:c r="N418" s="6"/>
      <x:c r="O418" s="6"/>
      <x:c r="P418" s="6"/>
      <x:c r="Q418" s="6"/>
      <x:c r="R418"/>
      <x:c r="S418"/>
      <x:c r="T418"/>
    </x:row>
    <x:row r="419" spans="1:20" ht="15.75" x14ac:dyDescent="0.25">
      <x:c r="A419"/>
      <x:c r="B419"/>
      <x:c r="C419"/>
      <x:c r="D419"/>
      <x:c r="E419" s="31"/>
      <x:c r="F419" s="8"/>
      <x:c r="G419" s="8"/>
      <x:c r="H419" s="6"/>
      <x:c r="I419" s="27"/>
      <x:c r="J419" s="6"/>
      <x:c r="K419" s="6"/>
      <x:c r="L419" s="6"/>
      <x:c r="M419" s="6"/>
      <x:c r="N419" s="6"/>
      <x:c r="O419" s="6"/>
      <x:c r="P419" s="6"/>
      <x:c r="Q419" s="6"/>
      <x:c r="R419"/>
      <x:c r="S419"/>
      <x:c r="T419"/>
    </x:row>
    <x:row r="420" spans="1:20" ht="15.75" x14ac:dyDescent="0.25">
      <x:c r="A420"/>
      <x:c r="B420"/>
      <x:c r="C420"/>
      <x:c r="D420"/>
      <x:c r="E420" s="31"/>
      <x:c r="F420" s="8"/>
      <x:c r="G420" s="8"/>
      <x:c r="H420" s="6"/>
      <x:c r="I420" s="27"/>
      <x:c r="J420" s="6"/>
      <x:c r="K420" s="6"/>
      <x:c r="L420" s="6"/>
      <x:c r="M420" s="6"/>
      <x:c r="N420" s="6"/>
      <x:c r="O420" s="6"/>
      <x:c r="P420" s="6"/>
      <x:c r="Q420" s="6"/>
      <x:c r="R420"/>
      <x:c r="S420"/>
      <x:c r="T420"/>
    </x:row>
    <x:row r="421" spans="1:20" ht="15.75" x14ac:dyDescent="0.25">
      <x:c r="A421"/>
      <x:c r="B421"/>
      <x:c r="C421"/>
      <x:c r="D421"/>
      <x:c r="E421" s="31"/>
      <x:c r="F421" s="8"/>
      <x:c r="G421" s="8"/>
      <x:c r="H421" s="6"/>
      <x:c r="I421" s="27"/>
      <x:c r="J421" s="6"/>
      <x:c r="K421" s="6"/>
      <x:c r="L421" s="6"/>
      <x:c r="M421" s="6"/>
      <x:c r="N421" s="6"/>
      <x:c r="O421" s="6"/>
      <x:c r="P421" s="6"/>
      <x:c r="Q421" s="6"/>
      <x:c r="R421"/>
      <x:c r="S421"/>
      <x:c r="T421"/>
    </x:row>
    <x:row r="422" spans="1:20" ht="15.75" x14ac:dyDescent="0.25">
      <x:c r="A422"/>
      <x:c r="B422"/>
      <x:c r="C422"/>
      <x:c r="D422"/>
      <x:c r="E422" s="31"/>
      <x:c r="F422" s="8"/>
      <x:c r="G422" s="8"/>
      <x:c r="H422" s="6"/>
      <x:c r="I422" s="27"/>
      <x:c r="J422" s="6"/>
      <x:c r="K422" s="6"/>
      <x:c r="L422" s="6"/>
      <x:c r="M422" s="6"/>
      <x:c r="N422" s="6"/>
      <x:c r="O422" s="6"/>
      <x:c r="P422" s="6"/>
      <x:c r="Q422" s="6"/>
      <x:c r="R422"/>
      <x:c r="S422"/>
      <x:c r="T422"/>
    </x:row>
    <x:row r="423" spans="1:20" ht="15.75" x14ac:dyDescent="0.25">
      <x:c r="A423"/>
      <x:c r="B423"/>
      <x:c r="C423"/>
      <x:c r="D423"/>
      <x:c r="E423" s="31"/>
      <x:c r="F423" s="8"/>
      <x:c r="G423" s="8"/>
      <x:c r="H423" s="6"/>
      <x:c r="I423" s="27"/>
      <x:c r="J423" s="6"/>
      <x:c r="K423" s="6"/>
      <x:c r="L423" s="6"/>
      <x:c r="M423" s="6"/>
      <x:c r="N423" s="6"/>
      <x:c r="O423" s="6"/>
      <x:c r="P423" s="6"/>
      <x:c r="Q423" s="6"/>
      <x:c r="R423"/>
      <x:c r="S423"/>
      <x:c r="T423"/>
    </x:row>
    <x:row r="424" spans="1:20" ht="15.75" x14ac:dyDescent="0.25">
      <x:c r="A424"/>
      <x:c r="B424"/>
      <x:c r="C424"/>
      <x:c r="D424"/>
      <x:c r="E424" s="31"/>
      <x:c r="F424" s="8"/>
      <x:c r="G424" s="8"/>
      <x:c r="H424" s="6"/>
      <x:c r="I424" s="27"/>
      <x:c r="J424" s="6"/>
      <x:c r="K424" s="6"/>
      <x:c r="L424" s="6"/>
      <x:c r="M424" s="6"/>
      <x:c r="N424" s="6"/>
      <x:c r="O424" s="6"/>
      <x:c r="P424" s="6"/>
      <x:c r="Q424" s="6"/>
      <x:c r="R424"/>
      <x:c r="S424"/>
      <x:c r="T424"/>
    </x:row>
    <x:row r="425" spans="1:20" ht="15.75" x14ac:dyDescent="0.25">
      <x:c r="A425"/>
      <x:c r="B425"/>
      <x:c r="C425"/>
      <x:c r="D425"/>
      <x:c r="E425" s="31"/>
      <x:c r="F425" s="8"/>
      <x:c r="G425" s="8"/>
      <x:c r="H425" s="6"/>
      <x:c r="I425" s="27"/>
      <x:c r="J425" s="6"/>
      <x:c r="K425" s="6"/>
      <x:c r="L425" s="6"/>
      <x:c r="M425" s="6"/>
      <x:c r="N425" s="6"/>
      <x:c r="O425" s="6"/>
      <x:c r="P425" s="6"/>
      <x:c r="Q425" s="6"/>
      <x:c r="R425"/>
      <x:c r="S425"/>
      <x:c r="T425"/>
    </x:row>
    <x:row r="426" spans="1:20" ht="15.75" x14ac:dyDescent="0.25">
      <x:c r="A426"/>
      <x:c r="B426"/>
      <x:c r="C426"/>
      <x:c r="D426"/>
      <x:c r="E426" s="31"/>
      <x:c r="F426" s="8"/>
      <x:c r="G426" s="8"/>
      <x:c r="H426" s="6"/>
      <x:c r="I426" s="27"/>
      <x:c r="J426" s="6"/>
      <x:c r="K426" s="6"/>
      <x:c r="L426" s="6"/>
      <x:c r="M426" s="6"/>
      <x:c r="N426" s="6"/>
      <x:c r="O426" s="6"/>
      <x:c r="P426" s="6"/>
      <x:c r="Q426" s="6"/>
      <x:c r="R426"/>
      <x:c r="S426"/>
      <x:c r="T426"/>
    </x:row>
    <x:row r="427" spans="1:20" ht="15.75" x14ac:dyDescent="0.25">
      <x:c r="A427"/>
      <x:c r="B427"/>
      <x:c r="C427"/>
      <x:c r="D427"/>
      <x:c r="E427" s="31"/>
      <x:c r="F427" s="8"/>
      <x:c r="G427" s="8"/>
      <x:c r="H427" s="6"/>
      <x:c r="I427" s="27"/>
      <x:c r="J427" s="6"/>
      <x:c r="K427" s="6"/>
      <x:c r="L427" s="6"/>
      <x:c r="M427" s="6"/>
      <x:c r="N427" s="6"/>
      <x:c r="O427" s="6"/>
      <x:c r="P427" s="6"/>
      <x:c r="Q427" s="6"/>
      <x:c r="R427"/>
      <x:c r="S427"/>
      <x:c r="T427"/>
    </x:row>
    <x:row r="428" spans="1:20" ht="15.75" x14ac:dyDescent="0.25">
      <x:c r="A428"/>
      <x:c r="B428"/>
      <x:c r="C428"/>
      <x:c r="D428"/>
      <x:c r="E428" s="31"/>
      <x:c r="F428" s="8"/>
      <x:c r="G428" s="8"/>
      <x:c r="H428" s="6"/>
      <x:c r="I428" s="27"/>
      <x:c r="J428" s="6"/>
      <x:c r="K428" s="6"/>
      <x:c r="L428" s="6"/>
      <x:c r="M428" s="6"/>
      <x:c r="N428" s="6"/>
      <x:c r="O428" s="6"/>
      <x:c r="P428" s="6"/>
      <x:c r="Q428" s="6"/>
      <x:c r="R428"/>
      <x:c r="S428"/>
      <x:c r="T428"/>
    </x:row>
    <x:row r="429" spans="1:20" ht="15.75" x14ac:dyDescent="0.25">
      <x:c r="A429"/>
      <x:c r="B429"/>
      <x:c r="C429"/>
      <x:c r="D429"/>
      <x:c r="E429" s="31"/>
      <x:c r="F429" s="8"/>
      <x:c r="G429" s="8"/>
      <x:c r="H429" s="6"/>
      <x:c r="I429" s="27"/>
      <x:c r="J429" s="6"/>
      <x:c r="K429" s="6"/>
      <x:c r="L429" s="6"/>
      <x:c r="M429" s="6"/>
      <x:c r="N429" s="6"/>
      <x:c r="O429" s="6"/>
      <x:c r="P429" s="6"/>
      <x:c r="Q429" s="6"/>
      <x:c r="R429"/>
      <x:c r="S429"/>
      <x:c r="T429"/>
    </x:row>
    <x:row r="430" spans="1:20" ht="15.75" x14ac:dyDescent="0.25">
      <x:c r="A430"/>
      <x:c r="B430"/>
      <x:c r="C430"/>
      <x:c r="D430"/>
      <x:c r="E430" s="31"/>
      <x:c r="F430" s="8"/>
      <x:c r="G430" s="8"/>
      <x:c r="H430" s="6"/>
      <x:c r="I430" s="27"/>
      <x:c r="J430" s="6"/>
      <x:c r="K430" s="6"/>
      <x:c r="L430" s="6"/>
      <x:c r="M430" s="6"/>
      <x:c r="N430" s="6"/>
      <x:c r="O430" s="6"/>
      <x:c r="P430" s="6"/>
      <x:c r="Q430" s="6"/>
      <x:c r="R430"/>
      <x:c r="S430"/>
      <x:c r="T430"/>
    </x:row>
    <x:row r="431" spans="1:20" ht="15.75" x14ac:dyDescent="0.25">
      <x:c r="A431"/>
      <x:c r="B431"/>
      <x:c r="C431"/>
      <x:c r="D431"/>
      <x:c r="E431" s="31"/>
      <x:c r="F431" s="8"/>
      <x:c r="G431" s="8"/>
      <x:c r="H431" s="6"/>
      <x:c r="I431" s="27"/>
      <x:c r="J431" s="6"/>
      <x:c r="K431" s="6"/>
      <x:c r="L431" s="6"/>
      <x:c r="M431" s="6"/>
      <x:c r="N431" s="6"/>
      <x:c r="O431" s="6"/>
      <x:c r="P431" s="6"/>
      <x:c r="Q431" s="6"/>
      <x:c r="R431"/>
      <x:c r="S431"/>
      <x:c r="T431"/>
    </x:row>
    <x:row r="432" spans="1:20" ht="15.75" x14ac:dyDescent="0.25">
      <x:c r="A432"/>
      <x:c r="B432"/>
      <x:c r="C432"/>
      <x:c r="D432"/>
      <x:c r="E432" s="31"/>
      <x:c r="F432" s="8"/>
      <x:c r="G432" s="8"/>
      <x:c r="H432" s="6"/>
      <x:c r="I432" s="27"/>
      <x:c r="J432" s="6"/>
      <x:c r="K432" s="6"/>
      <x:c r="L432" s="6"/>
      <x:c r="M432" s="6"/>
      <x:c r="N432" s="6"/>
      <x:c r="O432" s="6"/>
      <x:c r="P432" s="6"/>
      <x:c r="Q432" s="6"/>
      <x:c r="R432"/>
      <x:c r="S432"/>
      <x:c r="T432"/>
    </x:row>
    <x:row r="433" spans="1:20" ht="15.75" x14ac:dyDescent="0.25">
      <x:c r="A433"/>
      <x:c r="B433"/>
      <x:c r="C433"/>
      <x:c r="D433"/>
      <x:c r="E433" s="31"/>
      <x:c r="F433" s="8"/>
      <x:c r="G433" s="8"/>
      <x:c r="H433" s="6"/>
      <x:c r="I433" s="27"/>
      <x:c r="J433" s="6"/>
      <x:c r="K433" s="6"/>
      <x:c r="L433" s="6"/>
      <x:c r="M433" s="6"/>
      <x:c r="N433" s="6"/>
      <x:c r="O433" s="6"/>
      <x:c r="P433" s="6"/>
      <x:c r="Q433" s="6"/>
      <x:c r="R433"/>
      <x:c r="S433"/>
      <x:c r="T433"/>
    </x:row>
    <x:row r="434" spans="1:20" ht="15.75" x14ac:dyDescent="0.25">
      <x:c r="A434"/>
      <x:c r="B434"/>
      <x:c r="C434"/>
      <x:c r="D434"/>
      <x:c r="E434" s="31"/>
      <x:c r="F434" s="8"/>
      <x:c r="G434" s="8"/>
      <x:c r="H434" s="6"/>
      <x:c r="I434" s="27"/>
      <x:c r="J434" s="6"/>
      <x:c r="K434" s="6"/>
      <x:c r="L434" s="6"/>
      <x:c r="M434" s="6"/>
      <x:c r="N434" s="6"/>
      <x:c r="O434" s="6"/>
      <x:c r="P434" s="6"/>
      <x:c r="Q434" s="6"/>
      <x:c r="R434"/>
      <x:c r="S434"/>
      <x:c r="T434"/>
    </x:row>
    <x:row r="435" spans="1:20" ht="15.75" x14ac:dyDescent="0.25">
      <x:c r="A435"/>
      <x:c r="B435"/>
      <x:c r="C435"/>
      <x:c r="D435"/>
      <x:c r="E435" s="31"/>
      <x:c r="F435" s="8"/>
      <x:c r="G435" s="8"/>
      <x:c r="H435" s="6"/>
      <x:c r="I435" s="27"/>
      <x:c r="J435" s="6"/>
      <x:c r="K435" s="6"/>
      <x:c r="L435" s="6"/>
      <x:c r="M435" s="6"/>
      <x:c r="N435" s="6"/>
      <x:c r="O435" s="6"/>
      <x:c r="P435" s="6"/>
      <x:c r="Q435" s="6"/>
      <x:c r="R435"/>
      <x:c r="S435"/>
      <x:c r="T435"/>
    </x:row>
    <x:row r="436" spans="1:20" ht="15.75" x14ac:dyDescent="0.25">
      <x:c r="A436"/>
      <x:c r="B436"/>
      <x:c r="C436"/>
      <x:c r="D436"/>
      <x:c r="E436" s="31"/>
      <x:c r="F436" s="8"/>
      <x:c r="G436" s="8"/>
      <x:c r="H436" s="6"/>
      <x:c r="I436" s="27"/>
      <x:c r="J436" s="6"/>
      <x:c r="K436" s="6"/>
      <x:c r="L436" s="6"/>
      <x:c r="M436" s="6"/>
      <x:c r="N436" s="6"/>
      <x:c r="O436" s="6"/>
      <x:c r="P436" s="6"/>
      <x:c r="Q436" s="6"/>
      <x:c r="R436"/>
      <x:c r="S436"/>
      <x:c r="T436"/>
    </x:row>
    <x:row r="437" spans="1:20" ht="15.75" x14ac:dyDescent="0.25">
      <x:c r="A437"/>
      <x:c r="B437"/>
      <x:c r="C437"/>
      <x:c r="D437"/>
      <x:c r="E437" s="31"/>
      <x:c r="F437" s="8"/>
      <x:c r="G437" s="8"/>
      <x:c r="H437" s="6"/>
      <x:c r="I437" s="27"/>
      <x:c r="J437" s="6"/>
      <x:c r="K437" s="6"/>
      <x:c r="L437" s="6"/>
      <x:c r="M437" s="6"/>
      <x:c r="N437" s="6"/>
      <x:c r="O437" s="6"/>
      <x:c r="P437" s="6"/>
      <x:c r="Q437" s="6"/>
      <x:c r="R437"/>
      <x:c r="S437"/>
      <x:c r="T437"/>
    </x:row>
    <x:row r="438" spans="1:20" ht="15.75" x14ac:dyDescent="0.25">
      <x:c r="A438"/>
      <x:c r="B438"/>
      <x:c r="C438"/>
      <x:c r="D438"/>
      <x:c r="E438" s="31"/>
      <x:c r="F438" s="8"/>
      <x:c r="G438" s="8"/>
      <x:c r="H438" s="6"/>
      <x:c r="I438" s="27"/>
      <x:c r="J438" s="6"/>
      <x:c r="K438" s="6"/>
      <x:c r="L438" s="6"/>
      <x:c r="M438" s="6"/>
      <x:c r="N438" s="6"/>
      <x:c r="O438" s="6"/>
      <x:c r="P438" s="6"/>
      <x:c r="Q438" s="6"/>
      <x:c r="R438"/>
      <x:c r="S438"/>
      <x:c r="T438"/>
    </x:row>
    <x:row r="439" spans="1:20" ht="15.75" x14ac:dyDescent="0.25">
      <x:c r="A439"/>
      <x:c r="B439"/>
      <x:c r="C439"/>
      <x:c r="D439"/>
      <x:c r="E439" s="31"/>
      <x:c r="F439" s="8"/>
      <x:c r="G439" s="8"/>
      <x:c r="H439" s="6"/>
      <x:c r="I439" s="27"/>
      <x:c r="J439" s="6"/>
      <x:c r="K439" s="6"/>
      <x:c r="L439" s="6"/>
      <x:c r="M439" s="6"/>
      <x:c r="N439" s="6"/>
      <x:c r="O439" s="6"/>
      <x:c r="P439" s="6"/>
      <x:c r="Q439" s="6"/>
      <x:c r="R439"/>
      <x:c r="S439"/>
      <x:c r="T439"/>
    </x:row>
    <x:row r="440" spans="1:20" ht="15.75" x14ac:dyDescent="0.25">
      <x:c r="A440"/>
      <x:c r="B440"/>
      <x:c r="C440"/>
      <x:c r="D440"/>
      <x:c r="E440" s="31"/>
      <x:c r="F440" s="8"/>
      <x:c r="G440" s="8"/>
      <x:c r="H440" s="6"/>
      <x:c r="I440" s="27"/>
      <x:c r="J440" s="6"/>
      <x:c r="K440" s="6"/>
      <x:c r="L440" s="6"/>
      <x:c r="M440" s="6"/>
      <x:c r="N440" s="6"/>
      <x:c r="O440" s="6"/>
      <x:c r="P440" s="6"/>
      <x:c r="Q440" s="6"/>
      <x:c r="R440"/>
      <x:c r="S440"/>
      <x:c r="T440"/>
    </x:row>
    <x:row r="441" spans="1:20" ht="15.75" x14ac:dyDescent="0.25">
      <x:c r="A441"/>
      <x:c r="B441"/>
      <x:c r="C441"/>
      <x:c r="D441"/>
      <x:c r="E441" s="31"/>
      <x:c r="F441" s="8"/>
      <x:c r="G441" s="8"/>
      <x:c r="H441" s="6"/>
      <x:c r="I441" s="27"/>
      <x:c r="J441" s="6"/>
      <x:c r="K441" s="6"/>
      <x:c r="L441" s="6"/>
      <x:c r="M441" s="6"/>
      <x:c r="N441" s="6"/>
      <x:c r="O441" s="6"/>
      <x:c r="P441" s="6"/>
      <x:c r="Q441" s="6"/>
      <x:c r="R441"/>
      <x:c r="S441"/>
      <x:c r="T441"/>
    </x:row>
    <x:row r="442" spans="1:20" ht="15.75" x14ac:dyDescent="0.25">
      <x:c r="A442"/>
      <x:c r="B442"/>
      <x:c r="C442"/>
      <x:c r="D442"/>
      <x:c r="E442" s="31"/>
      <x:c r="F442" s="8"/>
      <x:c r="G442" s="8"/>
      <x:c r="H442" s="6"/>
      <x:c r="I442" s="27"/>
      <x:c r="J442" s="6"/>
      <x:c r="K442" s="6"/>
      <x:c r="L442" s="6"/>
      <x:c r="M442" s="6"/>
      <x:c r="N442" s="6"/>
      <x:c r="O442" s="6"/>
      <x:c r="P442" s="6"/>
      <x:c r="Q442" s="6"/>
      <x:c r="R442"/>
      <x:c r="S442"/>
      <x:c r="T442"/>
    </x:row>
    <x:row r="443" spans="1:20" ht="15.75" x14ac:dyDescent="0.25">
      <x:c r="A443"/>
      <x:c r="B443"/>
      <x:c r="C443"/>
      <x:c r="D443"/>
      <x:c r="E443" s="31"/>
      <x:c r="F443" s="8"/>
      <x:c r="G443" s="8"/>
      <x:c r="H443" s="6"/>
      <x:c r="I443" s="27"/>
      <x:c r="J443" s="6"/>
      <x:c r="K443" s="6"/>
      <x:c r="L443" s="6"/>
      <x:c r="M443" s="6"/>
      <x:c r="N443" s="6"/>
      <x:c r="O443" s="6"/>
      <x:c r="P443" s="6"/>
      <x:c r="Q443" s="6"/>
      <x:c r="R443"/>
      <x:c r="S443"/>
      <x:c r="T443"/>
    </x:row>
    <x:row r="444" spans="1:20" ht="15.75" x14ac:dyDescent="0.25">
      <x:c r="A444"/>
      <x:c r="B444"/>
      <x:c r="C444"/>
      <x:c r="D444"/>
      <x:c r="E444" s="31"/>
      <x:c r="F444" s="8"/>
      <x:c r="G444" s="8"/>
      <x:c r="H444" s="6"/>
      <x:c r="I444" s="27"/>
      <x:c r="J444" s="6"/>
      <x:c r="K444" s="6"/>
      <x:c r="L444" s="6"/>
      <x:c r="M444" s="6"/>
      <x:c r="N444" s="6"/>
      <x:c r="O444" s="6"/>
      <x:c r="P444" s="6"/>
      <x:c r="Q444" s="6"/>
      <x:c r="R444"/>
      <x:c r="S444"/>
      <x:c r="T444"/>
    </x:row>
    <x:row r="445" spans="1:20" ht="15.75" x14ac:dyDescent="0.25">
      <x:c r="A445"/>
      <x:c r="B445"/>
      <x:c r="C445"/>
      <x:c r="D445"/>
      <x:c r="E445" s="31"/>
      <x:c r="F445" s="8"/>
      <x:c r="G445" s="8"/>
      <x:c r="H445" s="6"/>
      <x:c r="I445" s="27"/>
      <x:c r="J445" s="6"/>
      <x:c r="K445" s="6"/>
      <x:c r="L445" s="6"/>
      <x:c r="M445" s="6"/>
      <x:c r="N445" s="6"/>
      <x:c r="O445" s="6"/>
      <x:c r="P445" s="6"/>
      <x:c r="Q445" s="6"/>
      <x:c r="R445"/>
      <x:c r="S445"/>
      <x:c r="T445"/>
    </x:row>
    <x:row r="446" spans="1:20" ht="15.75" x14ac:dyDescent="0.25">
      <x:c r="A446"/>
      <x:c r="B446"/>
      <x:c r="C446"/>
      <x:c r="D446"/>
      <x:c r="E446" s="31"/>
      <x:c r="F446" s="8"/>
      <x:c r="G446" s="8"/>
      <x:c r="H446" s="6"/>
      <x:c r="I446" s="27"/>
      <x:c r="J446" s="6"/>
      <x:c r="K446" s="6"/>
      <x:c r="L446" s="6"/>
      <x:c r="M446" s="6"/>
      <x:c r="N446" s="6"/>
      <x:c r="O446" s="6"/>
      <x:c r="P446" s="6"/>
      <x:c r="Q446" s="6"/>
      <x:c r="R446"/>
      <x:c r="S446"/>
      <x:c r="T446"/>
    </x:row>
    <x:row r="447" spans="1:20" ht="15.75" x14ac:dyDescent="0.25">
      <x:c r="A447"/>
      <x:c r="B447"/>
      <x:c r="C447"/>
      <x:c r="D447"/>
      <x:c r="E447" s="31"/>
      <x:c r="F447" s="8"/>
      <x:c r="G447" s="8"/>
      <x:c r="H447" s="6"/>
      <x:c r="I447" s="27"/>
      <x:c r="J447" s="6"/>
      <x:c r="K447" s="6"/>
      <x:c r="L447" s="6"/>
      <x:c r="M447" s="6"/>
      <x:c r="N447" s="6"/>
      <x:c r="O447" s="6"/>
      <x:c r="P447" s="6"/>
      <x:c r="Q447" s="6"/>
      <x:c r="R447"/>
      <x:c r="S447"/>
      <x:c r="T447"/>
    </x:row>
    <x:row r="448" spans="1:20" ht="15.75" x14ac:dyDescent="0.25">
      <x:c r="A448"/>
      <x:c r="B448"/>
      <x:c r="C448"/>
      <x:c r="D448"/>
      <x:c r="E448" s="31"/>
      <x:c r="F448" s="8"/>
      <x:c r="G448" s="8"/>
      <x:c r="H448" s="6"/>
      <x:c r="I448" s="27"/>
      <x:c r="J448" s="6"/>
      <x:c r="K448" s="6"/>
      <x:c r="L448" s="6"/>
      <x:c r="M448" s="6"/>
      <x:c r="N448" s="6"/>
      <x:c r="O448" s="6"/>
      <x:c r="P448" s="6"/>
      <x:c r="Q448" s="6"/>
      <x:c r="R448"/>
      <x:c r="S448"/>
      <x:c r="T448"/>
    </x:row>
    <x:row r="449" spans="1:20" ht="15.75" x14ac:dyDescent="0.25">
      <x:c r="A449"/>
      <x:c r="B449"/>
      <x:c r="C449"/>
      <x:c r="D449"/>
      <x:c r="E449" s="31"/>
      <x:c r="F449" s="8"/>
      <x:c r="G449" s="8"/>
      <x:c r="H449" s="6"/>
      <x:c r="I449" s="27"/>
      <x:c r="J449" s="6"/>
      <x:c r="K449" s="6"/>
      <x:c r="L449" s="6"/>
      <x:c r="M449" s="6"/>
      <x:c r="N449" s="6"/>
      <x:c r="O449" s="6"/>
      <x:c r="P449" s="6"/>
      <x:c r="Q449" s="6"/>
      <x:c r="R449"/>
      <x:c r="S449"/>
      <x:c r="T449"/>
    </x:row>
    <x:row r="450" spans="1:20" ht="15.75" x14ac:dyDescent="0.25">
      <x:c r="A450"/>
      <x:c r="B450"/>
      <x:c r="C450"/>
      <x:c r="D450"/>
      <x:c r="E450" s="31"/>
      <x:c r="F450" s="8"/>
      <x:c r="G450" s="8"/>
      <x:c r="H450" s="6"/>
      <x:c r="I450" s="27"/>
      <x:c r="J450" s="6"/>
      <x:c r="K450" s="6"/>
      <x:c r="L450" s="6"/>
      <x:c r="M450" s="6"/>
      <x:c r="N450" s="6"/>
      <x:c r="O450" s="6"/>
      <x:c r="P450" s="6"/>
      <x:c r="Q450" s="6"/>
      <x:c r="R450"/>
      <x:c r="S450"/>
      <x:c r="T450"/>
    </x:row>
    <x:row r="451" spans="1:20" ht="15.75" x14ac:dyDescent="0.25">
      <x:c r="A451"/>
      <x:c r="B451"/>
      <x:c r="C451"/>
      <x:c r="D451"/>
      <x:c r="E451" s="31"/>
      <x:c r="F451" s="8"/>
      <x:c r="G451" s="8"/>
      <x:c r="H451" s="6"/>
      <x:c r="I451" s="27"/>
      <x:c r="J451" s="6"/>
      <x:c r="K451" s="6"/>
      <x:c r="L451" s="6"/>
      <x:c r="M451" s="6"/>
      <x:c r="N451" s="6"/>
      <x:c r="O451" s="6"/>
      <x:c r="P451" s="6"/>
      <x:c r="Q451" s="6"/>
      <x:c r="R451"/>
      <x:c r="S451"/>
      <x:c r="T451"/>
    </x:row>
    <x:row r="452" spans="1:20" ht="15.75" x14ac:dyDescent="0.25">
      <x:c r="A452"/>
      <x:c r="B452"/>
      <x:c r="C452"/>
      <x:c r="D452"/>
      <x:c r="E452" s="31"/>
      <x:c r="F452" s="8"/>
      <x:c r="G452" s="8"/>
      <x:c r="H452" s="6"/>
      <x:c r="I452" s="27"/>
      <x:c r="J452" s="6"/>
      <x:c r="K452" s="6"/>
      <x:c r="L452" s="6"/>
      <x:c r="M452" s="6"/>
      <x:c r="N452" s="6"/>
      <x:c r="O452" s="6"/>
      <x:c r="P452" s="6"/>
      <x:c r="Q452" s="6"/>
      <x:c r="R452"/>
      <x:c r="S452"/>
      <x:c r="T452"/>
    </x:row>
    <x:row r="453" spans="1:20" ht="15.75" x14ac:dyDescent="0.25">
      <x:c r="A453"/>
      <x:c r="B453"/>
      <x:c r="C453"/>
      <x:c r="D453"/>
      <x:c r="E453" s="31"/>
      <x:c r="F453" s="8"/>
      <x:c r="G453" s="8"/>
      <x:c r="H453" s="6"/>
      <x:c r="I453" s="27"/>
      <x:c r="J453" s="6"/>
      <x:c r="K453" s="6"/>
      <x:c r="L453" s="6"/>
      <x:c r="M453" s="6"/>
      <x:c r="N453" s="6"/>
      <x:c r="O453" s="6"/>
      <x:c r="P453" s="6"/>
      <x:c r="Q453" s="6"/>
      <x:c r="R453"/>
      <x:c r="S453"/>
      <x:c r="T453"/>
    </x:row>
    <x:row r="454" spans="1:20" ht="15.75" x14ac:dyDescent="0.25">
      <x:c r="A454"/>
      <x:c r="B454"/>
      <x:c r="C454"/>
      <x:c r="D454"/>
      <x:c r="E454" s="31"/>
      <x:c r="F454" s="8"/>
      <x:c r="G454" s="8"/>
      <x:c r="H454" s="6"/>
      <x:c r="I454" s="27"/>
      <x:c r="J454" s="6"/>
      <x:c r="K454" s="6"/>
      <x:c r="L454" s="6"/>
      <x:c r="M454" s="6"/>
      <x:c r="N454" s="6"/>
      <x:c r="O454" s="6"/>
      <x:c r="P454" s="6"/>
      <x:c r="Q454" s="6"/>
      <x:c r="R454"/>
      <x:c r="S454"/>
      <x:c r="T454"/>
    </x:row>
    <x:row r="455" spans="1:20" ht="15.75" x14ac:dyDescent="0.25">
      <x:c r="A455"/>
      <x:c r="B455"/>
      <x:c r="C455"/>
      <x:c r="D455"/>
      <x:c r="E455" s="31"/>
      <x:c r="F455" s="8"/>
      <x:c r="G455" s="8"/>
      <x:c r="H455" s="6"/>
      <x:c r="I455" s="27"/>
      <x:c r="J455" s="6"/>
      <x:c r="K455" s="6"/>
      <x:c r="L455" s="6"/>
      <x:c r="M455" s="6"/>
      <x:c r="N455" s="6"/>
      <x:c r="O455" s="6"/>
      <x:c r="P455" s="6"/>
      <x:c r="Q455" s="6"/>
      <x:c r="R455"/>
      <x:c r="S455"/>
      <x:c r="T455"/>
    </x:row>
    <x:row r="456" spans="1:20" ht="15.75" x14ac:dyDescent="0.25">
      <x:c r="A456"/>
      <x:c r="B456"/>
      <x:c r="C456"/>
      <x:c r="D456"/>
      <x:c r="E456" s="31"/>
      <x:c r="F456" s="8"/>
      <x:c r="G456" s="8"/>
      <x:c r="H456" s="6"/>
      <x:c r="I456" s="27"/>
      <x:c r="J456" s="6"/>
      <x:c r="K456" s="6"/>
      <x:c r="L456" s="6"/>
      <x:c r="M456" s="6"/>
      <x:c r="N456" s="6"/>
      <x:c r="O456" s="6"/>
      <x:c r="P456" s="6"/>
      <x:c r="Q456" s="6"/>
      <x:c r="R456"/>
      <x:c r="S456"/>
      <x:c r="T456"/>
    </x:row>
    <x:row r="457" spans="1:20" ht="15.75" x14ac:dyDescent="0.25">
      <x:c r="A457"/>
      <x:c r="B457"/>
      <x:c r="C457"/>
      <x:c r="D457"/>
      <x:c r="E457" s="31"/>
      <x:c r="F457" s="8"/>
      <x:c r="G457" s="8"/>
      <x:c r="H457" s="6"/>
      <x:c r="I457" s="27"/>
      <x:c r="J457" s="6"/>
      <x:c r="K457" s="6"/>
      <x:c r="L457" s="6"/>
      <x:c r="M457" s="6"/>
      <x:c r="N457" s="6"/>
      <x:c r="O457" s="6"/>
      <x:c r="P457" s="6"/>
      <x:c r="Q457" s="6"/>
      <x:c r="R457"/>
      <x:c r="S457"/>
      <x:c r="T457"/>
    </x:row>
    <x:row r="458" spans="1:20" ht="15.75" x14ac:dyDescent="0.25">
      <x:c r="A458"/>
      <x:c r="B458"/>
      <x:c r="C458"/>
      <x:c r="D458"/>
      <x:c r="E458" s="31"/>
      <x:c r="F458" s="8"/>
      <x:c r="G458" s="8"/>
      <x:c r="H458" s="6"/>
      <x:c r="I458" s="27"/>
      <x:c r="J458" s="6"/>
      <x:c r="K458" s="6"/>
      <x:c r="L458" s="6"/>
      <x:c r="M458" s="6"/>
      <x:c r="N458" s="6"/>
      <x:c r="O458" s="6"/>
      <x:c r="P458" s="6"/>
      <x:c r="Q458" s="6"/>
      <x:c r="R458"/>
      <x:c r="S458"/>
      <x:c r="T458"/>
    </x:row>
    <x:row r="459" spans="1:20" ht="15.75" x14ac:dyDescent="0.25">
      <x:c r="A459"/>
      <x:c r="B459"/>
      <x:c r="C459"/>
      <x:c r="D459"/>
      <x:c r="E459" s="31"/>
      <x:c r="F459" s="8"/>
      <x:c r="G459" s="8"/>
      <x:c r="H459" s="6"/>
      <x:c r="I459" s="27"/>
      <x:c r="J459" s="6"/>
      <x:c r="K459" s="6"/>
      <x:c r="L459" s="6"/>
      <x:c r="M459" s="6"/>
      <x:c r="N459" s="6"/>
      <x:c r="O459" s="6"/>
      <x:c r="P459" s="6"/>
      <x:c r="Q459" s="6"/>
      <x:c r="R459"/>
      <x:c r="S459"/>
      <x:c r="T459"/>
    </x:row>
    <x:row r="460" spans="1:20" ht="15.75" x14ac:dyDescent="0.25">
      <x:c r="A460"/>
      <x:c r="B460"/>
      <x:c r="C460"/>
      <x:c r="D460"/>
      <x:c r="E460" s="31"/>
      <x:c r="F460" s="8"/>
      <x:c r="G460" s="8"/>
      <x:c r="H460" s="6"/>
      <x:c r="I460" s="27"/>
      <x:c r="J460" s="6"/>
      <x:c r="K460" s="6"/>
      <x:c r="L460" s="6"/>
      <x:c r="M460" s="6"/>
      <x:c r="N460" s="6"/>
      <x:c r="O460" s="6"/>
      <x:c r="P460" s="6"/>
      <x:c r="Q460" s="6"/>
      <x:c r="R460"/>
      <x:c r="S460"/>
      <x:c r="T460"/>
    </x:row>
    <x:row r="461" spans="1:20" ht="15.75" x14ac:dyDescent="0.25">
      <x:c r="A461"/>
      <x:c r="B461"/>
      <x:c r="C461"/>
      <x:c r="D461"/>
      <x:c r="E461" s="31"/>
      <x:c r="F461" s="8"/>
      <x:c r="G461" s="8"/>
      <x:c r="H461" s="6"/>
      <x:c r="I461" s="27"/>
      <x:c r="J461" s="6"/>
      <x:c r="K461" s="6"/>
      <x:c r="L461" s="6"/>
      <x:c r="M461" s="6"/>
      <x:c r="N461" s="6"/>
      <x:c r="O461" s="6"/>
      <x:c r="P461" s="6"/>
      <x:c r="Q461" s="6"/>
      <x:c r="R461"/>
      <x:c r="S461"/>
      <x:c r="T461"/>
    </x:row>
    <x:row r="462" spans="1:20" ht="15.75" x14ac:dyDescent="0.25">
      <x:c r="A462"/>
      <x:c r="B462"/>
      <x:c r="C462"/>
      <x:c r="D462"/>
      <x:c r="E462" s="31"/>
      <x:c r="F462" s="8"/>
      <x:c r="G462" s="8"/>
      <x:c r="H462" s="6"/>
      <x:c r="I462" s="27"/>
      <x:c r="J462" s="6"/>
      <x:c r="K462" s="6"/>
      <x:c r="L462" s="6"/>
      <x:c r="M462" s="6"/>
      <x:c r="N462" s="6"/>
      <x:c r="O462" s="6"/>
      <x:c r="P462" s="6"/>
      <x:c r="Q462" s="6"/>
      <x:c r="R462"/>
      <x:c r="S462"/>
      <x:c r="T462"/>
    </x:row>
    <x:row r="463" spans="1:20" ht="15.75" x14ac:dyDescent="0.25">
      <x:c r="A463"/>
      <x:c r="B463"/>
      <x:c r="C463"/>
      <x:c r="D463"/>
      <x:c r="E463" s="31"/>
      <x:c r="F463" s="8"/>
      <x:c r="G463" s="8"/>
      <x:c r="H463" s="6"/>
      <x:c r="I463" s="27"/>
      <x:c r="J463" s="6"/>
      <x:c r="K463" s="6"/>
      <x:c r="L463" s="6"/>
      <x:c r="M463" s="6"/>
      <x:c r="N463" s="6"/>
      <x:c r="O463" s="6"/>
      <x:c r="P463" s="6"/>
      <x:c r="Q463" s="6"/>
      <x:c r="R463"/>
      <x:c r="S463"/>
      <x:c r="T463"/>
    </x:row>
    <x:row r="464" spans="1:20" ht="15.75" x14ac:dyDescent="0.25">
      <x:c r="A464"/>
      <x:c r="B464"/>
      <x:c r="C464"/>
      <x:c r="D464"/>
      <x:c r="E464" s="31"/>
      <x:c r="F464" s="8"/>
      <x:c r="G464" s="8"/>
      <x:c r="H464" s="6"/>
      <x:c r="I464" s="27"/>
      <x:c r="J464" s="6"/>
      <x:c r="K464" s="6"/>
      <x:c r="L464" s="6"/>
      <x:c r="M464" s="6"/>
      <x:c r="N464" s="6"/>
      <x:c r="O464" s="6"/>
      <x:c r="P464" s="6"/>
      <x:c r="Q464" s="6"/>
      <x:c r="R464"/>
      <x:c r="S464"/>
      <x:c r="T464"/>
    </x:row>
    <x:row r="465" spans="1:20" ht="15.75" x14ac:dyDescent="0.25">
      <x:c r="A465"/>
      <x:c r="B465"/>
      <x:c r="C465"/>
      <x:c r="D465"/>
      <x:c r="E465" s="31"/>
      <x:c r="F465" s="8"/>
      <x:c r="G465" s="8"/>
      <x:c r="H465" s="6"/>
      <x:c r="I465" s="27"/>
      <x:c r="J465" s="6"/>
      <x:c r="K465" s="6"/>
      <x:c r="L465" s="6"/>
      <x:c r="M465" s="6"/>
      <x:c r="N465" s="6"/>
      <x:c r="O465" s="6"/>
      <x:c r="P465" s="6"/>
      <x:c r="Q465" s="6"/>
      <x:c r="R465"/>
      <x:c r="S465"/>
      <x:c r="T465"/>
    </x:row>
    <x:row r="466" spans="1:20" ht="15.75" x14ac:dyDescent="0.25">
      <x:c r="A466"/>
      <x:c r="B466"/>
      <x:c r="C466"/>
      <x:c r="D466"/>
      <x:c r="E466" s="31"/>
      <x:c r="F466" s="8"/>
      <x:c r="G466" s="8"/>
      <x:c r="H466" s="6"/>
      <x:c r="I466" s="27"/>
      <x:c r="J466" s="6"/>
      <x:c r="K466" s="6"/>
      <x:c r="L466" s="6"/>
      <x:c r="M466" s="6"/>
      <x:c r="N466" s="6"/>
      <x:c r="O466" s="6"/>
      <x:c r="P466" s="6"/>
      <x:c r="Q466" s="6"/>
      <x:c r="R466"/>
      <x:c r="S466"/>
      <x:c r="T466"/>
    </x:row>
    <x:row r="467" spans="1:20" ht="15.75" x14ac:dyDescent="0.25">
      <x:c r="A467"/>
      <x:c r="B467"/>
      <x:c r="C467"/>
      <x:c r="D467"/>
      <x:c r="E467" s="31"/>
      <x:c r="F467" s="8"/>
      <x:c r="G467" s="8"/>
      <x:c r="H467" s="6"/>
      <x:c r="I467" s="27"/>
      <x:c r="J467" s="6"/>
      <x:c r="K467" s="6"/>
      <x:c r="L467" s="6"/>
      <x:c r="M467" s="6"/>
      <x:c r="N467" s="6"/>
      <x:c r="O467" s="6"/>
      <x:c r="P467" s="6"/>
      <x:c r="Q467" s="6"/>
      <x:c r="R467"/>
      <x:c r="S467"/>
      <x:c r="T467"/>
    </x:row>
    <x:row r="468" spans="1:20" ht="15.75" x14ac:dyDescent="0.25">
      <x:c r="A468"/>
      <x:c r="B468"/>
      <x:c r="C468"/>
      <x:c r="D468"/>
      <x:c r="E468" s="31"/>
      <x:c r="F468" s="8"/>
      <x:c r="G468" s="8"/>
      <x:c r="H468" s="6"/>
      <x:c r="I468" s="27"/>
      <x:c r="J468" s="6"/>
      <x:c r="K468" s="6"/>
      <x:c r="L468" s="6"/>
      <x:c r="M468" s="6"/>
      <x:c r="N468" s="6"/>
      <x:c r="O468" s="6"/>
      <x:c r="P468" s="6"/>
      <x:c r="Q468" s="6"/>
      <x:c r="R468"/>
      <x:c r="S468"/>
      <x:c r="T468"/>
    </x:row>
    <x:row r="469" spans="1:20" ht="15.75" x14ac:dyDescent="0.25">
      <x:c r="A469"/>
      <x:c r="B469"/>
      <x:c r="C469"/>
      <x:c r="D469"/>
      <x:c r="E469" s="31"/>
      <x:c r="F469" s="8"/>
      <x:c r="G469" s="8"/>
      <x:c r="H469" s="6"/>
      <x:c r="I469" s="27"/>
      <x:c r="J469" s="6"/>
      <x:c r="K469" s="6"/>
      <x:c r="L469" s="6"/>
      <x:c r="M469" s="6"/>
      <x:c r="N469" s="6"/>
      <x:c r="O469" s="6"/>
      <x:c r="P469" s="6"/>
      <x:c r="Q469" s="6"/>
      <x:c r="R469"/>
      <x:c r="S469"/>
      <x:c r="T469"/>
    </x:row>
    <x:row r="470" spans="1:20" ht="15.75" x14ac:dyDescent="0.25">
      <x:c r="A470"/>
      <x:c r="B470"/>
      <x:c r="C470"/>
      <x:c r="D470"/>
      <x:c r="E470" s="31"/>
      <x:c r="F470" s="8"/>
      <x:c r="G470" s="8"/>
      <x:c r="H470" s="6"/>
      <x:c r="I470" s="27"/>
      <x:c r="J470" s="6"/>
      <x:c r="K470" s="6"/>
      <x:c r="L470" s="6"/>
      <x:c r="M470" s="6"/>
      <x:c r="N470" s="6"/>
      <x:c r="O470" s="6"/>
      <x:c r="P470" s="6"/>
      <x:c r="Q470" s="6"/>
      <x:c r="R470"/>
      <x:c r="S470"/>
      <x:c r="T470"/>
    </x:row>
    <x:row r="471" spans="1:20" ht="15.75" x14ac:dyDescent="0.25">
      <x:c r="A471"/>
      <x:c r="B471"/>
      <x:c r="C471"/>
      <x:c r="D471"/>
      <x:c r="E471" s="31"/>
      <x:c r="F471" s="8"/>
      <x:c r="G471" s="8"/>
      <x:c r="H471" s="6"/>
      <x:c r="I471" s="27"/>
      <x:c r="J471" s="6"/>
      <x:c r="K471" s="6"/>
      <x:c r="L471" s="6"/>
      <x:c r="M471" s="6"/>
      <x:c r="N471" s="6"/>
      <x:c r="O471" s="6"/>
      <x:c r="P471" s="6"/>
      <x:c r="Q471" s="6"/>
      <x:c r="R471"/>
      <x:c r="S471"/>
      <x:c r="T471"/>
    </x:row>
    <x:row r="472" spans="1:20" ht="15.75" x14ac:dyDescent="0.25">
      <x:c r="A472"/>
      <x:c r="B472"/>
      <x:c r="C472"/>
      <x:c r="D472"/>
      <x:c r="E472" s="31"/>
      <x:c r="F472" s="8"/>
      <x:c r="G472" s="8"/>
      <x:c r="H472" s="6"/>
      <x:c r="I472" s="27"/>
      <x:c r="J472" s="6"/>
      <x:c r="K472" s="6"/>
      <x:c r="L472" s="6"/>
      <x:c r="M472" s="6"/>
      <x:c r="N472" s="6"/>
      <x:c r="O472" s="6"/>
      <x:c r="P472" s="6"/>
      <x:c r="Q472" s="6"/>
      <x:c r="R472"/>
      <x:c r="S472"/>
      <x:c r="T472"/>
    </x:row>
    <x:row r="473" spans="1:20" ht="15.75" x14ac:dyDescent="0.25">
      <x:c r="A473"/>
      <x:c r="B473"/>
      <x:c r="C473"/>
      <x:c r="D473"/>
      <x:c r="E473" s="31"/>
      <x:c r="F473" s="8"/>
      <x:c r="G473" s="8"/>
      <x:c r="H473" s="6"/>
      <x:c r="I473" s="27"/>
      <x:c r="J473" s="6"/>
      <x:c r="K473" s="6"/>
      <x:c r="L473" s="6"/>
      <x:c r="M473" s="6"/>
      <x:c r="N473" s="6"/>
      <x:c r="O473" s="6"/>
      <x:c r="P473" s="6"/>
      <x:c r="Q473" s="6"/>
      <x:c r="R473"/>
      <x:c r="S473"/>
      <x:c r="T473"/>
    </x:row>
    <x:row r="474" spans="1:20" ht="15.75" x14ac:dyDescent="0.25">
      <x:c r="A474"/>
      <x:c r="B474"/>
      <x:c r="C474"/>
      <x:c r="D474"/>
      <x:c r="E474" s="31"/>
      <x:c r="F474" s="8"/>
      <x:c r="G474" s="8"/>
      <x:c r="H474" s="6"/>
      <x:c r="I474" s="27"/>
      <x:c r="J474" s="6"/>
      <x:c r="K474" s="6"/>
      <x:c r="L474" s="6"/>
      <x:c r="M474" s="6"/>
      <x:c r="N474" s="6"/>
      <x:c r="O474" s="6"/>
      <x:c r="P474" s="6"/>
      <x:c r="Q474" s="6"/>
      <x:c r="R474"/>
      <x:c r="S474"/>
      <x:c r="T474"/>
    </x:row>
    <x:row r="475" spans="1:20" ht="15.75" x14ac:dyDescent="0.25">
      <x:c r="A475"/>
      <x:c r="B475"/>
      <x:c r="C475"/>
      <x:c r="D475"/>
      <x:c r="E475" s="31"/>
      <x:c r="F475" s="8"/>
      <x:c r="G475" s="8"/>
      <x:c r="H475" s="6"/>
      <x:c r="I475" s="27"/>
      <x:c r="J475" s="6"/>
      <x:c r="K475" s="6"/>
      <x:c r="L475" s="6"/>
      <x:c r="M475" s="6"/>
      <x:c r="N475" s="6"/>
      <x:c r="O475" s="6"/>
      <x:c r="P475" s="6"/>
      <x:c r="Q475" s="6"/>
      <x:c r="R475"/>
      <x:c r="S475"/>
      <x:c r="T475"/>
    </x:row>
    <x:row r="476" spans="1:20" ht="15.75" x14ac:dyDescent="0.25">
      <x:c r="A476"/>
      <x:c r="B476"/>
      <x:c r="C476"/>
      <x:c r="D476"/>
      <x:c r="E476" s="31"/>
      <x:c r="F476" s="8"/>
      <x:c r="G476" s="8"/>
      <x:c r="H476" s="6"/>
      <x:c r="I476" s="27"/>
      <x:c r="J476" s="6"/>
      <x:c r="K476" s="6"/>
      <x:c r="L476" s="6"/>
      <x:c r="M476" s="6"/>
      <x:c r="N476" s="6"/>
      <x:c r="O476" s="6"/>
      <x:c r="P476" s="6"/>
      <x:c r="Q476" s="6"/>
      <x:c r="R476"/>
      <x:c r="S476"/>
      <x:c r="T476"/>
    </x:row>
    <x:row r="477" spans="1:20" ht="15.75" x14ac:dyDescent="0.25">
      <x:c r="A477"/>
      <x:c r="B477"/>
      <x:c r="C477"/>
      <x:c r="D477"/>
      <x:c r="E477" s="31"/>
      <x:c r="F477" s="8"/>
      <x:c r="G477" s="8"/>
      <x:c r="H477" s="6"/>
      <x:c r="I477" s="27"/>
      <x:c r="J477" s="6"/>
      <x:c r="K477" s="6"/>
      <x:c r="L477" s="6"/>
      <x:c r="M477" s="6"/>
      <x:c r="N477" s="6"/>
      <x:c r="O477" s="6"/>
      <x:c r="P477" s="6"/>
      <x:c r="Q477" s="6"/>
      <x:c r="R477"/>
      <x:c r="S477"/>
      <x:c r="T477"/>
    </x:row>
    <x:row r="478" spans="1:20" ht="15.75" x14ac:dyDescent="0.25">
      <x:c r="A478"/>
      <x:c r="B478"/>
      <x:c r="C478"/>
      <x:c r="D478"/>
      <x:c r="E478" s="31"/>
      <x:c r="F478" s="8"/>
      <x:c r="G478" s="8"/>
      <x:c r="H478" s="6"/>
      <x:c r="I478" s="27"/>
      <x:c r="J478" s="6"/>
      <x:c r="K478" s="6"/>
      <x:c r="L478" s="6"/>
      <x:c r="M478" s="6"/>
      <x:c r="N478" s="6"/>
      <x:c r="O478" s="6"/>
      <x:c r="P478" s="6"/>
      <x:c r="Q478" s="6"/>
      <x:c r="R478"/>
      <x:c r="S478"/>
      <x:c r="T478"/>
    </x:row>
    <x:row r="479" spans="1:20" ht="15.75" x14ac:dyDescent="0.25">
      <x:c r="A479"/>
      <x:c r="B479"/>
      <x:c r="C479"/>
      <x:c r="D479"/>
      <x:c r="E479" s="31"/>
      <x:c r="F479" s="8"/>
      <x:c r="G479" s="8"/>
      <x:c r="H479" s="6"/>
      <x:c r="I479" s="27"/>
      <x:c r="J479" s="6"/>
      <x:c r="K479" s="6"/>
      <x:c r="L479" s="6"/>
      <x:c r="M479" s="6"/>
      <x:c r="N479" s="6"/>
      <x:c r="O479" s="6"/>
      <x:c r="P479" s="6"/>
      <x:c r="Q479" s="6"/>
      <x:c r="R479"/>
      <x:c r="S479"/>
      <x:c r="T479"/>
    </x:row>
    <x:row r="480" spans="1:20" ht="15.75" x14ac:dyDescent="0.25">
      <x:c r="A480"/>
      <x:c r="B480"/>
      <x:c r="C480"/>
      <x:c r="D480"/>
      <x:c r="E480" s="31"/>
      <x:c r="F480" s="8"/>
      <x:c r="G480" s="8"/>
      <x:c r="H480" s="6"/>
      <x:c r="I480" s="27"/>
      <x:c r="J480" s="6"/>
      <x:c r="K480" s="6"/>
      <x:c r="L480" s="6"/>
      <x:c r="M480" s="6"/>
      <x:c r="N480" s="6"/>
      <x:c r="O480" s="6"/>
      <x:c r="P480" s="6"/>
      <x:c r="Q480" s="6"/>
      <x:c r="R480"/>
      <x:c r="S480"/>
      <x:c r="T480"/>
    </x:row>
    <x:row r="481" spans="1:20" ht="15.75" x14ac:dyDescent="0.25">
      <x:c r="A481"/>
      <x:c r="B481"/>
      <x:c r="C481"/>
      <x:c r="D481"/>
      <x:c r="E481" s="31"/>
      <x:c r="F481" s="8"/>
      <x:c r="G481" s="8"/>
      <x:c r="H481" s="6"/>
      <x:c r="I481" s="27"/>
      <x:c r="J481" s="6"/>
      <x:c r="K481" s="6"/>
      <x:c r="L481" s="6"/>
      <x:c r="M481" s="6"/>
      <x:c r="N481" s="6"/>
      <x:c r="O481" s="6"/>
      <x:c r="P481" s="6"/>
      <x:c r="Q481" s="6"/>
      <x:c r="R481"/>
      <x:c r="S481"/>
      <x:c r="T481"/>
    </x:row>
    <x:row r="482" spans="1:20" ht="15.75" x14ac:dyDescent="0.25">
      <x:c r="A482"/>
      <x:c r="B482"/>
      <x:c r="C482"/>
      <x:c r="D482"/>
      <x:c r="E482" s="31"/>
      <x:c r="F482" s="8"/>
      <x:c r="G482" s="8"/>
      <x:c r="H482" s="6"/>
      <x:c r="I482" s="27"/>
      <x:c r="J482" s="6"/>
      <x:c r="K482" s="6"/>
      <x:c r="L482" s="6"/>
      <x:c r="M482" s="6"/>
      <x:c r="N482" s="6"/>
      <x:c r="O482" s="6"/>
      <x:c r="P482" s="6"/>
      <x:c r="Q482" s="6"/>
      <x:c r="R482"/>
      <x:c r="S482"/>
      <x:c r="T482"/>
    </x:row>
    <x:row r="483" spans="1:20" ht="15.75" x14ac:dyDescent="0.25">
      <x:c r="A483"/>
      <x:c r="B483"/>
      <x:c r="C483"/>
      <x:c r="D483"/>
      <x:c r="E483" s="31"/>
      <x:c r="F483" s="8"/>
      <x:c r="G483" s="8"/>
      <x:c r="H483" s="6"/>
      <x:c r="I483" s="27"/>
      <x:c r="J483" s="6"/>
      <x:c r="K483" s="6"/>
      <x:c r="L483" s="6"/>
      <x:c r="M483" s="6"/>
      <x:c r="N483" s="6"/>
      <x:c r="O483" s="6"/>
      <x:c r="P483" s="6"/>
      <x:c r="Q483" s="6"/>
      <x:c r="R483"/>
      <x:c r="S483"/>
      <x:c r="T483"/>
    </x:row>
    <x:row r="484" spans="1:20" ht="15.75" x14ac:dyDescent="0.25">
      <x:c r="A484"/>
      <x:c r="B484"/>
      <x:c r="C484"/>
      <x:c r="D484"/>
      <x:c r="E484" s="31"/>
      <x:c r="F484" s="8"/>
      <x:c r="G484" s="8"/>
      <x:c r="H484" s="6"/>
      <x:c r="I484" s="27"/>
      <x:c r="J484" s="6"/>
      <x:c r="K484" s="6"/>
      <x:c r="L484" s="6"/>
      <x:c r="M484" s="6"/>
      <x:c r="N484" s="6"/>
      <x:c r="O484" s="6"/>
      <x:c r="P484" s="6"/>
      <x:c r="Q484" s="6"/>
      <x:c r="R484"/>
      <x:c r="S484"/>
      <x:c r="T484"/>
    </x:row>
    <x:row r="485" spans="1:20" ht="15.75" x14ac:dyDescent="0.25">
      <x:c r="A485"/>
      <x:c r="B485"/>
      <x:c r="C485"/>
      <x:c r="D485"/>
      <x:c r="E485" s="31"/>
      <x:c r="F485" s="8"/>
      <x:c r="G485" s="8"/>
      <x:c r="H485" s="6"/>
      <x:c r="I485" s="27"/>
      <x:c r="J485" s="6"/>
      <x:c r="K485" s="6"/>
      <x:c r="L485" s="6"/>
      <x:c r="M485" s="6"/>
      <x:c r="N485" s="6"/>
      <x:c r="O485" s="6"/>
      <x:c r="P485" s="6"/>
      <x:c r="Q485" s="6"/>
      <x:c r="R485"/>
      <x:c r="S485"/>
      <x:c r="T485"/>
    </x:row>
    <x:row r="486" spans="1:20" ht="15.75" x14ac:dyDescent="0.25">
      <x:c r="A486"/>
      <x:c r="B486"/>
      <x:c r="C486"/>
      <x:c r="D486"/>
      <x:c r="E486" s="31"/>
      <x:c r="F486" s="8"/>
      <x:c r="G486" s="8"/>
      <x:c r="H486" s="6"/>
      <x:c r="I486" s="27"/>
      <x:c r="J486" s="6"/>
      <x:c r="K486" s="6"/>
      <x:c r="L486" s="6"/>
      <x:c r="M486" s="6"/>
      <x:c r="N486" s="6"/>
      <x:c r="O486" s="6"/>
      <x:c r="P486" s="6"/>
      <x:c r="Q486" s="6"/>
      <x:c r="R486"/>
      <x:c r="S486"/>
      <x:c r="T486"/>
    </x:row>
    <x:row r="487" spans="1:20" ht="15.75" x14ac:dyDescent="0.25">
      <x:c r="A487"/>
      <x:c r="B487"/>
      <x:c r="C487"/>
      <x:c r="D487"/>
      <x:c r="E487" s="31"/>
      <x:c r="F487" s="8"/>
      <x:c r="G487" s="8"/>
      <x:c r="H487" s="6"/>
      <x:c r="I487" s="27"/>
      <x:c r="J487" s="6"/>
      <x:c r="K487" s="6"/>
      <x:c r="L487" s="6"/>
      <x:c r="M487" s="6"/>
      <x:c r="N487" s="6"/>
      <x:c r="O487" s="6"/>
      <x:c r="P487" s="6"/>
      <x:c r="Q487" s="6"/>
      <x:c r="R487"/>
      <x:c r="S487"/>
      <x:c r="T487"/>
    </x:row>
    <x:row r="488" spans="1:20" ht="15.75" x14ac:dyDescent="0.25">
      <x:c r="A488"/>
      <x:c r="B488"/>
      <x:c r="C488"/>
      <x:c r="D488"/>
      <x:c r="E488" s="31"/>
      <x:c r="F488" s="8"/>
      <x:c r="G488" s="8"/>
      <x:c r="H488" s="6"/>
      <x:c r="I488" s="27"/>
      <x:c r="J488" s="6"/>
      <x:c r="K488" s="6"/>
      <x:c r="L488" s="6"/>
      <x:c r="M488" s="6"/>
      <x:c r="N488" s="6"/>
      <x:c r="O488" s="6"/>
      <x:c r="P488" s="6"/>
      <x:c r="Q488" s="6"/>
      <x:c r="R488"/>
      <x:c r="S488"/>
      <x:c r="T488"/>
    </x:row>
    <x:row r="489" spans="1:20" ht="15.75" x14ac:dyDescent="0.25">
      <x:c r="A489"/>
      <x:c r="B489"/>
      <x:c r="C489"/>
      <x:c r="D489"/>
      <x:c r="E489" s="31"/>
      <x:c r="F489" s="8"/>
      <x:c r="G489" s="8"/>
      <x:c r="H489" s="6"/>
      <x:c r="I489" s="27"/>
      <x:c r="J489" s="6"/>
      <x:c r="K489" s="6"/>
      <x:c r="L489" s="6"/>
      <x:c r="M489" s="6"/>
      <x:c r="N489" s="6"/>
      <x:c r="O489" s="6"/>
      <x:c r="P489" s="6"/>
      <x:c r="Q489" s="6"/>
      <x:c r="R489"/>
      <x:c r="S489"/>
      <x:c r="T489"/>
    </x:row>
    <x:row r="490" spans="1:20" ht="15.75" x14ac:dyDescent="0.25">
      <x:c r="A490"/>
      <x:c r="B490"/>
      <x:c r="C490"/>
      <x:c r="D490"/>
      <x:c r="E490" s="31"/>
      <x:c r="F490" s="8"/>
      <x:c r="G490" s="8"/>
      <x:c r="H490" s="6"/>
      <x:c r="I490" s="27"/>
      <x:c r="J490" s="6"/>
      <x:c r="K490" s="6"/>
      <x:c r="L490" s="6"/>
      <x:c r="M490" s="6"/>
      <x:c r="N490" s="6"/>
      <x:c r="O490" s="6"/>
      <x:c r="P490" s="6"/>
      <x:c r="Q490" s="6"/>
      <x:c r="R490"/>
      <x:c r="S490"/>
      <x:c r="T490"/>
    </x:row>
    <x:row r="491" spans="1:20" ht="15.75" x14ac:dyDescent="0.25">
      <x:c r="A491"/>
      <x:c r="B491"/>
      <x:c r="C491"/>
      <x:c r="D491"/>
      <x:c r="E491" s="31"/>
      <x:c r="F491" s="8"/>
      <x:c r="G491" s="8"/>
      <x:c r="H491" s="6"/>
      <x:c r="I491" s="27"/>
      <x:c r="J491" s="6"/>
      <x:c r="K491" s="6"/>
      <x:c r="L491" s="6"/>
      <x:c r="M491" s="6"/>
      <x:c r="N491" s="6"/>
      <x:c r="O491" s="6"/>
      <x:c r="P491" s="6"/>
      <x:c r="Q491" s="6"/>
      <x:c r="R491"/>
      <x:c r="S491"/>
      <x:c r="T491"/>
    </x:row>
    <x:row r="492" spans="1:20" ht="15.75" x14ac:dyDescent="0.25">
      <x:c r="A492"/>
      <x:c r="B492"/>
      <x:c r="C492"/>
      <x:c r="D492"/>
      <x:c r="E492" s="31"/>
      <x:c r="F492" s="8"/>
      <x:c r="G492" s="8"/>
      <x:c r="H492" s="6"/>
      <x:c r="I492" s="27"/>
      <x:c r="J492" s="6"/>
      <x:c r="K492" s="6"/>
      <x:c r="L492" s="6"/>
      <x:c r="M492" s="6"/>
      <x:c r="N492" s="6"/>
      <x:c r="O492" s="6"/>
      <x:c r="P492" s="6"/>
      <x:c r="Q492" s="6"/>
      <x:c r="R492"/>
      <x:c r="S492"/>
      <x:c r="T492"/>
    </x:row>
    <x:row r="493" spans="1:20" ht="15.75" x14ac:dyDescent="0.25">
      <x:c r="A493"/>
      <x:c r="B493"/>
      <x:c r="C493"/>
      <x:c r="D493"/>
      <x:c r="E493" s="31"/>
      <x:c r="F493" s="8"/>
      <x:c r="G493" s="8"/>
      <x:c r="H493" s="6"/>
      <x:c r="I493" s="27"/>
      <x:c r="J493" s="6"/>
      <x:c r="K493" s="6"/>
      <x:c r="L493" s="6"/>
      <x:c r="M493" s="6"/>
      <x:c r="N493" s="6"/>
      <x:c r="O493" s="6"/>
      <x:c r="P493" s="6"/>
      <x:c r="Q493" s="6"/>
      <x:c r="R493"/>
      <x:c r="S493"/>
      <x:c r="T493"/>
    </x:row>
    <x:row r="494" spans="1:20" ht="15.75" x14ac:dyDescent="0.25">
      <x:c r="A494"/>
      <x:c r="B494"/>
      <x:c r="C494"/>
      <x:c r="D494"/>
      <x:c r="E494" s="31"/>
      <x:c r="F494" s="8"/>
      <x:c r="G494" s="8"/>
      <x:c r="H494" s="6"/>
      <x:c r="I494" s="27"/>
      <x:c r="J494" s="6"/>
      <x:c r="K494" s="6"/>
      <x:c r="L494" s="6"/>
      <x:c r="M494" s="6"/>
      <x:c r="N494" s="6"/>
      <x:c r="O494" s="6"/>
      <x:c r="P494" s="6"/>
      <x:c r="Q494" s="6"/>
      <x:c r="R494"/>
      <x:c r="S494"/>
      <x:c r="T494"/>
    </x:row>
    <x:row r="495" spans="1:20" ht="15.75" x14ac:dyDescent="0.25">
      <x:c r="A495"/>
      <x:c r="B495"/>
      <x:c r="C495"/>
      <x:c r="D495"/>
      <x:c r="E495" s="31"/>
      <x:c r="F495" s="8"/>
      <x:c r="G495" s="8"/>
      <x:c r="H495" s="6"/>
      <x:c r="I495" s="27"/>
      <x:c r="J495" s="6"/>
      <x:c r="K495" s="6"/>
      <x:c r="L495" s="6"/>
      <x:c r="M495" s="6"/>
      <x:c r="N495" s="6"/>
      <x:c r="O495" s="6"/>
      <x:c r="P495" s="6"/>
      <x:c r="Q495" s="6"/>
      <x:c r="R495"/>
      <x:c r="S495"/>
      <x:c r="T495"/>
    </x:row>
    <x:row r="496" spans="1:20" ht="15.75" x14ac:dyDescent="0.25">
      <x:c r="A496"/>
      <x:c r="B496"/>
      <x:c r="C496"/>
      <x:c r="D496"/>
      <x:c r="E496" s="31"/>
      <x:c r="F496" s="8"/>
      <x:c r="G496" s="8"/>
      <x:c r="H496" s="6"/>
      <x:c r="I496" s="27"/>
      <x:c r="J496" s="6"/>
      <x:c r="K496" s="6"/>
      <x:c r="L496" s="6"/>
      <x:c r="M496" s="6"/>
      <x:c r="N496" s="6"/>
      <x:c r="O496" s="6"/>
      <x:c r="P496" s="6"/>
      <x:c r="Q496" s="6"/>
      <x:c r="R496"/>
      <x:c r="S496"/>
      <x:c r="T496"/>
    </x:row>
    <x:row r="497" spans="1:20" ht="15.75" x14ac:dyDescent="0.25">
      <x:c r="A497"/>
      <x:c r="B497"/>
      <x:c r="C497"/>
      <x:c r="D497"/>
      <x:c r="E497" s="31"/>
      <x:c r="F497" s="8"/>
      <x:c r="G497" s="8"/>
      <x:c r="H497" s="6"/>
      <x:c r="I497" s="27"/>
      <x:c r="J497" s="6"/>
      <x:c r="K497" s="6"/>
      <x:c r="L497" s="6"/>
      <x:c r="M497" s="6"/>
      <x:c r="N497" s="6"/>
      <x:c r="O497" s="6"/>
      <x:c r="P497" s="6"/>
      <x:c r="Q497" s="6"/>
      <x:c r="R497"/>
      <x:c r="S497"/>
      <x:c r="T497"/>
    </x:row>
    <x:row r="498" spans="1:20" ht="15.75" x14ac:dyDescent="0.25">
      <x:c r="A498"/>
      <x:c r="B498"/>
      <x:c r="C498"/>
      <x:c r="D498"/>
      <x:c r="E498" s="31"/>
      <x:c r="F498" s="8"/>
      <x:c r="G498" s="8"/>
      <x:c r="H498" s="6"/>
      <x:c r="I498" s="27"/>
      <x:c r="J498" s="6"/>
      <x:c r="K498" s="6"/>
      <x:c r="L498" s="6"/>
      <x:c r="M498" s="6"/>
      <x:c r="N498" s="6"/>
      <x:c r="O498" s="6"/>
      <x:c r="P498" s="6"/>
      <x:c r="Q498" s="6"/>
      <x:c r="R498"/>
      <x:c r="S498"/>
      <x:c r="T498"/>
    </x:row>
    <x:row r="499" spans="1:20" ht="15.75" x14ac:dyDescent="0.25">
      <x:c r="A499"/>
      <x:c r="B499"/>
      <x:c r="C499"/>
      <x:c r="D499"/>
      <x:c r="E499" s="31"/>
      <x:c r="F499" s="8"/>
      <x:c r="G499" s="8"/>
      <x:c r="H499" s="6"/>
      <x:c r="I499" s="27"/>
      <x:c r="J499" s="6"/>
      <x:c r="K499" s="6"/>
      <x:c r="L499" s="6"/>
      <x:c r="M499" s="6"/>
      <x:c r="N499" s="6"/>
      <x:c r="O499" s="6"/>
      <x:c r="P499" s="6"/>
      <x:c r="Q499" s="6"/>
      <x:c r="R499"/>
      <x:c r="S499"/>
      <x:c r="T499"/>
    </x:row>
    <x:row r="500" spans="1:20" ht="15.75" x14ac:dyDescent="0.25">
      <x:c r="A500"/>
      <x:c r="B500"/>
      <x:c r="C500"/>
      <x:c r="D500"/>
      <x:c r="E500" s="31"/>
      <x:c r="F500" s="8"/>
      <x:c r="G500" s="8"/>
      <x:c r="H500" s="6"/>
      <x:c r="I500" s="27"/>
      <x:c r="J500" s="6"/>
      <x:c r="K500" s="6"/>
      <x:c r="L500" s="6"/>
      <x:c r="M500" s="6"/>
      <x:c r="N500" s="6"/>
      <x:c r="O500" s="6"/>
      <x:c r="P500" s="6"/>
      <x:c r="Q500" s="6"/>
      <x:c r="R500"/>
      <x:c r="S500"/>
      <x:c r="T500"/>
    </x:row>
    <x:row r="501" spans="1:20" ht="15.75" x14ac:dyDescent="0.25">
      <x:c r="A501"/>
      <x:c r="B501"/>
      <x:c r="C501"/>
      <x:c r="D501"/>
      <x:c r="E501" s="31"/>
      <x:c r="F501" s="8"/>
      <x:c r="G501" s="8"/>
      <x:c r="H501" s="6"/>
      <x:c r="I501" s="27"/>
      <x:c r="J501" s="6"/>
      <x:c r="K501" s="6"/>
      <x:c r="L501" s="6"/>
      <x:c r="M501" s="6"/>
      <x:c r="N501" s="6"/>
      <x:c r="O501" s="6"/>
      <x:c r="P501" s="6"/>
      <x:c r="Q501" s="6"/>
      <x:c r="R501"/>
      <x:c r="S501"/>
      <x:c r="T501"/>
    </x:row>
    <x:row r="502" spans="1:20" ht="15.75" x14ac:dyDescent="0.25">
      <x:c r="A502"/>
      <x:c r="B502"/>
      <x:c r="C502"/>
      <x:c r="D502"/>
      <x:c r="E502" s="31"/>
      <x:c r="F502" s="8"/>
      <x:c r="G502" s="8"/>
      <x:c r="H502" s="6"/>
      <x:c r="I502" s="27"/>
      <x:c r="J502" s="6"/>
      <x:c r="K502" s="6"/>
      <x:c r="L502" s="6"/>
      <x:c r="M502" s="6"/>
      <x:c r="N502" s="6"/>
      <x:c r="O502" s="6"/>
      <x:c r="P502" s="6"/>
      <x:c r="Q502" s="6"/>
      <x:c r="R502"/>
      <x:c r="S502"/>
      <x:c r="T502"/>
    </x:row>
    <x:row r="503" spans="1:20" ht="15.75" x14ac:dyDescent="0.25">
      <x:c r="A503"/>
      <x:c r="B503"/>
      <x:c r="C503"/>
      <x:c r="D503"/>
      <x:c r="E503" s="31"/>
      <x:c r="F503" s="8"/>
      <x:c r="G503" s="8"/>
      <x:c r="H503" s="6"/>
      <x:c r="I503" s="27"/>
      <x:c r="J503" s="6"/>
      <x:c r="K503" s="6"/>
      <x:c r="L503" s="6"/>
      <x:c r="M503" s="6"/>
      <x:c r="N503" s="6"/>
      <x:c r="O503" s="6"/>
      <x:c r="P503" s="6"/>
      <x:c r="Q503" s="6"/>
      <x:c r="R503"/>
      <x:c r="S503"/>
      <x:c r="T503"/>
    </x:row>
    <x:row r="504" spans="1:20" ht="15.75" x14ac:dyDescent="0.25">
      <x:c r="A504"/>
      <x:c r="B504"/>
      <x:c r="C504"/>
      <x:c r="D504"/>
      <x:c r="E504" s="31"/>
      <x:c r="F504" s="8"/>
      <x:c r="G504" s="8"/>
      <x:c r="H504" s="6"/>
      <x:c r="I504" s="27"/>
      <x:c r="J504" s="6"/>
      <x:c r="K504" s="6"/>
      <x:c r="L504" s="6"/>
      <x:c r="M504" s="6"/>
      <x:c r="N504" s="6"/>
      <x:c r="O504" s="6"/>
      <x:c r="P504" s="6"/>
      <x:c r="Q504" s="6"/>
      <x:c r="R504"/>
      <x:c r="S504"/>
      <x:c r="T504"/>
    </x:row>
    <x:row r="505" spans="1:20" ht="15.75" x14ac:dyDescent="0.25">
      <x:c r="A505"/>
      <x:c r="B505"/>
      <x:c r="C505"/>
      <x:c r="D505"/>
      <x:c r="E505" s="31"/>
      <x:c r="F505" s="8"/>
      <x:c r="G505" s="8"/>
      <x:c r="H505" s="6"/>
      <x:c r="I505" s="27"/>
      <x:c r="J505" s="6"/>
      <x:c r="K505" s="6"/>
      <x:c r="L505" s="6"/>
      <x:c r="M505" s="6"/>
      <x:c r="N505" s="6"/>
      <x:c r="O505" s="6"/>
      <x:c r="P505" s="6"/>
      <x:c r="Q505" s="6"/>
      <x:c r="R505"/>
      <x:c r="S505"/>
      <x:c r="T505"/>
    </x:row>
    <x:row r="506" spans="1:20" ht="15.75" x14ac:dyDescent="0.25">
      <x:c r="A506"/>
      <x:c r="B506"/>
      <x:c r="C506"/>
      <x:c r="D506"/>
      <x:c r="E506" s="31"/>
      <x:c r="F506" s="8"/>
      <x:c r="G506" s="8"/>
      <x:c r="H506" s="6"/>
      <x:c r="I506" s="27"/>
      <x:c r="J506" s="6"/>
      <x:c r="K506" s="6"/>
      <x:c r="L506" s="6"/>
      <x:c r="M506" s="6"/>
      <x:c r="N506" s="6"/>
      <x:c r="O506" s="6"/>
      <x:c r="P506" s="6"/>
      <x:c r="Q506" s="6"/>
      <x:c r="R506"/>
      <x:c r="S506"/>
      <x:c r="T506"/>
    </x:row>
    <x:row r="507" spans="1:20" ht="15.75" x14ac:dyDescent="0.25">
      <x:c r="A507"/>
      <x:c r="B507"/>
      <x:c r="C507"/>
      <x:c r="D507"/>
      <x:c r="E507" s="31"/>
      <x:c r="F507" s="8"/>
      <x:c r="G507" s="8"/>
      <x:c r="H507" s="6"/>
      <x:c r="I507" s="27"/>
      <x:c r="J507" s="6"/>
      <x:c r="K507" s="6"/>
      <x:c r="L507" s="6"/>
      <x:c r="M507" s="6"/>
      <x:c r="N507" s="6"/>
      <x:c r="O507" s="6"/>
      <x:c r="P507" s="6"/>
      <x:c r="Q507" s="6"/>
      <x:c r="R507"/>
      <x:c r="S507"/>
      <x:c r="T507"/>
    </x:row>
    <x:row r="508" spans="1:20" ht="15.75" x14ac:dyDescent="0.25">
      <x:c r="A508"/>
      <x:c r="B508"/>
      <x:c r="C508"/>
      <x:c r="D508"/>
      <x:c r="E508" s="31"/>
      <x:c r="F508" s="8"/>
      <x:c r="G508" s="8"/>
      <x:c r="H508" s="6"/>
      <x:c r="I508" s="27"/>
      <x:c r="J508" s="6"/>
      <x:c r="K508" s="6"/>
      <x:c r="L508" s="6"/>
      <x:c r="M508" s="6"/>
      <x:c r="N508" s="6"/>
      <x:c r="O508" s="6"/>
      <x:c r="P508" s="6"/>
      <x:c r="Q508" s="6"/>
      <x:c r="R508"/>
      <x:c r="S508"/>
      <x:c r="T508"/>
    </x:row>
    <x:row r="509" spans="1:20" ht="15.75" x14ac:dyDescent="0.25">
      <x:c r="A509"/>
      <x:c r="B509"/>
      <x:c r="C509"/>
      <x:c r="D509"/>
      <x:c r="E509" s="31"/>
      <x:c r="F509" s="8"/>
      <x:c r="G509" s="8"/>
      <x:c r="H509" s="6"/>
      <x:c r="I509" s="27"/>
      <x:c r="J509" s="6"/>
      <x:c r="K509" s="6"/>
      <x:c r="L509" s="6"/>
      <x:c r="M509" s="6"/>
      <x:c r="N509" s="6"/>
      <x:c r="O509" s="6"/>
      <x:c r="P509" s="6"/>
      <x:c r="Q509" s="6"/>
      <x:c r="R509"/>
      <x:c r="S509"/>
      <x:c r="T509"/>
    </x:row>
    <x:row r="510" spans="1:20" ht="15.75" x14ac:dyDescent="0.25">
      <x:c r="A510"/>
      <x:c r="B510"/>
      <x:c r="C510"/>
      <x:c r="D510"/>
      <x:c r="E510" s="31"/>
      <x:c r="F510" s="8"/>
      <x:c r="G510" s="8"/>
      <x:c r="H510" s="6"/>
      <x:c r="I510" s="27"/>
      <x:c r="J510" s="6"/>
      <x:c r="K510" s="6"/>
      <x:c r="L510" s="6"/>
      <x:c r="M510" s="6"/>
      <x:c r="N510" s="6"/>
      <x:c r="O510" s="6"/>
      <x:c r="P510" s="6"/>
      <x:c r="Q510" s="6"/>
      <x:c r="R510"/>
      <x:c r="S510"/>
      <x:c r="T510"/>
    </x:row>
    <x:row r="511" spans="1:20" ht="15.75" x14ac:dyDescent="0.25">
      <x:c r="A511"/>
      <x:c r="B511"/>
      <x:c r="C511"/>
      <x:c r="D511"/>
      <x:c r="E511" s="31"/>
      <x:c r="F511" s="8"/>
      <x:c r="G511" s="8"/>
      <x:c r="H511" s="6"/>
      <x:c r="I511" s="27"/>
      <x:c r="J511" s="6"/>
      <x:c r="K511" s="6"/>
      <x:c r="L511" s="6"/>
      <x:c r="M511" s="6"/>
      <x:c r="N511" s="6"/>
      <x:c r="O511" s="6"/>
      <x:c r="P511" s="6"/>
      <x:c r="Q511" s="6"/>
      <x:c r="R511"/>
      <x:c r="S511"/>
      <x:c r="T511"/>
    </x:row>
    <x:row r="512" spans="1:20" ht="15.75" x14ac:dyDescent="0.25">
      <x:c r="A512"/>
      <x:c r="B512"/>
      <x:c r="C512"/>
      <x:c r="D512"/>
      <x:c r="E512" s="31"/>
      <x:c r="F512" s="8"/>
      <x:c r="G512" s="8"/>
      <x:c r="H512" s="6"/>
      <x:c r="I512" s="27"/>
      <x:c r="J512" s="6"/>
      <x:c r="K512" s="6"/>
      <x:c r="L512" s="6"/>
      <x:c r="M512" s="6"/>
      <x:c r="N512" s="6"/>
      <x:c r="O512" s="6"/>
      <x:c r="P512" s="6"/>
      <x:c r="Q512" s="6"/>
      <x:c r="R512"/>
      <x:c r="S512"/>
      <x:c r="T512"/>
    </x:row>
    <x:row r="513" spans="1:20" ht="15.75" x14ac:dyDescent="0.25">
      <x:c r="A513"/>
      <x:c r="B513"/>
      <x:c r="C513"/>
      <x:c r="D513"/>
      <x:c r="E513" s="31"/>
      <x:c r="F513" s="8"/>
      <x:c r="G513" s="8"/>
      <x:c r="H513" s="6"/>
      <x:c r="I513" s="27"/>
      <x:c r="J513" s="6"/>
      <x:c r="K513" s="6"/>
      <x:c r="L513" s="6"/>
      <x:c r="M513" s="6"/>
      <x:c r="N513" s="6"/>
      <x:c r="O513" s="6"/>
      <x:c r="P513" s="6"/>
      <x:c r="Q513" s="6"/>
      <x:c r="R513"/>
      <x:c r="S513"/>
      <x:c r="T513"/>
    </x:row>
    <x:row r="514" spans="1:20" ht="15.75" x14ac:dyDescent="0.25">
      <x:c r="A514"/>
      <x:c r="B514"/>
      <x:c r="C514"/>
      <x:c r="D514"/>
      <x:c r="E514" s="31"/>
      <x:c r="F514" s="8"/>
      <x:c r="G514" s="8"/>
      <x:c r="H514" s="6"/>
      <x:c r="I514" s="27"/>
      <x:c r="J514" s="6"/>
      <x:c r="K514" s="6"/>
      <x:c r="L514" s="6"/>
      <x:c r="M514" s="6"/>
      <x:c r="N514" s="6"/>
      <x:c r="O514" s="6"/>
      <x:c r="P514" s="6"/>
      <x:c r="Q514" s="6"/>
      <x:c r="R514"/>
      <x:c r="S514"/>
      <x:c r="T514"/>
    </x:row>
    <x:row r="515" spans="1:20" ht="15.75" x14ac:dyDescent="0.25">
      <x:c r="A515"/>
      <x:c r="B515"/>
      <x:c r="C515"/>
      <x:c r="D515"/>
      <x:c r="E515" s="31"/>
      <x:c r="F515" s="8"/>
      <x:c r="G515" s="8"/>
      <x:c r="H515" s="6"/>
      <x:c r="I515" s="27"/>
      <x:c r="J515" s="6"/>
      <x:c r="K515" s="6"/>
      <x:c r="L515" s="6"/>
      <x:c r="M515" s="6"/>
      <x:c r="N515" s="6"/>
      <x:c r="O515" s="6"/>
      <x:c r="P515" s="6"/>
      <x:c r="Q515" s="6"/>
      <x:c r="R515"/>
      <x:c r="S515"/>
      <x:c r="T515"/>
    </x:row>
    <x:row r="516" spans="1:20" ht="15.75" x14ac:dyDescent="0.25">
      <x:c r="A516"/>
      <x:c r="B516"/>
      <x:c r="C516"/>
      <x:c r="D516"/>
      <x:c r="E516" s="31"/>
      <x:c r="F516" s="8"/>
      <x:c r="G516" s="8"/>
      <x:c r="H516" s="6"/>
      <x:c r="I516" s="27"/>
      <x:c r="J516" s="6"/>
      <x:c r="K516" s="6"/>
      <x:c r="L516" s="6"/>
      <x:c r="M516" s="6"/>
      <x:c r="N516" s="6"/>
      <x:c r="O516" s="6"/>
      <x:c r="P516" s="6"/>
      <x:c r="Q516" s="6"/>
      <x:c r="R516"/>
      <x:c r="S516"/>
      <x:c r="T516"/>
    </x:row>
    <x:row r="517" spans="1:20" ht="15.75" x14ac:dyDescent="0.25">
      <x:c r="A517"/>
      <x:c r="B517"/>
      <x:c r="C517"/>
      <x:c r="D517"/>
      <x:c r="E517" s="31"/>
      <x:c r="F517" s="8"/>
      <x:c r="G517" s="8"/>
      <x:c r="H517" s="6"/>
      <x:c r="I517" s="27"/>
      <x:c r="J517" s="6"/>
      <x:c r="K517" s="6"/>
      <x:c r="L517" s="6"/>
      <x:c r="M517" s="6"/>
      <x:c r="N517" s="6"/>
      <x:c r="O517" s="6"/>
      <x:c r="P517" s="6"/>
      <x:c r="Q517" s="6"/>
      <x:c r="R517"/>
      <x:c r="S517"/>
      <x:c r="T517"/>
    </x:row>
    <x:row r="518" spans="1:20" ht="15.75" x14ac:dyDescent="0.25">
      <x:c r="A518"/>
      <x:c r="B518"/>
      <x:c r="C518"/>
      <x:c r="D518"/>
      <x:c r="E518" s="31"/>
      <x:c r="F518" s="8"/>
      <x:c r="G518" s="8"/>
      <x:c r="H518" s="6"/>
      <x:c r="I518" s="27"/>
      <x:c r="J518" s="6"/>
      <x:c r="K518" s="6"/>
      <x:c r="L518" s="6"/>
      <x:c r="M518" s="6"/>
      <x:c r="N518" s="6"/>
      <x:c r="O518" s="6"/>
      <x:c r="P518" s="6"/>
      <x:c r="Q518" s="6"/>
      <x:c r="R518"/>
      <x:c r="S518"/>
      <x:c r="T518"/>
    </x:row>
    <x:row r="519" spans="1:20" ht="15.75" x14ac:dyDescent="0.25">
      <x:c r="A519"/>
      <x:c r="B519"/>
      <x:c r="C519"/>
      <x:c r="D519"/>
      <x:c r="E519" s="31"/>
      <x:c r="F519" s="8"/>
      <x:c r="G519" s="8"/>
      <x:c r="H519" s="6"/>
      <x:c r="I519" s="27"/>
      <x:c r="J519" s="6"/>
      <x:c r="K519" s="6"/>
      <x:c r="L519" s="6"/>
      <x:c r="M519" s="6"/>
      <x:c r="N519" s="6"/>
      <x:c r="O519" s="6"/>
      <x:c r="P519" s="6"/>
      <x:c r="Q519" s="6"/>
      <x:c r="R519"/>
      <x:c r="S519"/>
      <x:c r="T519"/>
    </x:row>
    <x:row r="520" spans="1:20" ht="15.75" x14ac:dyDescent="0.25">
      <x:c r="A520"/>
      <x:c r="B520"/>
      <x:c r="C520"/>
      <x:c r="D520"/>
      <x:c r="E520" s="31"/>
      <x:c r="F520" s="8"/>
      <x:c r="G520" s="8"/>
      <x:c r="H520" s="6"/>
      <x:c r="I520" s="27"/>
      <x:c r="J520" s="6"/>
      <x:c r="K520" s="6"/>
      <x:c r="L520" s="6"/>
      <x:c r="M520" s="6"/>
      <x:c r="N520" s="6"/>
      <x:c r="O520" s="6"/>
      <x:c r="P520" s="6"/>
      <x:c r="Q520" s="6"/>
      <x:c r="R520"/>
      <x:c r="S520"/>
      <x:c r="T520"/>
    </x:row>
    <x:row r="521" spans="1:20" ht="15.75" x14ac:dyDescent="0.25">
      <x:c r="A521"/>
      <x:c r="B521"/>
      <x:c r="C521"/>
      <x:c r="D521"/>
      <x:c r="E521" s="31"/>
      <x:c r="F521" s="8"/>
      <x:c r="G521" s="8"/>
      <x:c r="H521" s="6"/>
      <x:c r="I521" s="27"/>
      <x:c r="J521" s="6"/>
      <x:c r="K521" s="6"/>
      <x:c r="L521" s="6"/>
      <x:c r="M521" s="6"/>
      <x:c r="N521" s="6"/>
      <x:c r="O521" s="6"/>
      <x:c r="P521" s="6"/>
      <x:c r="Q521" s="6"/>
      <x:c r="R521"/>
      <x:c r="S521"/>
      <x:c r="T521"/>
    </x:row>
    <x:row r="522" spans="1:20" ht="15.75" x14ac:dyDescent="0.25">
      <x:c r="A522"/>
      <x:c r="B522"/>
      <x:c r="C522"/>
      <x:c r="D522"/>
      <x:c r="E522" s="31"/>
      <x:c r="F522" s="8"/>
      <x:c r="G522" s="8"/>
      <x:c r="H522" s="6"/>
      <x:c r="I522" s="27"/>
      <x:c r="J522" s="6"/>
      <x:c r="K522" s="6"/>
      <x:c r="L522" s="6"/>
      <x:c r="M522" s="6"/>
      <x:c r="N522" s="6"/>
      <x:c r="O522" s="6"/>
      <x:c r="P522" s="6"/>
      <x:c r="Q522" s="6"/>
      <x:c r="R522"/>
      <x:c r="S522"/>
      <x:c r="T522"/>
    </x:row>
    <x:row r="523" spans="1:20" ht="15.75" x14ac:dyDescent="0.25">
      <x:c r="A523"/>
      <x:c r="B523"/>
      <x:c r="C523"/>
      <x:c r="D523"/>
      <x:c r="E523" s="31"/>
      <x:c r="F523" s="8"/>
      <x:c r="G523" s="8"/>
      <x:c r="H523" s="6"/>
      <x:c r="I523" s="27"/>
      <x:c r="J523" s="6"/>
      <x:c r="K523" s="6"/>
      <x:c r="L523" s="6"/>
      <x:c r="M523" s="6"/>
      <x:c r="N523" s="6"/>
      <x:c r="O523" s="6"/>
      <x:c r="P523" s="6"/>
      <x:c r="Q523" s="6"/>
      <x:c r="R523"/>
      <x:c r="S523"/>
      <x:c r="T523"/>
    </x:row>
    <x:row r="524" spans="1:20" ht="15.75" x14ac:dyDescent="0.25">
      <x:c r="A524"/>
      <x:c r="B524"/>
      <x:c r="C524"/>
      <x:c r="D524"/>
      <x:c r="E524" s="31"/>
      <x:c r="F524" s="8"/>
      <x:c r="G524" s="8"/>
      <x:c r="H524" s="6"/>
      <x:c r="I524" s="27"/>
      <x:c r="J524" s="6"/>
      <x:c r="K524" s="6"/>
      <x:c r="L524" s="6"/>
      <x:c r="M524" s="6"/>
      <x:c r="N524" s="6"/>
      <x:c r="O524" s="6"/>
      <x:c r="P524" s="6"/>
      <x:c r="Q524" s="6"/>
      <x:c r="R524"/>
      <x:c r="S524"/>
      <x:c r="T524"/>
    </x:row>
    <x:row r="525" spans="1:20" ht="15.75" x14ac:dyDescent="0.25">
      <x:c r="A525"/>
      <x:c r="B525"/>
      <x:c r="C525"/>
      <x:c r="D525"/>
      <x:c r="E525" s="31"/>
      <x:c r="F525" s="8"/>
      <x:c r="G525" s="8"/>
      <x:c r="H525" s="6"/>
      <x:c r="I525" s="27"/>
      <x:c r="J525" s="6"/>
      <x:c r="K525" s="6"/>
      <x:c r="L525" s="6"/>
      <x:c r="M525" s="6"/>
      <x:c r="N525" s="6"/>
      <x:c r="O525" s="6"/>
      <x:c r="P525" s="6"/>
      <x:c r="Q525" s="6"/>
      <x:c r="R525"/>
      <x:c r="S525"/>
      <x:c r="T525"/>
    </x:row>
    <x:row r="526" spans="1:20" ht="15.75" x14ac:dyDescent="0.25">
      <x:c r="A526"/>
      <x:c r="B526"/>
      <x:c r="C526"/>
      <x:c r="D526"/>
      <x:c r="E526" s="31"/>
      <x:c r="F526" s="8"/>
      <x:c r="G526" s="8"/>
      <x:c r="H526" s="6"/>
      <x:c r="I526" s="27"/>
      <x:c r="J526" s="6"/>
      <x:c r="K526" s="6"/>
      <x:c r="L526" s="6"/>
      <x:c r="M526" s="6"/>
      <x:c r="N526" s="6"/>
      <x:c r="O526" s="6"/>
      <x:c r="P526" s="6"/>
      <x:c r="Q526" s="6"/>
      <x:c r="R526"/>
      <x:c r="S526"/>
      <x:c r="T526"/>
    </x:row>
    <x:row r="527" spans="1:20" ht="15.75" x14ac:dyDescent="0.25">
      <x:c r="A527"/>
      <x:c r="B527"/>
      <x:c r="C527"/>
      <x:c r="D527"/>
      <x:c r="E527" s="31"/>
      <x:c r="F527" s="8"/>
      <x:c r="G527" s="8"/>
      <x:c r="H527" s="6"/>
      <x:c r="I527" s="27"/>
      <x:c r="J527" s="6"/>
      <x:c r="K527" s="6"/>
      <x:c r="L527" s="6"/>
      <x:c r="M527" s="6"/>
      <x:c r="N527" s="6"/>
      <x:c r="O527" s="6"/>
      <x:c r="P527" s="6"/>
      <x:c r="Q527" s="6"/>
      <x:c r="R527"/>
      <x:c r="S527"/>
      <x:c r="T527"/>
    </x:row>
    <x:row r="528" spans="1:20" ht="15.75" x14ac:dyDescent="0.25">
      <x:c r="A528"/>
      <x:c r="B528"/>
      <x:c r="C528"/>
      <x:c r="D528"/>
      <x:c r="E528" s="31"/>
      <x:c r="F528" s="8"/>
      <x:c r="G528" s="8"/>
      <x:c r="H528" s="6"/>
      <x:c r="I528" s="27"/>
      <x:c r="J528" s="6"/>
      <x:c r="K528" s="6"/>
      <x:c r="L528" s="6"/>
      <x:c r="M528" s="6"/>
      <x:c r="N528" s="6"/>
      <x:c r="O528" s="6"/>
      <x:c r="P528" s="6"/>
      <x:c r="Q528" s="6"/>
      <x:c r="R528"/>
      <x:c r="S528"/>
      <x:c r="T528"/>
    </x:row>
    <x:row r="529" spans="1:20" ht="15.75" x14ac:dyDescent="0.25">
      <x:c r="A529"/>
      <x:c r="B529"/>
      <x:c r="C529"/>
      <x:c r="D529"/>
      <x:c r="E529" s="31"/>
      <x:c r="F529" s="8"/>
      <x:c r="G529" s="8"/>
      <x:c r="H529" s="6"/>
      <x:c r="I529" s="27"/>
      <x:c r="J529" s="6"/>
      <x:c r="K529" s="6"/>
      <x:c r="L529" s="6"/>
      <x:c r="M529" s="6"/>
      <x:c r="N529" s="6"/>
      <x:c r="O529" s="6"/>
      <x:c r="P529" s="6"/>
      <x:c r="Q529" s="6"/>
      <x:c r="R529"/>
      <x:c r="S529"/>
      <x:c r="T529"/>
    </x:row>
    <x:row r="530" spans="1:20" ht="15.75" x14ac:dyDescent="0.25">
      <x:c r="A530"/>
      <x:c r="B530"/>
      <x:c r="C530"/>
      <x:c r="D530"/>
      <x:c r="E530" s="31"/>
      <x:c r="F530" s="8"/>
      <x:c r="G530" s="8"/>
      <x:c r="H530" s="6"/>
      <x:c r="I530" s="27"/>
      <x:c r="J530" s="6"/>
      <x:c r="K530" s="6"/>
      <x:c r="L530" s="6"/>
      <x:c r="M530" s="6"/>
      <x:c r="N530" s="6"/>
      <x:c r="O530" s="6"/>
      <x:c r="P530" s="6"/>
      <x:c r="Q530" s="6"/>
      <x:c r="R530"/>
      <x:c r="S530"/>
      <x:c r="T530"/>
    </x:row>
    <x:row r="531" spans="1:20" ht="15.75" x14ac:dyDescent="0.25">
      <x:c r="A531"/>
      <x:c r="B531"/>
      <x:c r="C531"/>
      <x:c r="D531"/>
      <x:c r="E531" s="31"/>
      <x:c r="F531" s="8"/>
      <x:c r="G531" s="8"/>
      <x:c r="H531" s="6"/>
      <x:c r="I531" s="27"/>
      <x:c r="J531" s="6"/>
      <x:c r="K531" s="6"/>
      <x:c r="L531" s="6"/>
      <x:c r="M531" s="6"/>
      <x:c r="N531" s="6"/>
      <x:c r="O531" s="6"/>
      <x:c r="P531" s="6"/>
      <x:c r="Q531" s="6"/>
      <x:c r="R531"/>
      <x:c r="S531"/>
      <x:c r="T531"/>
    </x:row>
    <x:row r="532" spans="1:20" ht="15.75" x14ac:dyDescent="0.25">
      <x:c r="A532"/>
      <x:c r="B532"/>
      <x:c r="C532"/>
      <x:c r="D532"/>
      <x:c r="E532" s="31"/>
      <x:c r="F532" s="8"/>
      <x:c r="G532" s="8"/>
      <x:c r="H532" s="6"/>
      <x:c r="I532" s="27"/>
      <x:c r="J532" s="6"/>
      <x:c r="K532" s="6"/>
      <x:c r="L532" s="6"/>
      <x:c r="M532" s="6"/>
      <x:c r="N532" s="6"/>
      <x:c r="O532" s="6"/>
      <x:c r="P532" s="6"/>
      <x:c r="Q532" s="6"/>
      <x:c r="R532"/>
      <x:c r="S532"/>
      <x:c r="T532"/>
    </x:row>
    <x:row r="533" spans="1:20" ht="15.75" x14ac:dyDescent="0.25">
      <x:c r="A533"/>
      <x:c r="B533"/>
      <x:c r="C533"/>
      <x:c r="D533"/>
      <x:c r="E533" s="31"/>
      <x:c r="F533" s="8"/>
      <x:c r="G533" s="8"/>
      <x:c r="H533" s="6"/>
      <x:c r="I533" s="27"/>
      <x:c r="J533" s="6"/>
      <x:c r="K533" s="6"/>
      <x:c r="L533" s="6"/>
      <x:c r="M533" s="6"/>
      <x:c r="N533" s="6"/>
      <x:c r="O533" s="6"/>
      <x:c r="P533" s="6"/>
      <x:c r="Q533" s="6"/>
      <x:c r="R533"/>
      <x:c r="S533"/>
      <x:c r="T533"/>
    </x:row>
    <x:row r="534" spans="1:20" ht="15.75" x14ac:dyDescent="0.25">
      <x:c r="A534"/>
      <x:c r="B534"/>
      <x:c r="C534"/>
      <x:c r="D534"/>
      <x:c r="E534" s="31"/>
      <x:c r="F534" s="8"/>
      <x:c r="G534" s="8"/>
      <x:c r="H534" s="6"/>
      <x:c r="I534" s="27"/>
      <x:c r="J534" s="6"/>
      <x:c r="K534" s="6"/>
      <x:c r="L534" s="6"/>
      <x:c r="M534" s="6"/>
      <x:c r="N534" s="6"/>
      <x:c r="O534" s="6"/>
      <x:c r="P534" s="6"/>
      <x:c r="Q534" s="6"/>
      <x:c r="R534"/>
      <x:c r="S534"/>
      <x:c r="T534"/>
    </x:row>
    <x:row r="535" spans="1:20" ht="15.75" x14ac:dyDescent="0.25">
      <x:c r="A535"/>
      <x:c r="B535"/>
      <x:c r="C535"/>
      <x:c r="D535"/>
      <x:c r="E535" s="31"/>
      <x:c r="F535" s="8"/>
      <x:c r="G535" s="8"/>
      <x:c r="H535" s="6"/>
      <x:c r="I535" s="27"/>
      <x:c r="J535" s="6"/>
      <x:c r="K535" s="6"/>
      <x:c r="L535" s="6"/>
      <x:c r="M535" s="6"/>
      <x:c r="N535" s="6"/>
      <x:c r="O535" s="6"/>
      <x:c r="P535" s="6"/>
      <x:c r="Q535" s="6"/>
      <x:c r="R535"/>
      <x:c r="S535"/>
      <x:c r="T535"/>
    </x:row>
    <x:row r="536" spans="1:20" ht="15.75" x14ac:dyDescent="0.25">
      <x:c r="A536"/>
      <x:c r="B536"/>
      <x:c r="C536"/>
      <x:c r="D536"/>
      <x:c r="E536" s="31"/>
      <x:c r="F536" s="8"/>
      <x:c r="G536" s="8"/>
      <x:c r="H536" s="6"/>
      <x:c r="I536" s="27"/>
      <x:c r="J536" s="6"/>
      <x:c r="K536" s="6"/>
      <x:c r="L536" s="6"/>
      <x:c r="M536" s="6"/>
      <x:c r="N536" s="6"/>
      <x:c r="O536" s="6"/>
      <x:c r="P536" s="6"/>
      <x:c r="Q536" s="6"/>
      <x:c r="R536"/>
      <x:c r="S536"/>
      <x:c r="T536"/>
    </x:row>
    <x:row r="537" spans="1:20" ht="15.75" x14ac:dyDescent="0.25">
      <x:c r="A537"/>
      <x:c r="B537"/>
      <x:c r="C537"/>
      <x:c r="D537"/>
      <x:c r="E537" s="31"/>
      <x:c r="F537" s="8"/>
      <x:c r="G537" s="8"/>
      <x:c r="H537" s="6"/>
      <x:c r="I537" s="27"/>
      <x:c r="J537" s="6"/>
      <x:c r="K537" s="6"/>
      <x:c r="L537" s="6"/>
      <x:c r="M537" s="6"/>
      <x:c r="N537" s="6"/>
      <x:c r="O537" s="6"/>
      <x:c r="P537" s="6"/>
      <x:c r="Q537" s="6"/>
      <x:c r="R537"/>
      <x:c r="S537"/>
      <x:c r="T537"/>
    </x:row>
    <x:row r="538" spans="1:20" ht="15.75" x14ac:dyDescent="0.25">
      <x:c r="A538"/>
      <x:c r="B538"/>
      <x:c r="C538"/>
      <x:c r="D538"/>
      <x:c r="E538" s="31"/>
      <x:c r="F538" s="8"/>
      <x:c r="G538" s="8"/>
      <x:c r="H538" s="6"/>
      <x:c r="I538" s="27"/>
      <x:c r="J538" s="6"/>
      <x:c r="K538" s="6"/>
      <x:c r="L538" s="6"/>
      <x:c r="M538" s="6"/>
      <x:c r="N538" s="6"/>
      <x:c r="O538" s="6"/>
      <x:c r="P538" s="6"/>
      <x:c r="Q538" s="6"/>
      <x:c r="R538"/>
      <x:c r="S538"/>
      <x:c r="T538"/>
    </x:row>
    <x:row r="539" spans="1:20" ht="15.75" x14ac:dyDescent="0.25">
      <x:c r="A539"/>
      <x:c r="B539"/>
      <x:c r="C539"/>
      <x:c r="D539"/>
      <x:c r="E539" s="31"/>
      <x:c r="F539" s="8"/>
      <x:c r="G539" s="8"/>
      <x:c r="H539" s="6"/>
      <x:c r="I539" s="27"/>
      <x:c r="J539" s="6"/>
      <x:c r="K539" s="6"/>
      <x:c r="L539" s="6"/>
      <x:c r="M539" s="6"/>
      <x:c r="N539" s="6"/>
      <x:c r="O539" s="6"/>
      <x:c r="P539" s="6"/>
      <x:c r="Q539" s="6"/>
      <x:c r="R539"/>
      <x:c r="S539"/>
      <x:c r="T539"/>
    </x:row>
    <x:row r="540" spans="1:20" ht="15.75" x14ac:dyDescent="0.25">
      <x:c r="A540"/>
      <x:c r="B540"/>
      <x:c r="C540"/>
      <x:c r="D540"/>
      <x:c r="E540" s="31"/>
      <x:c r="F540" s="8"/>
      <x:c r="G540" s="8"/>
      <x:c r="H540" s="6"/>
      <x:c r="I540" s="27"/>
      <x:c r="J540" s="6"/>
      <x:c r="K540" s="6"/>
      <x:c r="L540" s="6"/>
      <x:c r="M540" s="6"/>
      <x:c r="N540" s="6"/>
      <x:c r="O540" s="6"/>
      <x:c r="P540" s="6"/>
      <x:c r="Q540" s="6"/>
      <x:c r="R540"/>
      <x:c r="S540"/>
      <x:c r="T540"/>
    </x:row>
    <x:row r="541" spans="1:20" ht="15.75" x14ac:dyDescent="0.25">
      <x:c r="A541"/>
      <x:c r="B541"/>
      <x:c r="C541"/>
      <x:c r="D541"/>
      <x:c r="E541" s="31"/>
      <x:c r="F541" s="8"/>
      <x:c r="G541" s="8"/>
      <x:c r="H541" s="6"/>
      <x:c r="I541" s="27"/>
      <x:c r="J541" s="6"/>
      <x:c r="K541" s="6"/>
      <x:c r="L541" s="6"/>
      <x:c r="M541" s="6"/>
      <x:c r="N541" s="6"/>
      <x:c r="O541" s="6"/>
      <x:c r="P541" s="6"/>
      <x:c r="Q541" s="6"/>
      <x:c r="R541"/>
      <x:c r="S541"/>
      <x:c r="T541"/>
    </x:row>
    <x:row r="542" spans="1:20" ht="15.75" x14ac:dyDescent="0.25">
      <x:c r="A542"/>
      <x:c r="B542"/>
      <x:c r="C542"/>
      <x:c r="D542"/>
      <x:c r="E542" s="31"/>
      <x:c r="F542" s="8"/>
      <x:c r="G542" s="8"/>
      <x:c r="H542" s="6"/>
      <x:c r="I542" s="27"/>
      <x:c r="J542" s="6"/>
      <x:c r="K542" s="6"/>
      <x:c r="L542" s="6"/>
      <x:c r="M542" s="6"/>
      <x:c r="N542" s="6"/>
      <x:c r="O542" s="6"/>
      <x:c r="P542" s="6"/>
      <x:c r="Q542" s="6"/>
      <x:c r="R542"/>
      <x:c r="S542"/>
      <x:c r="T542"/>
    </x:row>
    <x:row r="543" spans="1:20" ht="15.75" x14ac:dyDescent="0.25">
      <x:c r="A543"/>
      <x:c r="B543"/>
      <x:c r="C543"/>
      <x:c r="D543"/>
      <x:c r="E543" s="31"/>
      <x:c r="F543" s="8"/>
      <x:c r="G543" s="8"/>
      <x:c r="H543" s="6"/>
      <x:c r="I543" s="27"/>
      <x:c r="J543" s="6"/>
      <x:c r="K543" s="6"/>
      <x:c r="L543" s="6"/>
      <x:c r="M543" s="6"/>
      <x:c r="N543" s="6"/>
      <x:c r="O543" s="6"/>
      <x:c r="P543" s="6"/>
      <x:c r="Q543" s="6"/>
      <x:c r="R543"/>
      <x:c r="S543"/>
      <x:c r="T543"/>
    </x:row>
    <x:row r="544" spans="1:20" ht="15.75" x14ac:dyDescent="0.25">
      <x:c r="A544"/>
      <x:c r="B544"/>
      <x:c r="C544"/>
      <x:c r="D544"/>
      <x:c r="E544" s="31"/>
      <x:c r="F544" s="8"/>
      <x:c r="G544" s="8"/>
      <x:c r="H544" s="6"/>
      <x:c r="I544" s="27"/>
      <x:c r="J544" s="6"/>
      <x:c r="K544" s="6"/>
      <x:c r="L544" s="6"/>
      <x:c r="M544" s="6"/>
      <x:c r="N544" s="6"/>
      <x:c r="O544" s="6"/>
      <x:c r="P544" s="6"/>
      <x:c r="Q544" s="6"/>
      <x:c r="R544"/>
      <x:c r="S544"/>
      <x:c r="T544"/>
    </x:row>
    <x:row r="545" spans="1:20" ht="15.75" x14ac:dyDescent="0.25">
      <x:c r="A545"/>
      <x:c r="B545"/>
      <x:c r="C545"/>
      <x:c r="D545"/>
      <x:c r="E545" s="31"/>
      <x:c r="F545" s="8"/>
      <x:c r="G545" s="8"/>
      <x:c r="H545" s="6"/>
      <x:c r="I545" s="27"/>
      <x:c r="J545" s="6"/>
      <x:c r="K545" s="6"/>
      <x:c r="L545" s="6"/>
      <x:c r="M545" s="6"/>
      <x:c r="N545" s="6"/>
      <x:c r="O545" s="6"/>
      <x:c r="P545" s="6"/>
      <x:c r="Q545" s="6"/>
      <x:c r="R545"/>
      <x:c r="S545"/>
      <x:c r="T545"/>
    </x:row>
    <x:row r="546" spans="1:20" ht="15.75" x14ac:dyDescent="0.25">
      <x:c r="A546"/>
      <x:c r="B546"/>
      <x:c r="C546"/>
      <x:c r="D546"/>
      <x:c r="E546" s="31"/>
      <x:c r="F546" s="8"/>
      <x:c r="G546" s="8"/>
      <x:c r="H546" s="6"/>
      <x:c r="I546" s="27"/>
      <x:c r="J546" s="6"/>
      <x:c r="K546" s="6"/>
      <x:c r="L546" s="6"/>
      <x:c r="M546" s="6"/>
      <x:c r="N546" s="6"/>
      <x:c r="O546" s="6"/>
      <x:c r="P546" s="6"/>
      <x:c r="Q546" s="6"/>
      <x:c r="R546"/>
      <x:c r="S546"/>
      <x:c r="T546"/>
    </x:row>
    <x:row r="547" spans="1:20" ht="15.75" x14ac:dyDescent="0.25">
      <x:c r="A547"/>
      <x:c r="B547"/>
      <x:c r="C547"/>
      <x:c r="D547"/>
      <x:c r="E547" s="31"/>
      <x:c r="F547" s="8"/>
      <x:c r="G547" s="8"/>
      <x:c r="H547" s="6"/>
      <x:c r="I547" s="27"/>
      <x:c r="J547" s="6"/>
      <x:c r="K547" s="6"/>
      <x:c r="L547" s="6"/>
      <x:c r="M547" s="6"/>
      <x:c r="N547" s="6"/>
      <x:c r="O547" s="6"/>
      <x:c r="P547" s="6"/>
      <x:c r="Q547" s="6"/>
      <x:c r="R547"/>
      <x:c r="S547"/>
      <x:c r="T547"/>
    </x:row>
    <x:row r="548" spans="1:20" ht="15.75" x14ac:dyDescent="0.25">
      <x:c r="A548"/>
      <x:c r="B548"/>
      <x:c r="C548"/>
      <x:c r="D548"/>
      <x:c r="E548" s="31"/>
      <x:c r="F548" s="8"/>
      <x:c r="G548" s="8"/>
      <x:c r="H548" s="6"/>
      <x:c r="I548" s="27"/>
      <x:c r="J548" s="6"/>
      <x:c r="K548" s="6"/>
      <x:c r="L548" s="6"/>
      <x:c r="M548" s="6"/>
      <x:c r="N548" s="6"/>
      <x:c r="O548" s="6"/>
      <x:c r="P548" s="6"/>
      <x:c r="Q548" s="6"/>
      <x:c r="R548"/>
      <x:c r="S548"/>
      <x:c r="T548"/>
    </x:row>
    <x:row r="549" spans="1:20" ht="15.75" x14ac:dyDescent="0.25">
      <x:c r="A549"/>
      <x:c r="B549"/>
      <x:c r="C549"/>
      <x:c r="D549"/>
      <x:c r="E549" s="31"/>
      <x:c r="F549" s="8"/>
      <x:c r="G549" s="8"/>
      <x:c r="H549" s="6"/>
      <x:c r="I549" s="27"/>
      <x:c r="J549" s="6"/>
      <x:c r="K549" s="6"/>
      <x:c r="L549" s="6"/>
      <x:c r="M549" s="6"/>
      <x:c r="N549" s="6"/>
      <x:c r="O549" s="6"/>
      <x:c r="P549" s="6"/>
      <x:c r="Q549" s="6"/>
      <x:c r="R549"/>
      <x:c r="S549"/>
      <x:c r="T549"/>
    </x:row>
    <x:row r="550" spans="1:20" ht="15.75" x14ac:dyDescent="0.25">
      <x:c r="A550"/>
      <x:c r="B550"/>
      <x:c r="C550"/>
      <x:c r="D550"/>
      <x:c r="E550" s="31"/>
      <x:c r="F550" s="8"/>
      <x:c r="G550" s="8"/>
      <x:c r="H550" s="6"/>
      <x:c r="I550" s="27"/>
      <x:c r="J550" s="6"/>
      <x:c r="K550" s="6"/>
      <x:c r="L550" s="6"/>
      <x:c r="M550" s="6"/>
      <x:c r="N550" s="6"/>
      <x:c r="O550" s="6"/>
      <x:c r="P550" s="6"/>
      <x:c r="Q550" s="6"/>
      <x:c r="R550"/>
      <x:c r="S550"/>
      <x:c r="T550"/>
    </x:row>
    <x:row r="551" spans="1:20" ht="15.75" x14ac:dyDescent="0.25">
      <x:c r="A551"/>
      <x:c r="B551"/>
      <x:c r="C551"/>
      <x:c r="D551"/>
      <x:c r="E551" s="31"/>
      <x:c r="F551" s="8"/>
      <x:c r="G551" s="8"/>
      <x:c r="H551" s="6"/>
      <x:c r="I551" s="27"/>
      <x:c r="J551" s="6"/>
      <x:c r="K551" s="6"/>
      <x:c r="L551" s="6"/>
      <x:c r="M551" s="6"/>
      <x:c r="N551" s="6"/>
      <x:c r="O551" s="6"/>
      <x:c r="P551" s="6"/>
      <x:c r="Q551" s="6"/>
      <x:c r="R551"/>
      <x:c r="S551"/>
      <x:c r="T551"/>
    </x:row>
    <x:row r="552" spans="1:20" ht="15.75" x14ac:dyDescent="0.25">
      <x:c r="A552"/>
      <x:c r="B552"/>
      <x:c r="C552"/>
      <x:c r="D552"/>
      <x:c r="E552" s="31"/>
      <x:c r="F552" s="8"/>
      <x:c r="G552" s="8"/>
      <x:c r="H552" s="6"/>
      <x:c r="I552" s="27"/>
      <x:c r="J552" s="6"/>
      <x:c r="K552" s="6"/>
      <x:c r="L552" s="6"/>
      <x:c r="M552" s="6"/>
      <x:c r="N552" s="6"/>
      <x:c r="O552" s="6"/>
      <x:c r="P552" s="6"/>
      <x:c r="Q552" s="6"/>
      <x:c r="R552"/>
      <x:c r="S552"/>
      <x:c r="T552"/>
    </x:row>
    <x:row r="553" spans="1:20" ht="15.75" x14ac:dyDescent="0.25">
      <x:c r="A553"/>
      <x:c r="B553"/>
      <x:c r="C553"/>
      <x:c r="D553"/>
      <x:c r="E553" s="31"/>
      <x:c r="F553" s="8"/>
      <x:c r="G553" s="8"/>
      <x:c r="H553" s="6"/>
      <x:c r="I553" s="27"/>
      <x:c r="J553" s="6"/>
      <x:c r="K553" s="6"/>
      <x:c r="L553" s="6"/>
      <x:c r="M553" s="6"/>
      <x:c r="N553" s="6"/>
      <x:c r="O553" s="6"/>
      <x:c r="P553" s="6"/>
      <x:c r="Q553" s="6"/>
      <x:c r="R553"/>
      <x:c r="S553"/>
      <x:c r="T553"/>
    </x:row>
    <x:row r="554" spans="1:20" ht="15.75" x14ac:dyDescent="0.25">
      <x:c r="A554"/>
      <x:c r="B554"/>
      <x:c r="C554"/>
      <x:c r="D554"/>
      <x:c r="E554" s="31"/>
      <x:c r="F554" s="8"/>
      <x:c r="G554" s="8"/>
      <x:c r="H554" s="6"/>
      <x:c r="I554" s="27"/>
      <x:c r="J554" s="6"/>
      <x:c r="K554" s="6"/>
      <x:c r="L554" s="6"/>
      <x:c r="M554" s="6"/>
      <x:c r="N554" s="6"/>
      <x:c r="O554" s="6"/>
      <x:c r="P554" s="6"/>
      <x:c r="Q554" s="6"/>
      <x:c r="R554"/>
      <x:c r="S554"/>
      <x:c r="T554"/>
    </x:row>
    <x:row r="555" spans="1:20" ht="15.75" x14ac:dyDescent="0.25">
      <x:c r="A555"/>
      <x:c r="B555"/>
      <x:c r="C555"/>
      <x:c r="D555"/>
      <x:c r="E555" s="31"/>
      <x:c r="F555" s="8"/>
      <x:c r="G555" s="8"/>
      <x:c r="H555" s="6"/>
      <x:c r="I555" s="27"/>
      <x:c r="J555" s="6"/>
      <x:c r="K555" s="6"/>
      <x:c r="L555" s="6"/>
      <x:c r="M555" s="6"/>
      <x:c r="N555" s="6"/>
      <x:c r="O555" s="6"/>
      <x:c r="P555" s="6"/>
      <x:c r="Q555" s="6"/>
      <x:c r="R555"/>
      <x:c r="S555"/>
      <x:c r="T555"/>
    </x:row>
    <x:row r="556" spans="1:20" ht="15.75" x14ac:dyDescent="0.25">
      <x:c r="A556"/>
      <x:c r="B556"/>
      <x:c r="C556"/>
      <x:c r="D556"/>
      <x:c r="E556" s="31"/>
      <x:c r="F556" s="8"/>
      <x:c r="G556" s="8"/>
      <x:c r="H556" s="6"/>
      <x:c r="I556" s="27"/>
      <x:c r="J556" s="6"/>
      <x:c r="K556" s="6"/>
      <x:c r="L556" s="6"/>
      <x:c r="M556" s="6"/>
      <x:c r="N556" s="6"/>
      <x:c r="O556" s="6"/>
      <x:c r="P556" s="6"/>
      <x:c r="Q556" s="6"/>
      <x:c r="R556"/>
      <x:c r="S556"/>
      <x:c r="T556"/>
    </x:row>
    <x:row r="557" spans="1:20" ht="15.75" x14ac:dyDescent="0.25">
      <x:c r="A557"/>
      <x:c r="B557"/>
      <x:c r="C557"/>
      <x:c r="D557"/>
      <x:c r="E557" s="31"/>
      <x:c r="F557" s="8"/>
      <x:c r="G557" s="8"/>
      <x:c r="H557" s="6"/>
      <x:c r="I557" s="27"/>
      <x:c r="J557" s="6"/>
      <x:c r="K557" s="6"/>
      <x:c r="L557" s="6"/>
      <x:c r="M557" s="6"/>
      <x:c r="N557" s="6"/>
      <x:c r="O557" s="6"/>
      <x:c r="P557" s="6"/>
      <x:c r="Q557" s="6"/>
      <x:c r="R557"/>
      <x:c r="S557"/>
      <x:c r="T557"/>
    </x:row>
    <x:row r="558" spans="1:20" ht="15.75" x14ac:dyDescent="0.25">
      <x:c r="A558"/>
      <x:c r="B558"/>
      <x:c r="C558"/>
      <x:c r="D558"/>
      <x:c r="E558" s="31"/>
      <x:c r="F558" s="8"/>
      <x:c r="G558" s="8"/>
      <x:c r="H558" s="6"/>
      <x:c r="I558" s="27"/>
      <x:c r="J558" s="6"/>
      <x:c r="K558" s="6"/>
      <x:c r="L558" s="6"/>
      <x:c r="M558" s="6"/>
      <x:c r="N558" s="6"/>
      <x:c r="O558" s="6"/>
      <x:c r="P558" s="6"/>
      <x:c r="Q558" s="6"/>
      <x:c r="R558"/>
      <x:c r="S558"/>
      <x:c r="T558"/>
    </x:row>
    <x:row r="559" spans="1:20" ht="15.75" x14ac:dyDescent="0.25">
      <x:c r="A559"/>
      <x:c r="B559"/>
      <x:c r="C559"/>
      <x:c r="D559"/>
      <x:c r="E559" s="31"/>
      <x:c r="F559" s="8"/>
      <x:c r="G559" s="8"/>
      <x:c r="H559" s="6"/>
      <x:c r="I559" s="27"/>
      <x:c r="J559" s="6"/>
      <x:c r="K559" s="6"/>
      <x:c r="L559" s="6"/>
      <x:c r="M559" s="6"/>
      <x:c r="N559" s="6"/>
      <x:c r="O559" s="6"/>
      <x:c r="P559" s="6"/>
      <x:c r="Q559" s="6"/>
      <x:c r="R559"/>
      <x:c r="S559"/>
      <x:c r="T559"/>
    </x:row>
    <x:row r="560" spans="1:20" ht="15.75" x14ac:dyDescent="0.25">
      <x:c r="A560"/>
      <x:c r="B560"/>
      <x:c r="C560"/>
      <x:c r="D560"/>
      <x:c r="E560" s="31"/>
      <x:c r="F560" s="8"/>
      <x:c r="G560" s="8"/>
      <x:c r="H560" s="6"/>
      <x:c r="I560" s="27"/>
      <x:c r="J560" s="6"/>
      <x:c r="K560" s="6"/>
      <x:c r="L560" s="6"/>
      <x:c r="M560" s="6"/>
      <x:c r="N560" s="6"/>
      <x:c r="O560" s="6"/>
      <x:c r="P560" s="6"/>
      <x:c r="Q560" s="6"/>
      <x:c r="R560"/>
      <x:c r="S560"/>
      <x:c r="T560"/>
    </x:row>
    <x:row r="561" spans="1:20" ht="15.75" x14ac:dyDescent="0.25">
      <x:c r="A561"/>
      <x:c r="B561"/>
      <x:c r="C561"/>
      <x:c r="D561"/>
      <x:c r="E561" s="31"/>
      <x:c r="F561" s="8"/>
      <x:c r="G561" s="8"/>
      <x:c r="H561" s="6"/>
      <x:c r="I561" s="27"/>
      <x:c r="J561" s="6"/>
      <x:c r="K561" s="6"/>
      <x:c r="L561" s="6"/>
      <x:c r="M561" s="6"/>
      <x:c r="N561" s="6"/>
      <x:c r="O561" s="6"/>
      <x:c r="P561" s="6"/>
      <x:c r="Q561" s="6"/>
      <x:c r="R561"/>
      <x:c r="S561"/>
      <x:c r="T561"/>
    </x:row>
    <x:row r="562" spans="1:20" ht="15.75" x14ac:dyDescent="0.25">
      <x:c r="A562"/>
      <x:c r="B562"/>
      <x:c r="C562"/>
      <x:c r="D562"/>
      <x:c r="E562" s="31"/>
      <x:c r="F562" s="8"/>
      <x:c r="G562" s="8"/>
      <x:c r="H562" s="6"/>
      <x:c r="I562" s="27"/>
      <x:c r="J562" s="6"/>
      <x:c r="K562" s="6"/>
      <x:c r="L562" s="6"/>
      <x:c r="M562" s="6"/>
      <x:c r="N562" s="6"/>
      <x:c r="O562" s="6"/>
      <x:c r="P562" s="6"/>
      <x:c r="Q562" s="6"/>
      <x:c r="R562"/>
      <x:c r="S562"/>
      <x:c r="T562"/>
    </x:row>
    <x:row r="563" spans="1:20" ht="15.75" x14ac:dyDescent="0.25">
      <x:c r="A563"/>
      <x:c r="B563"/>
      <x:c r="C563"/>
      <x:c r="D563"/>
      <x:c r="E563" s="31"/>
      <x:c r="F563" s="8"/>
      <x:c r="G563" s="8"/>
      <x:c r="H563" s="6"/>
      <x:c r="I563" s="27"/>
      <x:c r="J563" s="6"/>
      <x:c r="K563" s="6"/>
      <x:c r="L563" s="6"/>
      <x:c r="M563" s="6"/>
      <x:c r="N563" s="6"/>
      <x:c r="O563" s="6"/>
      <x:c r="P563" s="6"/>
      <x:c r="Q563" s="6"/>
      <x:c r="R563"/>
      <x:c r="S563"/>
      <x:c r="T563"/>
    </x:row>
    <x:row r="564" spans="1:20" ht="15.75" x14ac:dyDescent="0.25">
      <x:c r="A564"/>
      <x:c r="B564"/>
      <x:c r="C564"/>
      <x:c r="D564"/>
      <x:c r="E564" s="31"/>
      <x:c r="F564" s="8"/>
      <x:c r="G564" s="8"/>
      <x:c r="H564" s="6"/>
      <x:c r="I564" s="27"/>
      <x:c r="J564" s="6"/>
      <x:c r="K564" s="6"/>
      <x:c r="L564" s="6"/>
      <x:c r="M564" s="6"/>
      <x:c r="N564" s="6"/>
      <x:c r="O564" s="6"/>
      <x:c r="P564" s="6"/>
      <x:c r="Q564" s="6"/>
      <x:c r="R564"/>
      <x:c r="S564"/>
      <x:c r="T564"/>
    </x:row>
    <x:row r="565" spans="1:20" ht="15.75" x14ac:dyDescent="0.25">
      <x:c r="A565"/>
      <x:c r="B565"/>
      <x:c r="C565"/>
      <x:c r="D565"/>
      <x:c r="E565" s="31"/>
      <x:c r="F565" s="8"/>
      <x:c r="G565" s="8"/>
      <x:c r="H565" s="6"/>
      <x:c r="I565" s="27"/>
      <x:c r="J565" s="6"/>
      <x:c r="K565" s="6"/>
      <x:c r="L565" s="6"/>
      <x:c r="M565" s="6"/>
      <x:c r="N565" s="6"/>
      <x:c r="O565" s="6"/>
      <x:c r="P565" s="6"/>
      <x:c r="Q565" s="6"/>
      <x:c r="R565"/>
      <x:c r="S565"/>
      <x:c r="T565"/>
    </x:row>
    <x:row r="566" spans="1:20" ht="15.75" x14ac:dyDescent="0.25">
      <x:c r="A566"/>
      <x:c r="B566"/>
      <x:c r="C566"/>
      <x:c r="D566"/>
      <x:c r="E566" s="31"/>
      <x:c r="F566" s="8"/>
      <x:c r="G566" s="8"/>
      <x:c r="H566" s="6"/>
      <x:c r="I566" s="27"/>
      <x:c r="J566" s="6"/>
      <x:c r="K566" s="6"/>
      <x:c r="L566" s="6"/>
      <x:c r="M566" s="6"/>
      <x:c r="N566" s="6"/>
      <x:c r="O566" s="6"/>
      <x:c r="P566" s="6"/>
      <x:c r="Q566" s="6"/>
      <x:c r="R566"/>
      <x:c r="S566"/>
      <x:c r="T566"/>
    </x:row>
    <x:row r="567" spans="1:20" ht="15.75" x14ac:dyDescent="0.25">
      <x:c r="A567"/>
      <x:c r="B567"/>
      <x:c r="C567"/>
      <x:c r="D567"/>
      <x:c r="E567" s="31"/>
      <x:c r="F567" s="8"/>
      <x:c r="G567" s="8"/>
      <x:c r="H567" s="6"/>
      <x:c r="I567" s="27"/>
      <x:c r="J567" s="6"/>
      <x:c r="K567" s="6"/>
      <x:c r="L567" s="6"/>
      <x:c r="M567" s="6"/>
      <x:c r="N567" s="6"/>
      <x:c r="O567" s="6"/>
      <x:c r="P567" s="6"/>
      <x:c r="Q567" s="6"/>
      <x:c r="R567"/>
      <x:c r="S567"/>
      <x:c r="T567"/>
    </x:row>
    <x:row r="568" spans="1:20" ht="15.75" x14ac:dyDescent="0.25">
      <x:c r="A568"/>
      <x:c r="B568"/>
      <x:c r="C568"/>
      <x:c r="D568"/>
      <x:c r="E568" s="31"/>
      <x:c r="F568" s="8"/>
      <x:c r="G568" s="8"/>
      <x:c r="H568" s="6"/>
      <x:c r="I568" s="27"/>
      <x:c r="J568" s="6"/>
      <x:c r="K568" s="6"/>
      <x:c r="L568" s="6"/>
      <x:c r="M568" s="6"/>
      <x:c r="N568" s="6"/>
      <x:c r="O568" s="6"/>
      <x:c r="P568" s="6"/>
      <x:c r="Q568" s="6"/>
      <x:c r="R568"/>
      <x:c r="S568"/>
      <x:c r="T568"/>
    </x:row>
    <x:row r="569" spans="1:20" ht="15.75" x14ac:dyDescent="0.25">
      <x:c r="A569"/>
      <x:c r="B569"/>
      <x:c r="C569"/>
      <x:c r="D569"/>
      <x:c r="E569" s="31"/>
      <x:c r="F569" s="8"/>
      <x:c r="G569" s="8"/>
      <x:c r="H569" s="6"/>
      <x:c r="I569" s="27"/>
      <x:c r="J569" s="6"/>
      <x:c r="K569" s="6"/>
      <x:c r="L569" s="6"/>
      <x:c r="M569" s="6"/>
      <x:c r="N569" s="6"/>
      <x:c r="O569" s="6"/>
      <x:c r="P569" s="6"/>
      <x:c r="Q569" s="6"/>
      <x:c r="R569"/>
      <x:c r="S569"/>
      <x:c r="T569"/>
    </x:row>
    <x:row r="570" spans="1:20" ht="15.75" x14ac:dyDescent="0.25">
      <x:c r="A570"/>
      <x:c r="B570"/>
      <x:c r="C570"/>
      <x:c r="D570"/>
      <x:c r="E570" s="31"/>
      <x:c r="F570" s="8"/>
      <x:c r="G570" s="8"/>
      <x:c r="H570" s="6"/>
      <x:c r="I570" s="27"/>
      <x:c r="J570" s="6"/>
      <x:c r="K570" s="6"/>
      <x:c r="L570" s="6"/>
      <x:c r="M570" s="6"/>
      <x:c r="N570" s="6"/>
      <x:c r="O570" s="6"/>
      <x:c r="P570" s="6"/>
      <x:c r="Q570" s="6"/>
      <x:c r="R570"/>
      <x:c r="S570"/>
      <x:c r="T570"/>
    </x:row>
    <x:row r="571" spans="1:20" ht="15.75" x14ac:dyDescent="0.25">
      <x:c r="A571"/>
      <x:c r="B571"/>
      <x:c r="C571"/>
      <x:c r="D571"/>
      <x:c r="E571" s="31"/>
      <x:c r="F571" s="8"/>
      <x:c r="G571" s="8"/>
      <x:c r="H571" s="6"/>
      <x:c r="I571" s="27"/>
      <x:c r="J571" s="6"/>
      <x:c r="K571" s="6"/>
      <x:c r="L571" s="6"/>
      <x:c r="M571" s="6"/>
      <x:c r="N571" s="6"/>
      <x:c r="O571" s="6"/>
      <x:c r="P571" s="6"/>
      <x:c r="Q571" s="6"/>
      <x:c r="R571"/>
      <x:c r="S571"/>
      <x:c r="T571"/>
    </x:row>
    <x:row r="572" spans="1:20" ht="15.75" x14ac:dyDescent="0.25">
      <x:c r="A572"/>
      <x:c r="B572"/>
      <x:c r="C572"/>
      <x:c r="D572"/>
      <x:c r="E572" s="31"/>
      <x:c r="F572" s="8"/>
      <x:c r="G572" s="8"/>
      <x:c r="H572" s="6"/>
      <x:c r="I572" s="27"/>
      <x:c r="J572" s="6"/>
      <x:c r="K572" s="6"/>
      <x:c r="L572" s="6"/>
      <x:c r="M572" s="6"/>
      <x:c r="N572" s="6"/>
      <x:c r="O572" s="6"/>
      <x:c r="P572" s="6"/>
      <x:c r="Q572" s="6"/>
      <x:c r="R572"/>
      <x:c r="S572"/>
      <x:c r="T572"/>
    </x:row>
    <x:row r="573" spans="1:20" ht="15.75" x14ac:dyDescent="0.25">
      <x:c r="A573"/>
      <x:c r="B573"/>
      <x:c r="C573"/>
      <x:c r="D573"/>
      <x:c r="E573" s="31"/>
      <x:c r="F573" s="8"/>
      <x:c r="G573" s="8"/>
      <x:c r="H573" s="6"/>
      <x:c r="I573" s="27"/>
      <x:c r="J573" s="6"/>
      <x:c r="K573" s="6"/>
      <x:c r="L573" s="6"/>
      <x:c r="M573" s="6"/>
      <x:c r="N573" s="6"/>
      <x:c r="O573" s="6"/>
      <x:c r="P573" s="6"/>
      <x:c r="Q573" s="6"/>
      <x:c r="R573"/>
      <x:c r="S573"/>
      <x:c r="T573"/>
    </x:row>
    <x:row r="574" spans="1:20" ht="15.75" x14ac:dyDescent="0.25">
      <x:c r="A574"/>
      <x:c r="B574"/>
      <x:c r="C574"/>
      <x:c r="D574"/>
      <x:c r="E574" s="31"/>
      <x:c r="F574" s="8"/>
      <x:c r="G574" s="8"/>
      <x:c r="H574" s="6"/>
      <x:c r="I574" s="27"/>
      <x:c r="J574" s="6"/>
      <x:c r="K574" s="6"/>
      <x:c r="L574" s="6"/>
      <x:c r="M574" s="6"/>
      <x:c r="N574" s="6"/>
      <x:c r="O574" s="6"/>
      <x:c r="P574" s="6"/>
      <x:c r="Q574" s="6"/>
      <x:c r="R574"/>
      <x:c r="S574"/>
      <x:c r="T574"/>
    </x:row>
    <x:row r="575" spans="1:20" ht="15.75" x14ac:dyDescent="0.25">
      <x:c r="A575"/>
      <x:c r="B575"/>
      <x:c r="C575"/>
      <x:c r="D575"/>
      <x:c r="E575" s="31"/>
      <x:c r="F575" s="8"/>
      <x:c r="G575" s="8"/>
      <x:c r="H575" s="6"/>
      <x:c r="I575" s="27"/>
      <x:c r="J575" s="6"/>
      <x:c r="K575" s="6"/>
      <x:c r="L575" s="6"/>
      <x:c r="M575" s="6"/>
      <x:c r="N575" s="6"/>
      <x:c r="O575" s="6"/>
      <x:c r="P575" s="6"/>
      <x:c r="Q575" s="6"/>
      <x:c r="R575"/>
      <x:c r="S575"/>
      <x:c r="T575"/>
    </x:row>
    <x:row r="576" spans="1:20" ht="15.75" x14ac:dyDescent="0.25">
      <x:c r="A576"/>
      <x:c r="B576"/>
      <x:c r="C576"/>
      <x:c r="D576"/>
      <x:c r="E576" s="31"/>
      <x:c r="F576" s="8"/>
      <x:c r="G576" s="8"/>
      <x:c r="H576" s="6"/>
      <x:c r="I576" s="27"/>
      <x:c r="J576" s="6"/>
      <x:c r="K576" s="6"/>
      <x:c r="L576" s="6"/>
      <x:c r="M576" s="6"/>
      <x:c r="N576" s="6"/>
      <x:c r="O576" s="6"/>
      <x:c r="P576" s="6"/>
      <x:c r="Q576" s="6"/>
      <x:c r="R576"/>
      <x:c r="S576"/>
      <x:c r="T576"/>
    </x:row>
    <x:row r="577" spans="1:20" ht="15.75" x14ac:dyDescent="0.25">
      <x:c r="A577"/>
      <x:c r="B577"/>
      <x:c r="C577"/>
      <x:c r="D577"/>
      <x:c r="E577" s="31"/>
      <x:c r="F577" s="8"/>
      <x:c r="G577" s="8"/>
      <x:c r="H577" s="6"/>
      <x:c r="I577" s="27"/>
      <x:c r="J577" s="6"/>
      <x:c r="K577" s="6"/>
      <x:c r="L577" s="6"/>
      <x:c r="M577" s="6"/>
      <x:c r="N577" s="6"/>
      <x:c r="O577" s="6"/>
      <x:c r="P577" s="6"/>
      <x:c r="Q577" s="6"/>
      <x:c r="R577"/>
      <x:c r="S577"/>
      <x:c r="T577"/>
    </x:row>
    <x:row r="578" spans="1:20" ht="15.75" x14ac:dyDescent="0.25">
      <x:c r="A578"/>
      <x:c r="B578"/>
      <x:c r="C578"/>
      <x:c r="D578"/>
      <x:c r="E578" s="31"/>
      <x:c r="F578" s="8"/>
      <x:c r="G578" s="8"/>
      <x:c r="H578" s="6"/>
      <x:c r="I578" s="27"/>
      <x:c r="J578" s="6"/>
      <x:c r="K578" s="6"/>
      <x:c r="L578" s="6"/>
      <x:c r="M578" s="6"/>
      <x:c r="N578" s="6"/>
      <x:c r="O578" s="6"/>
      <x:c r="P578" s="6"/>
      <x:c r="Q578" s="6"/>
      <x:c r="R578"/>
      <x:c r="S578"/>
      <x:c r="T578"/>
    </x:row>
    <x:row r="579" spans="1:20" ht="15.75" x14ac:dyDescent="0.25">
      <x:c r="A579"/>
      <x:c r="B579"/>
      <x:c r="C579"/>
      <x:c r="D579"/>
      <x:c r="E579" s="31"/>
      <x:c r="F579" s="8"/>
      <x:c r="G579" s="8"/>
      <x:c r="H579" s="6"/>
      <x:c r="I579" s="27"/>
      <x:c r="J579" s="6"/>
      <x:c r="K579" s="6"/>
      <x:c r="L579" s="6"/>
      <x:c r="M579" s="6"/>
      <x:c r="N579" s="6"/>
      <x:c r="O579" s="6"/>
      <x:c r="P579" s="6"/>
      <x:c r="Q579" s="6"/>
      <x:c r="R579"/>
      <x:c r="S579"/>
      <x:c r="T579"/>
    </x:row>
    <x:row r="580" spans="1:20" ht="15.75" x14ac:dyDescent="0.25">
      <x:c r="A580"/>
      <x:c r="B580"/>
      <x:c r="C580"/>
      <x:c r="D580"/>
      <x:c r="E580" s="31"/>
      <x:c r="F580" s="8"/>
      <x:c r="G580" s="8"/>
      <x:c r="H580" s="6"/>
      <x:c r="I580" s="27"/>
      <x:c r="J580" s="6"/>
      <x:c r="K580" s="6"/>
      <x:c r="L580" s="6"/>
      <x:c r="M580" s="6"/>
      <x:c r="N580" s="6"/>
      <x:c r="O580" s="6"/>
      <x:c r="P580" s="6"/>
      <x:c r="Q580" s="6"/>
      <x:c r="R580"/>
      <x:c r="S580"/>
      <x:c r="T580"/>
    </x:row>
    <x:row r="581" spans="1:20" ht="15.75" x14ac:dyDescent="0.25">
      <x:c r="A581"/>
      <x:c r="B581"/>
      <x:c r="C581"/>
      <x:c r="D581"/>
      <x:c r="E581" s="31"/>
      <x:c r="F581" s="8"/>
      <x:c r="G581" s="8"/>
      <x:c r="H581" s="6"/>
      <x:c r="I581" s="27"/>
      <x:c r="J581" s="6"/>
      <x:c r="K581" s="6"/>
      <x:c r="L581" s="6"/>
      <x:c r="M581" s="6"/>
      <x:c r="N581" s="6"/>
      <x:c r="O581" s="6"/>
      <x:c r="P581" s="6"/>
      <x:c r="Q581" s="6"/>
      <x:c r="R581"/>
      <x:c r="S581"/>
      <x:c r="T581"/>
    </x:row>
    <x:row r="582" spans="1:20" ht="15.75" x14ac:dyDescent="0.25">
      <x:c r="A582"/>
      <x:c r="B582"/>
      <x:c r="C582"/>
      <x:c r="D582"/>
      <x:c r="E582" s="31"/>
      <x:c r="F582" s="8"/>
      <x:c r="G582" s="8"/>
      <x:c r="H582" s="6"/>
      <x:c r="I582" s="27"/>
      <x:c r="J582" s="6"/>
      <x:c r="K582" s="6"/>
      <x:c r="L582" s="6"/>
      <x:c r="M582" s="6"/>
      <x:c r="N582" s="6"/>
      <x:c r="O582" s="6"/>
      <x:c r="P582" s="6"/>
      <x:c r="Q582" s="6"/>
      <x:c r="R582"/>
      <x:c r="S582"/>
      <x:c r="T582"/>
    </x:row>
    <x:row r="583" spans="1:20" ht="15.75" x14ac:dyDescent="0.25">
      <x:c r="A583"/>
      <x:c r="B583"/>
      <x:c r="C583"/>
      <x:c r="D583"/>
      <x:c r="E583" s="31"/>
      <x:c r="F583" s="8"/>
      <x:c r="G583" s="8"/>
      <x:c r="H583" s="6"/>
      <x:c r="I583" s="27"/>
      <x:c r="J583" s="6"/>
      <x:c r="K583" s="6"/>
      <x:c r="L583" s="6"/>
      <x:c r="M583" s="6"/>
      <x:c r="N583" s="6"/>
      <x:c r="O583" s="6"/>
      <x:c r="P583" s="6"/>
      <x:c r="Q583" s="6"/>
      <x:c r="R583"/>
      <x:c r="S583"/>
      <x:c r="T583"/>
    </x:row>
    <x:row r="584" spans="1:20" ht="15.75" x14ac:dyDescent="0.25">
      <x:c r="A584"/>
      <x:c r="B584"/>
      <x:c r="C584"/>
      <x:c r="D584"/>
      <x:c r="E584" s="31"/>
      <x:c r="F584" s="8"/>
      <x:c r="G584" s="8"/>
      <x:c r="H584" s="6"/>
      <x:c r="I584" s="27"/>
      <x:c r="J584" s="6"/>
      <x:c r="K584" s="6"/>
      <x:c r="L584" s="6"/>
      <x:c r="M584" s="6"/>
      <x:c r="N584" s="6"/>
      <x:c r="O584" s="6"/>
      <x:c r="P584" s="6"/>
      <x:c r="Q584" s="6"/>
      <x:c r="R584"/>
      <x:c r="S584"/>
      <x:c r="T584"/>
    </x:row>
    <x:row r="585" spans="1:20" ht="15.75" x14ac:dyDescent="0.25">
      <x:c r="A585"/>
      <x:c r="B585"/>
      <x:c r="C585"/>
      <x:c r="D585"/>
      <x:c r="E585" s="31"/>
      <x:c r="F585" s="8"/>
      <x:c r="G585" s="8"/>
      <x:c r="H585" s="6"/>
      <x:c r="I585" s="27"/>
      <x:c r="J585" s="6"/>
      <x:c r="K585" s="6"/>
      <x:c r="L585" s="6"/>
      <x:c r="M585" s="6"/>
      <x:c r="N585" s="6"/>
      <x:c r="O585" s="6"/>
      <x:c r="P585" s="6"/>
      <x:c r="Q585" s="6"/>
      <x:c r="R585"/>
      <x:c r="S585"/>
      <x:c r="T585"/>
    </x:row>
    <x:row r="586" spans="1:20" ht="15.75" x14ac:dyDescent="0.25">
      <x:c r="A586"/>
      <x:c r="B586"/>
      <x:c r="C586"/>
      <x:c r="D586"/>
      <x:c r="E586" s="31"/>
      <x:c r="F586" s="8"/>
      <x:c r="G586" s="8"/>
      <x:c r="H586" s="6"/>
      <x:c r="I586" s="27"/>
      <x:c r="J586" s="6"/>
      <x:c r="K586" s="6"/>
      <x:c r="L586" s="6"/>
      <x:c r="M586" s="6"/>
      <x:c r="N586" s="6"/>
      <x:c r="O586" s="6"/>
      <x:c r="P586" s="6"/>
      <x:c r="Q586" s="6"/>
      <x:c r="R586"/>
      <x:c r="S586"/>
      <x:c r="T586"/>
    </x:row>
    <x:row r="587" spans="1:20" ht="15.75" x14ac:dyDescent="0.25">
      <x:c r="A587"/>
      <x:c r="B587"/>
      <x:c r="C587"/>
      <x:c r="D587"/>
      <x:c r="E587" s="31"/>
      <x:c r="F587" s="8"/>
      <x:c r="G587" s="8"/>
      <x:c r="H587" s="6"/>
      <x:c r="I587" s="27"/>
      <x:c r="J587" s="6"/>
      <x:c r="K587" s="6"/>
      <x:c r="L587" s="6"/>
      <x:c r="M587" s="6"/>
      <x:c r="N587" s="6"/>
      <x:c r="O587" s="6"/>
      <x:c r="P587" s="6"/>
      <x:c r="Q587" s="6"/>
      <x:c r="R587"/>
      <x:c r="S587"/>
      <x:c r="T587"/>
    </x:row>
    <x:row r="588" spans="1:20" ht="15.75" x14ac:dyDescent="0.25">
      <x:c r="A588"/>
      <x:c r="B588"/>
      <x:c r="C588"/>
      <x:c r="D588"/>
      <x:c r="E588" s="31"/>
      <x:c r="F588" s="8"/>
      <x:c r="G588" s="8"/>
      <x:c r="H588" s="6"/>
      <x:c r="I588" s="27"/>
      <x:c r="J588" s="6"/>
      <x:c r="K588" s="6"/>
      <x:c r="L588" s="6"/>
      <x:c r="M588" s="6"/>
      <x:c r="N588" s="6"/>
      <x:c r="O588" s="6"/>
      <x:c r="P588" s="6"/>
      <x:c r="Q588" s="6"/>
      <x:c r="R588"/>
      <x:c r="S588"/>
      <x:c r="T588"/>
    </x:row>
    <x:row r="589" spans="1:20" ht="15.75" x14ac:dyDescent="0.25">
      <x:c r="A589"/>
      <x:c r="B589"/>
      <x:c r="C589"/>
      <x:c r="D589"/>
      <x:c r="E589" s="31"/>
      <x:c r="F589" s="8"/>
      <x:c r="G589" s="8"/>
      <x:c r="H589" s="6"/>
      <x:c r="I589" s="27"/>
      <x:c r="J589" s="6"/>
      <x:c r="K589" s="6"/>
      <x:c r="L589" s="6"/>
      <x:c r="M589" s="6"/>
      <x:c r="N589" s="6"/>
      <x:c r="O589" s="6"/>
      <x:c r="P589" s="6"/>
      <x:c r="Q589" s="6"/>
      <x:c r="R589"/>
      <x:c r="S589"/>
      <x:c r="T589"/>
    </x:row>
    <x:row r="590" spans="1:20" ht="15.75" x14ac:dyDescent="0.25">
      <x:c r="A590"/>
      <x:c r="B590"/>
      <x:c r="C590"/>
      <x:c r="D590"/>
      <x:c r="E590" s="31"/>
      <x:c r="F590" s="8"/>
      <x:c r="G590" s="8"/>
      <x:c r="H590" s="6"/>
      <x:c r="I590" s="27"/>
      <x:c r="J590" s="6"/>
      <x:c r="K590" s="6"/>
      <x:c r="L590" s="6"/>
      <x:c r="M590" s="6"/>
      <x:c r="N590" s="6"/>
      <x:c r="O590" s="6"/>
      <x:c r="P590" s="6"/>
      <x:c r="Q590" s="6"/>
      <x:c r="R590"/>
      <x:c r="S590"/>
      <x:c r="T590"/>
    </x:row>
    <x:row r="591" spans="1:20" ht="15.75" x14ac:dyDescent="0.25">
      <x:c r="A591"/>
      <x:c r="B591"/>
      <x:c r="C591"/>
      <x:c r="D591"/>
      <x:c r="E591" s="31"/>
      <x:c r="F591" s="8"/>
      <x:c r="G591" s="8"/>
      <x:c r="H591" s="6"/>
      <x:c r="I591" s="27"/>
      <x:c r="J591" s="6"/>
      <x:c r="K591" s="6"/>
      <x:c r="L591" s="6"/>
      <x:c r="M591" s="6"/>
      <x:c r="N591" s="6"/>
      <x:c r="O591" s="6"/>
      <x:c r="P591" s="6"/>
      <x:c r="Q591" s="6"/>
      <x:c r="R591"/>
      <x:c r="S591"/>
      <x:c r="T591"/>
    </x:row>
    <x:row r="592" spans="1:20" ht="15.75" x14ac:dyDescent="0.25">
      <x:c r="A592"/>
      <x:c r="B592"/>
      <x:c r="C592"/>
      <x:c r="D592"/>
      <x:c r="E592" s="31"/>
      <x:c r="F592" s="8"/>
      <x:c r="G592" s="8"/>
      <x:c r="H592" s="6"/>
      <x:c r="I592" s="27"/>
      <x:c r="J592" s="6"/>
      <x:c r="K592" s="6"/>
      <x:c r="L592" s="6"/>
      <x:c r="M592" s="6"/>
      <x:c r="N592" s="6"/>
      <x:c r="O592" s="6"/>
      <x:c r="P592" s="6"/>
      <x:c r="Q592" s="6"/>
      <x:c r="R592"/>
      <x:c r="S592"/>
      <x:c r="T592"/>
    </x:row>
    <x:row r="593" spans="1:20" ht="15.75" x14ac:dyDescent="0.25">
      <x:c r="A593"/>
      <x:c r="B593"/>
      <x:c r="C593"/>
      <x:c r="D593"/>
      <x:c r="E593" s="31"/>
      <x:c r="F593" s="8"/>
      <x:c r="G593" s="8"/>
      <x:c r="H593" s="6"/>
      <x:c r="I593" s="27"/>
      <x:c r="J593" s="6"/>
      <x:c r="K593" s="6"/>
      <x:c r="L593" s="6"/>
      <x:c r="M593" s="6"/>
      <x:c r="N593" s="6"/>
      <x:c r="O593" s="6"/>
      <x:c r="P593" s="6"/>
      <x:c r="Q593" s="6"/>
      <x:c r="R593"/>
      <x:c r="S593"/>
      <x:c r="T593"/>
    </x:row>
    <x:row r="594" spans="1:20" ht="15.75" x14ac:dyDescent="0.25">
      <x:c r="A594"/>
      <x:c r="B594"/>
      <x:c r="C594"/>
      <x:c r="D594"/>
      <x:c r="E594" s="31"/>
      <x:c r="F594" s="8"/>
      <x:c r="G594" s="8"/>
      <x:c r="H594" s="6"/>
      <x:c r="I594" s="27"/>
      <x:c r="J594" s="6"/>
      <x:c r="K594" s="6"/>
      <x:c r="L594" s="6"/>
      <x:c r="M594" s="6"/>
      <x:c r="N594" s="6"/>
      <x:c r="O594" s="6"/>
      <x:c r="P594" s="6"/>
      <x:c r="Q594" s="6"/>
      <x:c r="R594"/>
      <x:c r="S594"/>
      <x:c r="T594"/>
    </x:row>
    <x:row r="595" spans="1:20" ht="15.75" x14ac:dyDescent="0.25">
      <x:c r="A595"/>
      <x:c r="B595"/>
      <x:c r="C595"/>
      <x:c r="D595"/>
      <x:c r="E595" s="31"/>
      <x:c r="F595" s="8"/>
      <x:c r="G595" s="8"/>
      <x:c r="H595" s="6"/>
      <x:c r="I595" s="27"/>
      <x:c r="J595" s="6"/>
      <x:c r="K595" s="6"/>
      <x:c r="L595" s="6"/>
      <x:c r="M595" s="6"/>
      <x:c r="N595" s="6"/>
      <x:c r="O595" s="6"/>
      <x:c r="P595" s="6"/>
      <x:c r="Q595" s="6"/>
      <x:c r="R595"/>
      <x:c r="S595"/>
      <x:c r="T595"/>
    </x:row>
    <x:row r="596" spans="1:20" ht="15.75" x14ac:dyDescent="0.25">
      <x:c r="A596"/>
      <x:c r="B596"/>
      <x:c r="C596"/>
      <x:c r="D596"/>
      <x:c r="E596" s="31"/>
      <x:c r="F596" s="8"/>
      <x:c r="G596" s="8"/>
      <x:c r="H596" s="6"/>
      <x:c r="I596" s="27"/>
      <x:c r="J596" s="6"/>
      <x:c r="K596" s="6"/>
      <x:c r="L596" s="6"/>
      <x:c r="M596" s="6"/>
      <x:c r="N596" s="6"/>
      <x:c r="O596" s="6"/>
      <x:c r="P596" s="6"/>
      <x:c r="Q596" s="6"/>
      <x:c r="R596"/>
      <x:c r="S596"/>
      <x:c r="T596"/>
    </x:row>
    <x:row r="597" spans="1:20" ht="15.75" x14ac:dyDescent="0.25">
      <x:c r="A597"/>
      <x:c r="B597"/>
      <x:c r="C597"/>
      <x:c r="D597"/>
      <x:c r="E597" s="31"/>
      <x:c r="F597" s="8"/>
      <x:c r="G597" s="8"/>
      <x:c r="H597" s="6"/>
      <x:c r="I597" s="27"/>
      <x:c r="J597" s="6"/>
      <x:c r="K597" s="6"/>
      <x:c r="L597" s="6"/>
      <x:c r="M597" s="6"/>
      <x:c r="N597" s="6"/>
      <x:c r="O597" s="6"/>
      <x:c r="P597" s="6"/>
      <x:c r="Q597" s="6"/>
      <x:c r="R597"/>
      <x:c r="S597"/>
      <x:c r="T597"/>
    </x:row>
    <x:row r="598" spans="1:20" ht="15.75" x14ac:dyDescent="0.25">
      <x:c r="A598"/>
      <x:c r="B598"/>
      <x:c r="C598"/>
      <x:c r="D598"/>
      <x:c r="E598" s="31"/>
      <x:c r="F598" s="8"/>
      <x:c r="G598" s="8"/>
      <x:c r="H598" s="6"/>
      <x:c r="I598" s="27"/>
      <x:c r="J598" s="6"/>
      <x:c r="K598" s="6"/>
      <x:c r="L598" s="6"/>
      <x:c r="M598" s="6"/>
      <x:c r="N598" s="6"/>
      <x:c r="O598" s="6"/>
      <x:c r="P598" s="6"/>
      <x:c r="Q598" s="6"/>
      <x:c r="R598"/>
      <x:c r="S598"/>
      <x:c r="T598"/>
    </x:row>
    <x:row r="599" spans="1:20" ht="15.75" x14ac:dyDescent="0.25">
      <x:c r="A599"/>
      <x:c r="B599"/>
      <x:c r="C599"/>
      <x:c r="D599"/>
      <x:c r="E599" s="31"/>
      <x:c r="F599" s="8"/>
      <x:c r="G599" s="8"/>
      <x:c r="H599" s="6"/>
      <x:c r="I599" s="27"/>
      <x:c r="J599" s="6"/>
      <x:c r="K599" s="6"/>
      <x:c r="L599" s="6"/>
      <x:c r="M599" s="6"/>
      <x:c r="N599" s="6"/>
      <x:c r="O599" s="6"/>
      <x:c r="P599" s="6"/>
      <x:c r="Q599" s="6"/>
      <x:c r="R599"/>
      <x:c r="S599"/>
      <x:c r="T599"/>
    </x:row>
    <x:row r="600" spans="1:20" ht="15.75" x14ac:dyDescent="0.25">
      <x:c r="A600"/>
      <x:c r="B600"/>
      <x:c r="C600"/>
      <x:c r="D600"/>
      <x:c r="E600" s="31"/>
      <x:c r="F600" s="8"/>
      <x:c r="G600" s="8"/>
      <x:c r="H600" s="6"/>
      <x:c r="I600" s="27"/>
      <x:c r="J600" s="6"/>
      <x:c r="K600" s="6"/>
      <x:c r="L600" s="6"/>
      <x:c r="M600" s="6"/>
      <x:c r="N600" s="6"/>
      <x:c r="O600" s="6"/>
      <x:c r="P600" s="6"/>
      <x:c r="Q600" s="6"/>
      <x:c r="R600"/>
      <x:c r="S600"/>
      <x:c r="T600"/>
    </x:row>
    <x:row r="601" spans="1:20" ht="15.75" x14ac:dyDescent="0.25">
      <x:c r="A601"/>
      <x:c r="B601"/>
      <x:c r="C601"/>
      <x:c r="D601"/>
      <x:c r="E601" s="31"/>
      <x:c r="F601" s="8"/>
      <x:c r="G601" s="8"/>
      <x:c r="H601" s="6"/>
      <x:c r="I601" s="27"/>
      <x:c r="J601" s="6"/>
      <x:c r="K601" s="6"/>
      <x:c r="L601" s="6"/>
      <x:c r="M601" s="6"/>
      <x:c r="N601" s="6"/>
      <x:c r="O601" s="6"/>
      <x:c r="P601" s="6"/>
      <x:c r="Q601" s="6"/>
      <x:c r="R601"/>
      <x:c r="S601"/>
      <x:c r="T601"/>
    </x:row>
    <x:row r="602" spans="1:20" ht="15.75" x14ac:dyDescent="0.25">
      <x:c r="A602"/>
      <x:c r="B602"/>
      <x:c r="C602"/>
      <x:c r="D602"/>
      <x:c r="E602" s="31"/>
      <x:c r="F602" s="8"/>
      <x:c r="G602" s="8"/>
      <x:c r="H602" s="6"/>
      <x:c r="I602" s="27"/>
      <x:c r="J602" s="6"/>
      <x:c r="K602" s="6"/>
      <x:c r="L602" s="6"/>
      <x:c r="M602" s="6"/>
      <x:c r="N602" s="6"/>
      <x:c r="O602" s="6"/>
      <x:c r="P602" s="6"/>
      <x:c r="Q602" s="6"/>
      <x:c r="R602"/>
      <x:c r="S602"/>
      <x:c r="T602"/>
    </x:row>
    <x:row r="603" spans="1:20" ht="15.75" x14ac:dyDescent="0.25">
      <x:c r="A603"/>
      <x:c r="B603"/>
      <x:c r="C603"/>
      <x:c r="D603"/>
      <x:c r="E603" s="31"/>
      <x:c r="F603" s="8"/>
      <x:c r="G603" s="8"/>
      <x:c r="H603" s="6"/>
      <x:c r="I603" s="27"/>
      <x:c r="J603" s="6"/>
      <x:c r="K603" s="6"/>
      <x:c r="L603" s="6"/>
      <x:c r="M603" s="6"/>
      <x:c r="N603" s="6"/>
      <x:c r="O603" s="6"/>
      <x:c r="P603" s="6"/>
      <x:c r="Q603" s="6"/>
      <x:c r="R603"/>
      <x:c r="S603"/>
      <x:c r="T603"/>
    </x:row>
    <x:row r="604" spans="1:20" ht="15.75" x14ac:dyDescent="0.25">
      <x:c r="A604"/>
      <x:c r="B604"/>
      <x:c r="C604"/>
      <x:c r="D604"/>
      <x:c r="E604" s="31"/>
      <x:c r="F604" s="8"/>
      <x:c r="G604" s="8"/>
      <x:c r="H604" s="6"/>
      <x:c r="I604" s="27"/>
      <x:c r="J604" s="6"/>
      <x:c r="K604" s="6"/>
      <x:c r="L604" s="6"/>
      <x:c r="M604" s="6"/>
      <x:c r="N604" s="6"/>
      <x:c r="O604" s="6"/>
      <x:c r="P604" s="6"/>
      <x:c r="Q604" s="6"/>
      <x:c r="R604"/>
      <x:c r="S604"/>
      <x:c r="T604"/>
    </x:row>
    <x:row r="605" spans="1:20" ht="15.75" x14ac:dyDescent="0.25">
      <x:c r="A605"/>
      <x:c r="B605"/>
      <x:c r="C605"/>
      <x:c r="D605"/>
      <x:c r="E605" s="31"/>
      <x:c r="F605" s="8"/>
      <x:c r="G605" s="8"/>
      <x:c r="H605" s="6"/>
      <x:c r="I605" s="27"/>
      <x:c r="J605" s="6"/>
      <x:c r="K605" s="6"/>
      <x:c r="L605" s="6"/>
      <x:c r="M605" s="6"/>
      <x:c r="N605" s="6"/>
      <x:c r="O605" s="6"/>
      <x:c r="P605" s="6"/>
      <x:c r="Q605" s="6"/>
      <x:c r="R605"/>
      <x:c r="S605"/>
      <x:c r="T605"/>
    </x:row>
    <x:row r="606" spans="1:20" ht="15.75" x14ac:dyDescent="0.25">
      <x:c r="A606"/>
      <x:c r="B606"/>
      <x:c r="C606"/>
      <x:c r="D606"/>
      <x:c r="E606" s="31"/>
      <x:c r="F606" s="8"/>
      <x:c r="G606" s="8"/>
      <x:c r="H606" s="6"/>
      <x:c r="I606" s="27"/>
      <x:c r="J606" s="6"/>
      <x:c r="K606" s="6"/>
      <x:c r="L606" s="6"/>
      <x:c r="M606" s="6"/>
      <x:c r="N606" s="6"/>
      <x:c r="O606" s="6"/>
      <x:c r="P606" s="6"/>
      <x:c r="Q606" s="6"/>
      <x:c r="R606"/>
      <x:c r="S606"/>
      <x:c r="T606"/>
    </x:row>
    <x:row r="607" spans="1:20" ht="15.75" x14ac:dyDescent="0.25">
      <x:c r="A607"/>
      <x:c r="B607"/>
      <x:c r="C607"/>
      <x:c r="D607"/>
      <x:c r="E607" s="31"/>
      <x:c r="F607" s="8"/>
      <x:c r="G607" s="8"/>
      <x:c r="H607" s="6"/>
      <x:c r="I607" s="27"/>
      <x:c r="J607" s="6"/>
      <x:c r="K607" s="6"/>
      <x:c r="L607" s="6"/>
      <x:c r="M607" s="6"/>
      <x:c r="N607" s="6"/>
      <x:c r="O607" s="6"/>
      <x:c r="P607" s="6"/>
      <x:c r="Q607" s="6"/>
      <x:c r="R607"/>
      <x:c r="S607"/>
      <x:c r="T607"/>
    </x:row>
    <x:row r="608" spans="1:20" ht="15.75" x14ac:dyDescent="0.25">
      <x:c r="A608"/>
      <x:c r="B608"/>
      <x:c r="C608"/>
      <x:c r="D608"/>
      <x:c r="E608" s="31"/>
      <x:c r="F608" s="8"/>
      <x:c r="G608" s="8"/>
      <x:c r="H608" s="6"/>
      <x:c r="I608" s="27"/>
      <x:c r="J608" s="6"/>
      <x:c r="K608" s="6"/>
      <x:c r="L608" s="6"/>
      <x:c r="M608" s="6"/>
      <x:c r="N608" s="6"/>
      <x:c r="O608" s="6"/>
      <x:c r="P608" s="6"/>
      <x:c r="Q608" s="6"/>
      <x:c r="R608"/>
      <x:c r="S608"/>
      <x:c r="T608"/>
    </x:row>
    <x:row r="609" spans="1:20" ht="15.75" x14ac:dyDescent="0.25">
      <x:c r="A609"/>
      <x:c r="B609"/>
      <x:c r="C609"/>
      <x:c r="D609"/>
      <x:c r="E609" s="31"/>
      <x:c r="F609" s="8"/>
      <x:c r="G609" s="8"/>
      <x:c r="H609" s="6"/>
      <x:c r="I609" s="27"/>
      <x:c r="J609" s="6"/>
      <x:c r="K609" s="6"/>
      <x:c r="L609" s="6"/>
      <x:c r="M609" s="6"/>
      <x:c r="N609" s="6"/>
      <x:c r="O609" s="6"/>
      <x:c r="P609" s="6"/>
      <x:c r="Q609" s="6"/>
      <x:c r="R609"/>
      <x:c r="S609"/>
      <x:c r="T609"/>
    </x:row>
    <x:row r="610" spans="1:20" ht="15.75" x14ac:dyDescent="0.25">
      <x:c r="A610"/>
      <x:c r="B610"/>
      <x:c r="C610"/>
      <x:c r="D610"/>
      <x:c r="E610" s="31"/>
      <x:c r="F610" s="8"/>
      <x:c r="G610" s="8"/>
      <x:c r="H610" s="6"/>
      <x:c r="I610" s="27"/>
      <x:c r="J610" s="6"/>
      <x:c r="K610" s="6"/>
      <x:c r="L610" s="6"/>
      <x:c r="M610" s="6"/>
      <x:c r="N610" s="6"/>
      <x:c r="O610" s="6"/>
      <x:c r="P610" s="6"/>
      <x:c r="Q610" s="6"/>
      <x:c r="R610"/>
      <x:c r="S610"/>
      <x:c r="T610"/>
    </x:row>
    <x:row r="611" spans="1:20" ht="15.75" x14ac:dyDescent="0.25">
      <x:c r="A611"/>
      <x:c r="B611"/>
      <x:c r="C611"/>
      <x:c r="D611"/>
      <x:c r="E611" s="31"/>
      <x:c r="F611" s="8"/>
      <x:c r="G611" s="8"/>
      <x:c r="H611" s="6"/>
      <x:c r="I611" s="27"/>
      <x:c r="J611" s="6"/>
      <x:c r="K611" s="6"/>
      <x:c r="L611" s="6"/>
      <x:c r="M611" s="6"/>
      <x:c r="N611" s="6"/>
      <x:c r="O611" s="6"/>
      <x:c r="P611" s="6"/>
      <x:c r="Q611" s="6"/>
      <x:c r="R611"/>
      <x:c r="S611"/>
      <x:c r="T611"/>
    </x:row>
    <x:row r="612" spans="1:20" ht="15.75" x14ac:dyDescent="0.25">
      <x:c r="A612"/>
      <x:c r="B612"/>
      <x:c r="C612"/>
      <x:c r="D612"/>
      <x:c r="E612" s="31"/>
      <x:c r="F612" s="8"/>
      <x:c r="G612" s="8"/>
      <x:c r="H612" s="6"/>
      <x:c r="I612" s="27"/>
      <x:c r="J612" s="6"/>
      <x:c r="K612" s="6"/>
      <x:c r="L612" s="6"/>
      <x:c r="M612" s="6"/>
      <x:c r="N612" s="6"/>
      <x:c r="O612" s="6"/>
      <x:c r="P612" s="6"/>
      <x:c r="Q612" s="6"/>
      <x:c r="R612"/>
      <x:c r="S612"/>
      <x:c r="T612"/>
    </x:row>
    <x:row r="613" spans="1:20" ht="15.75" x14ac:dyDescent="0.25">
      <x:c r="A613"/>
      <x:c r="B613"/>
      <x:c r="C613"/>
      <x:c r="D613"/>
      <x:c r="E613" s="31"/>
      <x:c r="F613" s="8"/>
      <x:c r="G613" s="8"/>
      <x:c r="H613" s="6"/>
      <x:c r="I613" s="27"/>
      <x:c r="J613" s="6"/>
      <x:c r="K613" s="6"/>
      <x:c r="L613" s="6"/>
      <x:c r="M613" s="6"/>
      <x:c r="N613" s="6"/>
      <x:c r="O613" s="6"/>
      <x:c r="P613" s="6"/>
      <x:c r="Q613" s="6"/>
      <x:c r="R613"/>
      <x:c r="S613"/>
      <x:c r="T613"/>
    </x:row>
    <x:row r="614" spans="1:20" ht="15.75" x14ac:dyDescent="0.25">
      <x:c r="A614"/>
      <x:c r="B614"/>
      <x:c r="C614"/>
      <x:c r="D614"/>
      <x:c r="E614" s="31"/>
      <x:c r="F614" s="8"/>
      <x:c r="G614" s="8"/>
      <x:c r="H614" s="6"/>
      <x:c r="I614" s="27"/>
      <x:c r="J614" s="6"/>
      <x:c r="K614" s="6"/>
      <x:c r="L614" s="6"/>
      <x:c r="M614" s="6"/>
      <x:c r="N614" s="6"/>
      <x:c r="O614" s="6"/>
      <x:c r="P614" s="6"/>
      <x:c r="Q614" s="6"/>
      <x:c r="R614"/>
      <x:c r="S614"/>
      <x:c r="T614"/>
    </x:row>
    <x:row r="615" spans="1:20" ht="15.75" x14ac:dyDescent="0.25">
      <x:c r="A615"/>
      <x:c r="B615"/>
      <x:c r="C615"/>
      <x:c r="D615"/>
      <x:c r="E615" s="31"/>
      <x:c r="F615" s="8"/>
      <x:c r="G615" s="8"/>
      <x:c r="H615" s="6"/>
      <x:c r="I615" s="27"/>
      <x:c r="J615" s="6"/>
      <x:c r="K615" s="6"/>
      <x:c r="L615" s="6"/>
      <x:c r="M615" s="6"/>
      <x:c r="N615" s="6"/>
      <x:c r="O615" s="6"/>
      <x:c r="P615" s="6"/>
      <x:c r="Q615" s="6"/>
      <x:c r="R615"/>
      <x:c r="S615"/>
      <x:c r="T615"/>
    </x:row>
    <x:row r="616" spans="1:20" ht="15.75" x14ac:dyDescent="0.25">
      <x:c r="A616"/>
      <x:c r="B616"/>
      <x:c r="C616"/>
      <x:c r="D616"/>
      <x:c r="E616" s="31"/>
      <x:c r="F616" s="8"/>
      <x:c r="G616" s="8"/>
      <x:c r="H616" s="6"/>
      <x:c r="I616" s="27"/>
      <x:c r="J616" s="6"/>
      <x:c r="K616" s="6"/>
      <x:c r="L616" s="6"/>
      <x:c r="M616" s="6"/>
      <x:c r="N616" s="6"/>
      <x:c r="O616" s="6"/>
      <x:c r="P616" s="6"/>
      <x:c r="Q616" s="6"/>
      <x:c r="R616"/>
      <x:c r="S616"/>
      <x:c r="T616"/>
    </x:row>
    <x:row r="617" spans="1:20" ht="15.75" x14ac:dyDescent="0.25">
      <x:c r="A617"/>
      <x:c r="B617"/>
      <x:c r="C617"/>
      <x:c r="D617"/>
      <x:c r="E617" s="31"/>
      <x:c r="F617" s="8"/>
      <x:c r="G617" s="8"/>
      <x:c r="H617" s="6"/>
      <x:c r="I617" s="27"/>
      <x:c r="J617" s="6"/>
      <x:c r="K617" s="6"/>
      <x:c r="L617" s="6"/>
      <x:c r="M617" s="6"/>
      <x:c r="N617" s="6"/>
      <x:c r="O617" s="6"/>
      <x:c r="P617" s="6"/>
      <x:c r="Q617" s="6"/>
      <x:c r="R617"/>
      <x:c r="S617"/>
      <x:c r="T617"/>
    </x:row>
    <x:row r="618" spans="1:20" ht="15.75" x14ac:dyDescent="0.25">
      <x:c r="A618"/>
      <x:c r="B618"/>
      <x:c r="C618"/>
      <x:c r="D618"/>
      <x:c r="E618" s="31"/>
      <x:c r="F618" s="8"/>
      <x:c r="G618" s="8"/>
      <x:c r="H618" s="6"/>
      <x:c r="I618" s="27"/>
      <x:c r="J618" s="6"/>
      <x:c r="K618" s="6"/>
      <x:c r="L618" s="6"/>
      <x:c r="M618" s="6"/>
      <x:c r="N618" s="6"/>
      <x:c r="O618" s="6"/>
      <x:c r="P618" s="6"/>
      <x:c r="Q618" s="6"/>
      <x:c r="R618"/>
      <x:c r="S618"/>
      <x:c r="T618"/>
    </x:row>
    <x:row r="619" spans="1:20" ht="15.75" x14ac:dyDescent="0.25">
      <x:c r="A619"/>
      <x:c r="B619"/>
      <x:c r="C619"/>
      <x:c r="D619"/>
      <x:c r="E619" s="31"/>
      <x:c r="F619" s="8"/>
      <x:c r="G619" s="8"/>
      <x:c r="H619" s="6"/>
      <x:c r="I619" s="27"/>
      <x:c r="J619" s="6"/>
      <x:c r="K619" s="6"/>
      <x:c r="L619" s="6"/>
      <x:c r="M619" s="6"/>
      <x:c r="N619" s="6"/>
      <x:c r="O619" s="6"/>
      <x:c r="P619" s="6"/>
      <x:c r="Q619" s="6"/>
      <x:c r="R619"/>
      <x:c r="S619"/>
      <x:c r="T619"/>
    </x:row>
    <x:row r="620" spans="1:20" ht="15.75" x14ac:dyDescent="0.25">
      <x:c r="A620"/>
      <x:c r="B620"/>
      <x:c r="C620"/>
      <x:c r="D620"/>
      <x:c r="E620" s="31"/>
      <x:c r="F620" s="8"/>
      <x:c r="G620" s="8"/>
      <x:c r="H620" s="6"/>
      <x:c r="I620" s="27"/>
      <x:c r="J620" s="6"/>
      <x:c r="K620" s="6"/>
      <x:c r="L620" s="6"/>
      <x:c r="M620" s="6"/>
      <x:c r="N620" s="6"/>
      <x:c r="O620" s="6"/>
      <x:c r="P620" s="6"/>
      <x:c r="Q620" s="6"/>
      <x:c r="R620"/>
      <x:c r="S620"/>
      <x:c r="T620"/>
    </x:row>
    <x:row r="621" spans="1:20" ht="15.75" x14ac:dyDescent="0.25">
      <x:c r="A621"/>
      <x:c r="B621"/>
      <x:c r="C621"/>
      <x:c r="D621"/>
      <x:c r="E621" s="31"/>
      <x:c r="F621" s="8"/>
      <x:c r="G621" s="8"/>
      <x:c r="H621" s="6"/>
      <x:c r="I621" s="27"/>
      <x:c r="J621" s="6"/>
      <x:c r="K621" s="6"/>
      <x:c r="L621" s="6"/>
      <x:c r="M621" s="6"/>
      <x:c r="N621" s="6"/>
      <x:c r="O621" s="6"/>
      <x:c r="P621" s="6"/>
      <x:c r="Q621" s="6"/>
      <x:c r="R621"/>
      <x:c r="S621"/>
      <x:c r="T621"/>
    </x:row>
    <x:row r="622" spans="1:20" ht="15.75" x14ac:dyDescent="0.25">
      <x:c r="A622"/>
      <x:c r="B622"/>
      <x:c r="C622"/>
      <x:c r="D622"/>
      <x:c r="E622" s="31"/>
      <x:c r="F622" s="8"/>
      <x:c r="G622" s="8"/>
      <x:c r="H622" s="6"/>
      <x:c r="I622" s="27"/>
      <x:c r="J622" s="6"/>
      <x:c r="K622" s="6"/>
      <x:c r="L622" s="6"/>
      <x:c r="M622" s="6"/>
      <x:c r="N622" s="6"/>
      <x:c r="O622" s="6"/>
      <x:c r="P622" s="6"/>
      <x:c r="Q622" s="6"/>
      <x:c r="R622"/>
      <x:c r="S622"/>
      <x:c r="T622"/>
    </x:row>
    <x:row r="623" spans="1:20" ht="15.75" x14ac:dyDescent="0.25">
      <x:c r="A623"/>
      <x:c r="B623"/>
      <x:c r="C623"/>
      <x:c r="D623"/>
      <x:c r="E623" s="31"/>
      <x:c r="F623" s="8"/>
      <x:c r="G623" s="8"/>
      <x:c r="H623" s="6"/>
      <x:c r="I623" s="27"/>
      <x:c r="J623" s="6"/>
      <x:c r="K623" s="6"/>
      <x:c r="L623" s="6"/>
      <x:c r="M623" s="6"/>
      <x:c r="N623" s="6"/>
      <x:c r="O623" s="6"/>
      <x:c r="P623" s="6"/>
      <x:c r="Q623" s="6"/>
      <x:c r="R623"/>
      <x:c r="S623"/>
      <x:c r="T623"/>
    </x:row>
    <x:row r="624" spans="1:20" ht="15.75" x14ac:dyDescent="0.25">
      <x:c r="A624"/>
      <x:c r="B624"/>
      <x:c r="C624"/>
      <x:c r="D624"/>
      <x:c r="E624" s="31"/>
      <x:c r="F624" s="8"/>
      <x:c r="G624" s="8"/>
      <x:c r="H624" s="6"/>
      <x:c r="I624" s="27"/>
      <x:c r="J624" s="6"/>
      <x:c r="K624" s="6"/>
      <x:c r="L624" s="6"/>
      <x:c r="M624" s="6"/>
      <x:c r="N624" s="6"/>
      <x:c r="O624" s="6"/>
      <x:c r="P624" s="6"/>
      <x:c r="Q624" s="6"/>
      <x:c r="R624"/>
      <x:c r="S624"/>
      <x:c r="T624"/>
    </x:row>
    <x:row r="625" spans="1:20" ht="15.75" x14ac:dyDescent="0.25">
      <x:c r="A625"/>
      <x:c r="B625"/>
      <x:c r="C625"/>
      <x:c r="D625"/>
      <x:c r="E625" s="31"/>
      <x:c r="F625" s="8"/>
      <x:c r="G625" s="8"/>
      <x:c r="H625" s="6"/>
      <x:c r="I625" s="27"/>
      <x:c r="J625" s="6"/>
      <x:c r="K625" s="6"/>
      <x:c r="L625" s="6"/>
      <x:c r="M625" s="6"/>
      <x:c r="N625" s="6"/>
      <x:c r="O625" s="6"/>
      <x:c r="P625" s="6"/>
      <x:c r="Q625" s="6"/>
      <x:c r="R625"/>
      <x:c r="S625"/>
      <x:c r="T625"/>
    </x:row>
    <x:row r="626" spans="1:20" ht="15.75" x14ac:dyDescent="0.25">
      <x:c r="A626"/>
      <x:c r="B626"/>
      <x:c r="C626"/>
      <x:c r="D626"/>
      <x:c r="E626" s="31"/>
      <x:c r="F626" s="8"/>
      <x:c r="G626" s="8"/>
      <x:c r="H626" s="6"/>
      <x:c r="I626" s="27"/>
      <x:c r="J626" s="6"/>
      <x:c r="K626" s="6"/>
      <x:c r="L626" s="6"/>
      <x:c r="M626" s="6"/>
      <x:c r="N626" s="6"/>
      <x:c r="O626" s="6"/>
      <x:c r="P626" s="6"/>
      <x:c r="Q626" s="6"/>
      <x:c r="R626"/>
      <x:c r="S626"/>
      <x:c r="T626"/>
    </x:row>
    <x:row r="627" spans="1:20" ht="15.75" x14ac:dyDescent="0.25">
      <x:c r="A627"/>
      <x:c r="B627"/>
      <x:c r="C627"/>
      <x:c r="D627"/>
      <x:c r="E627" s="31"/>
      <x:c r="F627" s="8"/>
      <x:c r="G627" s="8"/>
      <x:c r="H627" s="6"/>
      <x:c r="I627" s="27"/>
      <x:c r="J627" s="6"/>
      <x:c r="K627" s="6"/>
      <x:c r="L627" s="6"/>
      <x:c r="M627" s="6"/>
      <x:c r="N627" s="6"/>
      <x:c r="O627" s="6"/>
      <x:c r="P627" s="6"/>
      <x:c r="Q627" s="6"/>
      <x:c r="R627"/>
      <x:c r="S627"/>
      <x:c r="T627"/>
    </x:row>
    <x:row r="628" spans="1:20" ht="15.75" x14ac:dyDescent="0.25">
      <x:c r="A628"/>
      <x:c r="B628"/>
      <x:c r="C628"/>
      <x:c r="D628"/>
      <x:c r="E628" s="31"/>
      <x:c r="F628" s="8"/>
      <x:c r="G628" s="8"/>
      <x:c r="H628" s="6"/>
      <x:c r="I628" s="27"/>
      <x:c r="J628" s="6"/>
      <x:c r="K628" s="6"/>
      <x:c r="L628" s="6"/>
      <x:c r="M628" s="6"/>
      <x:c r="N628" s="6"/>
      <x:c r="O628" s="6"/>
      <x:c r="P628" s="6"/>
      <x:c r="Q628" s="6"/>
      <x:c r="R628"/>
      <x:c r="S628"/>
      <x:c r="T628"/>
    </x:row>
    <x:row r="629" spans="1:20" ht="15.75" x14ac:dyDescent="0.25">
      <x:c r="A629"/>
      <x:c r="B629"/>
      <x:c r="C629"/>
      <x:c r="D629"/>
      <x:c r="E629" s="31"/>
      <x:c r="F629" s="8"/>
      <x:c r="G629" s="8"/>
      <x:c r="H629" s="6"/>
      <x:c r="I629" s="27"/>
      <x:c r="J629" s="6"/>
      <x:c r="K629" s="6"/>
      <x:c r="L629" s="6"/>
      <x:c r="M629" s="6"/>
      <x:c r="N629" s="6"/>
      <x:c r="O629" s="6"/>
      <x:c r="P629" s="6"/>
      <x:c r="Q629" s="6"/>
      <x:c r="R629"/>
      <x:c r="S629"/>
      <x:c r="T629"/>
    </x:row>
    <x:row r="630" spans="1:20" ht="15.75" x14ac:dyDescent="0.25">
      <x:c r="A630"/>
      <x:c r="B630"/>
      <x:c r="C630"/>
      <x:c r="D630"/>
      <x:c r="E630" s="31"/>
      <x:c r="F630" s="8"/>
      <x:c r="G630" s="8"/>
      <x:c r="H630" s="6"/>
      <x:c r="I630" s="27"/>
      <x:c r="J630" s="6"/>
      <x:c r="K630" s="6"/>
      <x:c r="L630" s="6"/>
      <x:c r="M630" s="6"/>
      <x:c r="N630" s="6"/>
      <x:c r="O630" s="6"/>
      <x:c r="P630" s="6"/>
      <x:c r="Q630" s="6"/>
      <x:c r="R630"/>
      <x:c r="S630"/>
      <x:c r="T630"/>
    </x:row>
    <x:row r="631" spans="1:20" ht="15.75" x14ac:dyDescent="0.25">
      <x:c r="A631"/>
      <x:c r="B631"/>
      <x:c r="C631"/>
      <x:c r="D631"/>
      <x:c r="E631" s="31"/>
      <x:c r="F631" s="8"/>
      <x:c r="G631" s="8"/>
      <x:c r="H631" s="6"/>
      <x:c r="I631" s="27"/>
      <x:c r="J631" s="6"/>
      <x:c r="K631" s="6"/>
      <x:c r="L631" s="6"/>
      <x:c r="M631" s="6"/>
      <x:c r="N631" s="6"/>
      <x:c r="O631" s="6"/>
      <x:c r="P631" s="6"/>
      <x:c r="Q631" s="6"/>
      <x:c r="R631"/>
      <x:c r="S631"/>
      <x:c r="T631"/>
    </x:row>
    <x:row r="632" spans="1:20" ht="15.75" x14ac:dyDescent="0.25">
      <x:c r="A632"/>
      <x:c r="B632"/>
      <x:c r="C632"/>
      <x:c r="D632"/>
      <x:c r="E632" s="31"/>
      <x:c r="F632" s="8"/>
      <x:c r="G632" s="8"/>
      <x:c r="H632" s="6"/>
      <x:c r="I632" s="27"/>
      <x:c r="J632" s="6"/>
      <x:c r="K632" s="6"/>
      <x:c r="L632" s="6"/>
      <x:c r="M632" s="6"/>
      <x:c r="N632" s="6"/>
      <x:c r="O632" s="6"/>
      <x:c r="P632" s="6"/>
      <x:c r="Q632" s="6"/>
      <x:c r="R632"/>
      <x:c r="S632"/>
      <x:c r="T632"/>
    </x:row>
    <x:row r="633" spans="1:20" ht="15.75" x14ac:dyDescent="0.25">
      <x:c r="A633"/>
      <x:c r="B633"/>
      <x:c r="C633"/>
      <x:c r="D633"/>
      <x:c r="E633" s="31"/>
      <x:c r="F633" s="8"/>
      <x:c r="G633" s="8"/>
      <x:c r="H633" s="6"/>
      <x:c r="I633" s="27"/>
      <x:c r="J633" s="6"/>
      <x:c r="K633" s="6"/>
      <x:c r="L633" s="6"/>
      <x:c r="M633" s="6"/>
      <x:c r="N633" s="6"/>
      <x:c r="O633" s="6"/>
      <x:c r="P633" s="6"/>
      <x:c r="Q633" s="6"/>
      <x:c r="R633"/>
      <x:c r="S633"/>
      <x:c r="T633"/>
    </x:row>
    <x:row r="634" spans="1:20" ht="15.75" x14ac:dyDescent="0.25">
      <x:c r="A634"/>
      <x:c r="B634"/>
      <x:c r="C634"/>
      <x:c r="D634"/>
      <x:c r="E634" s="31"/>
      <x:c r="F634" s="8"/>
      <x:c r="G634" s="8"/>
      <x:c r="H634" s="6"/>
      <x:c r="I634" s="27"/>
      <x:c r="J634" s="6"/>
      <x:c r="K634" s="6"/>
      <x:c r="L634" s="6"/>
      <x:c r="M634" s="6"/>
      <x:c r="N634" s="6"/>
      <x:c r="O634" s="6"/>
      <x:c r="P634" s="6"/>
      <x:c r="Q634" s="6"/>
      <x:c r="R634"/>
      <x:c r="S634"/>
      <x:c r="T634"/>
    </x:row>
    <x:row r="635" spans="1:20" ht="15.75" x14ac:dyDescent="0.25">
      <x:c r="A635"/>
      <x:c r="B635"/>
      <x:c r="C635"/>
      <x:c r="D635"/>
      <x:c r="E635" s="31"/>
      <x:c r="F635" s="8"/>
      <x:c r="G635" s="8"/>
      <x:c r="H635" s="6"/>
      <x:c r="I635" s="27"/>
      <x:c r="J635" s="6"/>
      <x:c r="K635" s="6"/>
      <x:c r="L635" s="6"/>
      <x:c r="M635" s="6"/>
      <x:c r="N635" s="6"/>
      <x:c r="O635" s="6"/>
      <x:c r="P635" s="6"/>
      <x:c r="Q635" s="6"/>
      <x:c r="R635"/>
      <x:c r="S635"/>
      <x:c r="T635"/>
    </x:row>
    <x:row r="636" spans="1:20" ht="15.75" x14ac:dyDescent="0.25">
      <x:c r="A636"/>
      <x:c r="B636"/>
      <x:c r="C636"/>
      <x:c r="D636"/>
      <x:c r="E636" s="31"/>
      <x:c r="F636" s="8"/>
      <x:c r="G636" s="8"/>
      <x:c r="H636" s="6"/>
      <x:c r="I636" s="27"/>
      <x:c r="J636" s="6"/>
      <x:c r="K636" s="6"/>
      <x:c r="L636" s="6"/>
      <x:c r="M636" s="6"/>
      <x:c r="N636" s="6"/>
      <x:c r="O636" s="6"/>
      <x:c r="P636" s="6"/>
      <x:c r="Q636" s="6"/>
      <x:c r="R636"/>
      <x:c r="S636"/>
      <x:c r="T636"/>
    </x:row>
    <x:row r="637" spans="1:20" ht="15.75" x14ac:dyDescent="0.25">
      <x:c r="A637"/>
      <x:c r="B637"/>
      <x:c r="C637"/>
      <x:c r="D637"/>
      <x:c r="E637" s="31"/>
      <x:c r="F637" s="8"/>
      <x:c r="G637" s="8"/>
      <x:c r="H637" s="6"/>
      <x:c r="I637" s="27"/>
      <x:c r="J637" s="6"/>
      <x:c r="K637" s="6"/>
      <x:c r="L637" s="6"/>
      <x:c r="M637" s="6"/>
      <x:c r="N637" s="6"/>
      <x:c r="O637" s="6"/>
      <x:c r="P637" s="6"/>
      <x:c r="Q637" s="6"/>
      <x:c r="R637"/>
      <x:c r="S637"/>
      <x:c r="T637"/>
    </x:row>
    <x:row r="638" spans="1:20" ht="15.75" x14ac:dyDescent="0.25">
      <x:c r="A638"/>
      <x:c r="B638"/>
      <x:c r="C638"/>
      <x:c r="D638"/>
      <x:c r="E638" s="31"/>
      <x:c r="F638" s="8"/>
      <x:c r="G638" s="8"/>
      <x:c r="H638" s="6"/>
      <x:c r="I638" s="27"/>
      <x:c r="J638" s="6"/>
      <x:c r="K638" s="6"/>
      <x:c r="L638" s="6"/>
      <x:c r="M638" s="6"/>
      <x:c r="N638" s="6"/>
      <x:c r="O638" s="6"/>
      <x:c r="P638" s="6"/>
      <x:c r="Q638" s="6"/>
      <x:c r="R638"/>
      <x:c r="S638"/>
      <x:c r="T638"/>
    </x:row>
    <x:row r="639" spans="1:20" ht="15.75" x14ac:dyDescent="0.25">
      <x:c r="A639"/>
      <x:c r="B639"/>
      <x:c r="C639"/>
      <x:c r="D639"/>
      <x:c r="E639" s="31"/>
      <x:c r="F639" s="8"/>
      <x:c r="G639" s="8"/>
      <x:c r="H639" s="6"/>
      <x:c r="I639" s="27"/>
      <x:c r="J639" s="6"/>
      <x:c r="K639" s="6"/>
      <x:c r="L639" s="6"/>
      <x:c r="M639" s="6"/>
      <x:c r="N639" s="6"/>
      <x:c r="O639" s="6"/>
      <x:c r="P639" s="6"/>
      <x:c r="Q639" s="6"/>
      <x:c r="R639"/>
      <x:c r="S639"/>
      <x:c r="T639"/>
    </x:row>
    <x:row r="640" spans="1:20" ht="15.75" x14ac:dyDescent="0.25">
      <x:c r="A640"/>
      <x:c r="B640"/>
      <x:c r="C640"/>
      <x:c r="D640"/>
      <x:c r="E640" s="31"/>
      <x:c r="F640" s="8"/>
      <x:c r="G640" s="8"/>
      <x:c r="H640" s="6"/>
      <x:c r="I640" s="27"/>
      <x:c r="J640" s="6"/>
      <x:c r="K640" s="6"/>
      <x:c r="L640" s="6"/>
      <x:c r="M640" s="6"/>
      <x:c r="N640" s="6"/>
      <x:c r="O640" s="6"/>
      <x:c r="P640" s="6"/>
      <x:c r="Q640" s="6"/>
      <x:c r="R640"/>
      <x:c r="S640"/>
      <x:c r="T640"/>
    </x:row>
    <x:row r="641" spans="1:20" ht="15.75" x14ac:dyDescent="0.25">
      <x:c r="A641"/>
      <x:c r="B641"/>
      <x:c r="C641"/>
      <x:c r="D641"/>
      <x:c r="E641" s="31"/>
      <x:c r="F641" s="8"/>
      <x:c r="G641" s="8"/>
      <x:c r="H641" s="6"/>
      <x:c r="I641" s="27"/>
      <x:c r="J641" s="6"/>
      <x:c r="K641" s="6"/>
      <x:c r="L641" s="6"/>
      <x:c r="M641" s="6"/>
      <x:c r="N641" s="6"/>
      <x:c r="O641" s="6"/>
      <x:c r="P641" s="6"/>
      <x:c r="Q641" s="6"/>
      <x:c r="R641"/>
      <x:c r="S641"/>
      <x:c r="T641"/>
    </x:row>
    <x:row r="642" spans="1:20" ht="15.75" x14ac:dyDescent="0.25">
      <x:c r="A642"/>
      <x:c r="B642"/>
      <x:c r="C642"/>
      <x:c r="D642"/>
      <x:c r="E642" s="31"/>
      <x:c r="F642" s="8"/>
      <x:c r="G642" s="8"/>
      <x:c r="H642" s="6"/>
      <x:c r="I642" s="27"/>
      <x:c r="J642" s="6"/>
      <x:c r="K642" s="6"/>
      <x:c r="L642" s="6"/>
      <x:c r="M642" s="6"/>
      <x:c r="N642" s="6"/>
      <x:c r="O642" s="6"/>
      <x:c r="P642" s="6"/>
      <x:c r="Q642" s="6"/>
      <x:c r="R642"/>
      <x:c r="S642"/>
      <x:c r="T642"/>
    </x:row>
    <x:row r="643" spans="1:20" ht="15.75" x14ac:dyDescent="0.25">
      <x:c r="A643"/>
      <x:c r="B643"/>
      <x:c r="C643"/>
      <x:c r="D643"/>
      <x:c r="E643" s="31"/>
      <x:c r="F643" s="8"/>
      <x:c r="G643" s="8"/>
      <x:c r="H643" s="6"/>
      <x:c r="I643" s="27"/>
      <x:c r="J643" s="6"/>
      <x:c r="K643" s="6"/>
      <x:c r="L643" s="6"/>
      <x:c r="M643" s="6"/>
      <x:c r="N643" s="6"/>
      <x:c r="O643" s="6"/>
      <x:c r="P643" s="6"/>
      <x:c r="Q643" s="6"/>
      <x:c r="R643"/>
      <x:c r="S643"/>
      <x:c r="T643"/>
    </x:row>
    <x:row r="644" spans="1:20" ht="15.75" x14ac:dyDescent="0.25">
      <x:c r="A644"/>
      <x:c r="B644"/>
      <x:c r="C644"/>
      <x:c r="D644"/>
      <x:c r="E644" s="31"/>
      <x:c r="F644" s="8"/>
      <x:c r="G644" s="8"/>
      <x:c r="H644" s="6"/>
      <x:c r="I644" s="27"/>
      <x:c r="J644" s="6"/>
      <x:c r="K644" s="6"/>
      <x:c r="L644" s="6"/>
      <x:c r="M644" s="6"/>
      <x:c r="N644" s="6"/>
      <x:c r="O644" s="6"/>
      <x:c r="P644" s="6"/>
      <x:c r="Q644" s="6"/>
      <x:c r="R644"/>
      <x:c r="S644"/>
      <x:c r="T644"/>
    </x:row>
    <x:row r="645" spans="1:20" ht="15.75" x14ac:dyDescent="0.25">
      <x:c r="A645"/>
      <x:c r="B645"/>
      <x:c r="C645"/>
      <x:c r="D645"/>
      <x:c r="E645" s="31"/>
      <x:c r="F645" s="8"/>
      <x:c r="G645" s="8"/>
      <x:c r="H645" s="6"/>
      <x:c r="I645" s="27"/>
      <x:c r="J645" s="6"/>
      <x:c r="K645" s="6"/>
      <x:c r="L645" s="6"/>
      <x:c r="M645" s="6"/>
      <x:c r="N645" s="6"/>
      <x:c r="O645" s="6"/>
      <x:c r="P645" s="6"/>
      <x:c r="Q645" s="6"/>
      <x:c r="R645"/>
      <x:c r="S645"/>
      <x:c r="T645"/>
    </x:row>
    <x:row r="646" spans="1:20" ht="15.75" x14ac:dyDescent="0.25">
      <x:c r="A646"/>
      <x:c r="B646"/>
      <x:c r="C646"/>
      <x:c r="D646"/>
      <x:c r="E646" s="31"/>
      <x:c r="F646" s="8"/>
      <x:c r="G646" s="8"/>
      <x:c r="H646" s="6"/>
      <x:c r="I646" s="27"/>
      <x:c r="J646" s="6"/>
      <x:c r="K646" s="6"/>
      <x:c r="L646" s="6"/>
      <x:c r="M646" s="6"/>
      <x:c r="N646" s="6"/>
      <x:c r="O646" s="6"/>
      <x:c r="P646" s="6"/>
      <x:c r="Q646" s="6"/>
      <x:c r="R646"/>
      <x:c r="S646"/>
      <x:c r="T646"/>
    </x:row>
    <x:row r="647" spans="1:20" ht="15.75" x14ac:dyDescent="0.25">
      <x:c r="A647"/>
      <x:c r="B647"/>
      <x:c r="C647"/>
      <x:c r="D647"/>
      <x:c r="E647" s="31"/>
      <x:c r="F647" s="8"/>
      <x:c r="G647" s="8"/>
      <x:c r="H647" s="6"/>
      <x:c r="I647" s="27"/>
      <x:c r="J647" s="6"/>
      <x:c r="K647" s="6"/>
      <x:c r="L647" s="6"/>
      <x:c r="M647" s="6"/>
      <x:c r="N647" s="6"/>
      <x:c r="O647" s="6"/>
      <x:c r="P647" s="6"/>
      <x:c r="Q647" s="6"/>
      <x:c r="R647"/>
      <x:c r="S647"/>
      <x:c r="T647"/>
    </x:row>
    <x:row r="648" spans="1:20" ht="15.75" x14ac:dyDescent="0.25">
      <x:c r="A648"/>
      <x:c r="B648"/>
      <x:c r="C648"/>
      <x:c r="D648"/>
      <x:c r="E648" s="31"/>
      <x:c r="F648" s="8"/>
      <x:c r="G648" s="8"/>
      <x:c r="H648" s="6"/>
      <x:c r="I648" s="27"/>
      <x:c r="J648" s="6"/>
      <x:c r="K648" s="6"/>
      <x:c r="L648" s="6"/>
      <x:c r="M648" s="6"/>
      <x:c r="N648" s="6"/>
      <x:c r="O648" s="6"/>
      <x:c r="P648" s="6"/>
      <x:c r="Q648" s="6"/>
      <x:c r="R648"/>
      <x:c r="S648"/>
      <x:c r="T648"/>
    </x:row>
    <x:row r="649" spans="1:20" ht="15.75" x14ac:dyDescent="0.25">
      <x:c r="A649"/>
      <x:c r="B649"/>
      <x:c r="C649"/>
      <x:c r="D649"/>
      <x:c r="E649" s="31"/>
      <x:c r="F649" s="8"/>
      <x:c r="G649" s="8"/>
      <x:c r="H649" s="6"/>
      <x:c r="I649" s="27"/>
      <x:c r="J649" s="6"/>
      <x:c r="K649" s="6"/>
      <x:c r="L649" s="6"/>
      <x:c r="M649" s="6"/>
      <x:c r="N649" s="6"/>
      <x:c r="O649" s="6"/>
      <x:c r="P649" s="6"/>
      <x:c r="Q649" s="6"/>
      <x:c r="R649"/>
      <x:c r="S649"/>
      <x:c r="T649"/>
    </x:row>
    <x:row r="650" spans="1:20" ht="15.75" x14ac:dyDescent="0.25">
      <x:c r="A650"/>
      <x:c r="B650"/>
      <x:c r="C650"/>
      <x:c r="D650"/>
      <x:c r="E650" s="31"/>
      <x:c r="F650" s="8"/>
      <x:c r="G650" s="8"/>
      <x:c r="H650" s="6"/>
      <x:c r="I650" s="27"/>
      <x:c r="J650" s="6"/>
      <x:c r="K650" s="6"/>
      <x:c r="L650" s="6"/>
      <x:c r="M650" s="6"/>
      <x:c r="N650" s="6"/>
      <x:c r="O650" s="6"/>
      <x:c r="P650" s="6"/>
      <x:c r="Q650" s="6"/>
      <x:c r="R650"/>
      <x:c r="S650"/>
      <x:c r="T650"/>
    </x:row>
    <x:row r="651" spans="1:20" ht="15.75" x14ac:dyDescent="0.25">
      <x:c r="A651"/>
      <x:c r="B651"/>
      <x:c r="C651"/>
      <x:c r="D651"/>
      <x:c r="E651" s="31"/>
      <x:c r="F651" s="8"/>
      <x:c r="G651" s="8"/>
      <x:c r="H651" s="6"/>
      <x:c r="I651" s="27"/>
      <x:c r="J651" s="6"/>
      <x:c r="K651" s="6"/>
      <x:c r="L651" s="6"/>
      <x:c r="M651" s="6"/>
      <x:c r="N651" s="6"/>
      <x:c r="O651" s="6"/>
      <x:c r="P651" s="6"/>
      <x:c r="Q651" s="6"/>
      <x:c r="R651"/>
      <x:c r="S651"/>
      <x:c r="T651"/>
    </x:row>
    <x:row r="652" spans="1:20" ht="15.75" x14ac:dyDescent="0.25">
      <x:c r="A652"/>
      <x:c r="B652"/>
      <x:c r="C652"/>
      <x:c r="D652"/>
      <x:c r="E652" s="31"/>
      <x:c r="F652" s="8"/>
      <x:c r="G652" s="8"/>
      <x:c r="H652" s="6"/>
      <x:c r="I652" s="27"/>
      <x:c r="J652" s="6"/>
      <x:c r="K652" s="6"/>
      <x:c r="L652" s="6"/>
      <x:c r="M652" s="6"/>
      <x:c r="N652" s="6"/>
      <x:c r="O652" s="6"/>
      <x:c r="P652" s="6"/>
      <x:c r="Q652" s="6"/>
      <x:c r="R652"/>
      <x:c r="S652"/>
      <x:c r="T652"/>
    </x:row>
    <x:row r="653" spans="1:20" ht="15.75" x14ac:dyDescent="0.25">
      <x:c r="A653"/>
      <x:c r="B653"/>
      <x:c r="C653"/>
      <x:c r="D653"/>
      <x:c r="E653" s="31"/>
      <x:c r="F653" s="8"/>
      <x:c r="G653" s="8"/>
      <x:c r="H653" s="6"/>
      <x:c r="I653" s="27"/>
      <x:c r="J653" s="6"/>
      <x:c r="K653" s="6"/>
      <x:c r="L653" s="6"/>
      <x:c r="M653" s="6"/>
      <x:c r="N653" s="6"/>
      <x:c r="O653" s="6"/>
      <x:c r="P653" s="6"/>
      <x:c r="Q653" s="6"/>
      <x:c r="R653"/>
      <x:c r="S653"/>
      <x:c r="T653"/>
    </x:row>
    <x:row r="654" spans="1:20" ht="15.75" x14ac:dyDescent="0.25">
      <x:c r="A654"/>
      <x:c r="B654"/>
      <x:c r="C654"/>
      <x:c r="D654"/>
      <x:c r="E654" s="31"/>
      <x:c r="F654" s="8"/>
      <x:c r="G654" s="8"/>
      <x:c r="H654" s="6"/>
      <x:c r="I654" s="27"/>
      <x:c r="J654" s="6"/>
      <x:c r="K654" s="6"/>
      <x:c r="L654" s="6"/>
      <x:c r="M654" s="6"/>
      <x:c r="N654" s="6"/>
      <x:c r="O654" s="6"/>
      <x:c r="P654" s="6"/>
      <x:c r="Q654" s="6"/>
      <x:c r="R654"/>
      <x:c r="S654"/>
      <x:c r="T654"/>
    </x:row>
    <x:row r="655" spans="1:20" ht="15.75" x14ac:dyDescent="0.25">
      <x:c r="A655"/>
      <x:c r="B655"/>
      <x:c r="C655"/>
      <x:c r="D655"/>
      <x:c r="E655" s="31"/>
      <x:c r="F655" s="8"/>
      <x:c r="G655" s="8"/>
      <x:c r="H655" s="6"/>
      <x:c r="I655" s="27"/>
      <x:c r="J655" s="6"/>
      <x:c r="K655" s="6"/>
      <x:c r="L655" s="6"/>
      <x:c r="M655" s="6"/>
      <x:c r="N655" s="6"/>
      <x:c r="O655" s="6"/>
      <x:c r="P655" s="6"/>
      <x:c r="Q655" s="6"/>
      <x:c r="R655"/>
      <x:c r="S655"/>
      <x:c r="T655"/>
    </x:row>
    <x:row r="656" spans="1:20" ht="15.75" x14ac:dyDescent="0.25">
      <x:c r="A656"/>
      <x:c r="B656"/>
      <x:c r="C656"/>
      <x:c r="D656"/>
      <x:c r="E656" s="31"/>
      <x:c r="F656" s="8"/>
      <x:c r="G656" s="8"/>
      <x:c r="H656" s="6"/>
      <x:c r="I656" s="27"/>
      <x:c r="J656" s="6"/>
      <x:c r="K656" s="6"/>
      <x:c r="L656" s="6"/>
      <x:c r="M656" s="6"/>
      <x:c r="N656" s="6"/>
      <x:c r="O656" s="6"/>
      <x:c r="P656" s="6"/>
      <x:c r="Q656" s="6"/>
      <x:c r="R656"/>
      <x:c r="S656"/>
      <x:c r="T656"/>
    </x:row>
    <x:row r="657" spans="1:20" ht="15.75" x14ac:dyDescent="0.25">
      <x:c r="A657"/>
      <x:c r="B657"/>
      <x:c r="C657"/>
      <x:c r="D657"/>
      <x:c r="E657" s="31"/>
      <x:c r="F657" s="8"/>
      <x:c r="G657" s="8"/>
      <x:c r="H657" s="6"/>
      <x:c r="I657" s="27"/>
      <x:c r="J657" s="6"/>
      <x:c r="K657" s="6"/>
      <x:c r="L657" s="6"/>
      <x:c r="M657" s="6"/>
      <x:c r="N657" s="6"/>
      <x:c r="O657" s="6"/>
      <x:c r="P657" s="6"/>
      <x:c r="Q657" s="6"/>
      <x:c r="R657"/>
      <x:c r="S657"/>
      <x:c r="T657"/>
    </x:row>
    <x:row r="658" spans="1:20" ht="15.75" x14ac:dyDescent="0.25">
      <x:c r="A658"/>
      <x:c r="B658"/>
      <x:c r="C658"/>
      <x:c r="D658"/>
      <x:c r="E658" s="31"/>
      <x:c r="F658" s="8"/>
      <x:c r="G658" s="8"/>
      <x:c r="H658" s="6"/>
      <x:c r="I658" s="27"/>
      <x:c r="J658" s="6"/>
      <x:c r="K658" s="6"/>
      <x:c r="L658" s="6"/>
      <x:c r="M658" s="6"/>
      <x:c r="N658" s="6"/>
      <x:c r="O658" s="6"/>
      <x:c r="P658" s="6"/>
      <x:c r="Q658" s="6"/>
      <x:c r="R658"/>
      <x:c r="S658"/>
      <x:c r="T658"/>
    </x:row>
    <x:row r="659" spans="1:20" ht="15.75" x14ac:dyDescent="0.25">
      <x:c r="A659"/>
      <x:c r="B659"/>
      <x:c r="C659"/>
      <x:c r="D659"/>
      <x:c r="E659" s="31"/>
      <x:c r="F659" s="8"/>
      <x:c r="G659" s="8"/>
      <x:c r="H659" s="6"/>
      <x:c r="I659" s="27"/>
      <x:c r="J659" s="6"/>
      <x:c r="K659" s="6"/>
      <x:c r="L659" s="6"/>
      <x:c r="M659" s="6"/>
      <x:c r="N659" s="6"/>
      <x:c r="O659" s="6"/>
      <x:c r="P659" s="6"/>
      <x:c r="Q659" s="6"/>
      <x:c r="R659"/>
      <x:c r="S659"/>
      <x:c r="T659"/>
    </x:row>
    <x:row r="660" spans="1:20" ht="15.75" x14ac:dyDescent="0.25">
      <x:c r="A660"/>
      <x:c r="B660"/>
      <x:c r="C660"/>
      <x:c r="D660"/>
      <x:c r="E660" s="31"/>
      <x:c r="F660" s="8"/>
      <x:c r="G660" s="8"/>
      <x:c r="H660" s="6"/>
      <x:c r="I660" s="27"/>
      <x:c r="J660" s="6"/>
      <x:c r="K660" s="6"/>
      <x:c r="L660" s="6"/>
      <x:c r="M660" s="6"/>
      <x:c r="N660" s="6"/>
      <x:c r="O660" s="6"/>
      <x:c r="P660" s="6"/>
      <x:c r="Q660" s="6"/>
      <x:c r="R660"/>
      <x:c r="S660"/>
      <x:c r="T660"/>
    </x:row>
    <x:row r="661" spans="1:20" ht="15.75" x14ac:dyDescent="0.25">
      <x:c r="A661"/>
      <x:c r="B661"/>
      <x:c r="C661"/>
      <x:c r="D661"/>
      <x:c r="E661" s="31"/>
      <x:c r="F661" s="8"/>
      <x:c r="G661" s="8"/>
      <x:c r="H661" s="6"/>
      <x:c r="I661" s="27"/>
      <x:c r="J661" s="6"/>
      <x:c r="K661" s="6"/>
      <x:c r="L661" s="6"/>
      <x:c r="M661" s="6"/>
      <x:c r="N661" s="6"/>
      <x:c r="O661" s="6"/>
      <x:c r="P661" s="6"/>
      <x:c r="Q661" s="6"/>
      <x:c r="R661"/>
      <x:c r="S661"/>
      <x:c r="T661"/>
    </x:row>
    <x:row r="662" spans="1:20" ht="15.75" x14ac:dyDescent="0.25">
      <x:c r="A662"/>
      <x:c r="B662"/>
      <x:c r="C662"/>
      <x:c r="D662"/>
      <x:c r="E662" s="31"/>
      <x:c r="F662" s="8"/>
      <x:c r="G662" s="8"/>
      <x:c r="H662" s="6"/>
      <x:c r="I662" s="27"/>
      <x:c r="J662" s="6"/>
      <x:c r="K662" s="6"/>
      <x:c r="L662" s="6"/>
      <x:c r="M662" s="6"/>
      <x:c r="N662" s="6"/>
      <x:c r="O662" s="6"/>
      <x:c r="P662" s="6"/>
      <x:c r="Q662" s="6"/>
      <x:c r="R662"/>
      <x:c r="S662"/>
      <x:c r="T662"/>
    </x:row>
    <x:row r="663" spans="1:20" ht="15.75" x14ac:dyDescent="0.25">
      <x:c r="A663"/>
      <x:c r="B663"/>
      <x:c r="C663"/>
      <x:c r="D663"/>
      <x:c r="E663" s="31"/>
      <x:c r="F663" s="8"/>
      <x:c r="G663" s="8"/>
      <x:c r="H663" s="6"/>
      <x:c r="I663" s="27"/>
      <x:c r="J663" s="6"/>
      <x:c r="K663" s="6"/>
      <x:c r="L663" s="6"/>
      <x:c r="M663" s="6"/>
      <x:c r="N663" s="6"/>
      <x:c r="O663" s="6"/>
      <x:c r="P663" s="6"/>
      <x:c r="Q663" s="6"/>
      <x:c r="R663"/>
      <x:c r="S663"/>
      <x:c r="T663"/>
    </x:row>
    <x:row r="664" spans="1:20" ht="15.75" x14ac:dyDescent="0.25">
      <x:c r="A664"/>
      <x:c r="B664"/>
      <x:c r="C664"/>
      <x:c r="D664"/>
      <x:c r="E664" s="31"/>
      <x:c r="F664" s="8"/>
      <x:c r="G664" s="8"/>
      <x:c r="H664" s="6"/>
      <x:c r="I664" s="27"/>
      <x:c r="J664" s="6"/>
      <x:c r="K664" s="6"/>
      <x:c r="L664" s="6"/>
      <x:c r="M664" s="6"/>
      <x:c r="N664" s="6"/>
      <x:c r="O664" s="6"/>
      <x:c r="P664" s="6"/>
      <x:c r="Q664" s="6"/>
      <x:c r="R664"/>
      <x:c r="S664"/>
      <x:c r="T664"/>
    </x:row>
    <x:row r="665" spans="1:20" ht="15.75" x14ac:dyDescent="0.25">
      <x:c r="A665"/>
      <x:c r="B665"/>
      <x:c r="C665"/>
      <x:c r="D665"/>
      <x:c r="E665" s="31"/>
      <x:c r="F665" s="8"/>
      <x:c r="G665" s="8"/>
      <x:c r="H665" s="6"/>
      <x:c r="I665" s="27"/>
      <x:c r="J665" s="6"/>
      <x:c r="K665" s="6"/>
      <x:c r="L665" s="6"/>
      <x:c r="M665" s="6"/>
      <x:c r="N665" s="6"/>
      <x:c r="O665" s="6"/>
      <x:c r="P665" s="6"/>
      <x:c r="Q665" s="6"/>
      <x:c r="R665"/>
      <x:c r="S665"/>
      <x:c r="T665"/>
    </x:row>
    <x:row r="666" spans="1:20" ht="15.75" x14ac:dyDescent="0.25">
      <x:c r="A666"/>
      <x:c r="B666"/>
      <x:c r="C666"/>
      <x:c r="D666"/>
      <x:c r="E666" s="31"/>
      <x:c r="F666" s="8"/>
      <x:c r="G666" s="8"/>
      <x:c r="H666" s="6"/>
      <x:c r="I666" s="27"/>
      <x:c r="J666" s="6"/>
      <x:c r="K666" s="6"/>
      <x:c r="L666" s="6"/>
      <x:c r="M666" s="6"/>
      <x:c r="N666" s="6"/>
      <x:c r="O666" s="6"/>
      <x:c r="P666" s="6"/>
      <x:c r="Q666" s="6"/>
      <x:c r="R666"/>
      <x:c r="S666"/>
      <x:c r="T666"/>
    </x:row>
    <x:row r="667" spans="1:20" ht="15.75" x14ac:dyDescent="0.25">
      <x:c r="A667"/>
      <x:c r="B667"/>
      <x:c r="C667"/>
      <x:c r="D667"/>
      <x:c r="E667" s="31"/>
      <x:c r="F667" s="8"/>
      <x:c r="G667" s="8"/>
      <x:c r="H667" s="6"/>
      <x:c r="I667" s="27"/>
      <x:c r="J667" s="6"/>
      <x:c r="K667" s="6"/>
      <x:c r="L667" s="6"/>
      <x:c r="M667" s="6"/>
      <x:c r="N667" s="6"/>
      <x:c r="O667" s="6"/>
      <x:c r="P667" s="6"/>
      <x:c r="Q667" s="6"/>
      <x:c r="R667"/>
      <x:c r="S667"/>
      <x:c r="T667"/>
    </x:row>
    <x:row r="668" spans="1:20" ht="15.75" x14ac:dyDescent="0.25">
      <x:c r="A668"/>
      <x:c r="B668"/>
      <x:c r="C668"/>
      <x:c r="D668"/>
      <x:c r="E668" s="31"/>
      <x:c r="F668" s="8"/>
      <x:c r="G668" s="8"/>
      <x:c r="H668" s="6"/>
      <x:c r="I668" s="27"/>
      <x:c r="J668" s="6"/>
      <x:c r="K668" s="6"/>
      <x:c r="L668" s="6"/>
      <x:c r="M668" s="6"/>
      <x:c r="N668" s="6"/>
      <x:c r="O668" s="6"/>
      <x:c r="P668" s="6"/>
      <x:c r="Q668" s="6"/>
      <x:c r="R668"/>
      <x:c r="S668"/>
      <x:c r="T668"/>
    </x:row>
    <x:row r="669" spans="1:20" ht="15.75" x14ac:dyDescent="0.25">
      <x:c r="A669"/>
      <x:c r="B669"/>
      <x:c r="C669"/>
      <x:c r="D669"/>
      <x:c r="E669" s="31"/>
      <x:c r="F669" s="8"/>
      <x:c r="G669" s="8"/>
      <x:c r="H669" s="6"/>
      <x:c r="I669" s="27"/>
      <x:c r="J669" s="6"/>
      <x:c r="K669" s="6"/>
      <x:c r="L669" s="6"/>
      <x:c r="M669" s="6"/>
      <x:c r="N669" s="6"/>
      <x:c r="O669" s="6"/>
      <x:c r="P669" s="6"/>
      <x:c r="Q669" s="6"/>
      <x:c r="R669"/>
      <x:c r="S669"/>
      <x:c r="T669"/>
    </x:row>
    <x:row r="670" spans="1:20" ht="15.75" x14ac:dyDescent="0.25">
      <x:c r="A670"/>
      <x:c r="B670"/>
      <x:c r="C670"/>
      <x:c r="D670"/>
      <x:c r="E670" s="31"/>
      <x:c r="F670" s="8"/>
      <x:c r="G670" s="8"/>
      <x:c r="H670" s="6"/>
      <x:c r="I670" s="27"/>
      <x:c r="J670" s="6"/>
      <x:c r="K670" s="6"/>
      <x:c r="L670" s="6"/>
      <x:c r="M670" s="6"/>
      <x:c r="N670" s="6"/>
      <x:c r="O670" s="6"/>
      <x:c r="P670" s="6"/>
      <x:c r="Q670" s="6"/>
      <x:c r="R670"/>
      <x:c r="S670"/>
      <x:c r="T670"/>
    </x:row>
    <x:row r="671" spans="1:20" ht="15.75" x14ac:dyDescent="0.25">
      <x:c r="A671"/>
      <x:c r="B671"/>
      <x:c r="C671"/>
      <x:c r="D671"/>
      <x:c r="E671" s="31"/>
      <x:c r="F671" s="8"/>
      <x:c r="G671" s="8"/>
      <x:c r="H671" s="6"/>
      <x:c r="I671" s="27"/>
      <x:c r="J671" s="6"/>
      <x:c r="K671" s="6"/>
      <x:c r="L671" s="6"/>
      <x:c r="M671" s="6"/>
      <x:c r="N671" s="6"/>
      <x:c r="O671" s="6"/>
      <x:c r="P671" s="6"/>
      <x:c r="Q671" s="6"/>
      <x:c r="R671"/>
      <x:c r="S671"/>
      <x:c r="T671"/>
    </x:row>
    <x:row r="672" spans="1:20" ht="15.75" x14ac:dyDescent="0.25">
      <x:c r="A672"/>
      <x:c r="B672"/>
      <x:c r="C672"/>
      <x:c r="D672"/>
      <x:c r="E672" s="31"/>
      <x:c r="F672" s="8"/>
      <x:c r="G672" s="8"/>
      <x:c r="H672" s="6"/>
      <x:c r="I672" s="27"/>
      <x:c r="J672" s="6"/>
      <x:c r="K672" s="6"/>
      <x:c r="L672" s="6"/>
      <x:c r="M672" s="6"/>
      <x:c r="N672" s="6"/>
      <x:c r="O672" s="6"/>
      <x:c r="P672" s="6"/>
      <x:c r="Q672" s="6"/>
      <x:c r="R672"/>
      <x:c r="S672"/>
      <x:c r="T672"/>
    </x:row>
    <x:row r="673" spans="1:20" ht="15.75" x14ac:dyDescent="0.25">
      <x:c r="A673"/>
      <x:c r="B673"/>
      <x:c r="C673"/>
      <x:c r="D673"/>
      <x:c r="E673" s="31"/>
      <x:c r="F673" s="8"/>
      <x:c r="G673" s="8"/>
      <x:c r="H673" s="6"/>
      <x:c r="I673" s="27"/>
      <x:c r="J673" s="6"/>
      <x:c r="K673" s="6"/>
      <x:c r="L673" s="6"/>
      <x:c r="M673" s="6"/>
      <x:c r="N673" s="6"/>
      <x:c r="O673" s="6"/>
      <x:c r="P673" s="6"/>
      <x:c r="Q673" s="6"/>
      <x:c r="R673"/>
      <x:c r="S673"/>
      <x:c r="T673"/>
    </x:row>
    <x:row r="674" spans="1:20" ht="15.75" x14ac:dyDescent="0.25">
      <x:c r="A674"/>
      <x:c r="B674"/>
      <x:c r="C674"/>
      <x:c r="D674"/>
      <x:c r="E674" s="31"/>
      <x:c r="F674" s="8"/>
      <x:c r="G674" s="8"/>
      <x:c r="H674" s="6"/>
      <x:c r="I674" s="27"/>
      <x:c r="J674" s="6"/>
      <x:c r="K674" s="6"/>
      <x:c r="L674" s="6"/>
      <x:c r="M674" s="6"/>
      <x:c r="N674" s="6"/>
      <x:c r="O674" s="6"/>
      <x:c r="P674" s="6"/>
      <x:c r="Q674" s="6"/>
      <x:c r="R674"/>
      <x:c r="S674"/>
      <x:c r="T674"/>
    </x:row>
    <x:row r="675" spans="1:20" ht="15.75" x14ac:dyDescent="0.25">
      <x:c r="A675"/>
      <x:c r="B675"/>
      <x:c r="C675"/>
      <x:c r="D675"/>
      <x:c r="E675" s="31"/>
      <x:c r="F675" s="8"/>
      <x:c r="G675" s="8"/>
      <x:c r="H675" s="6"/>
      <x:c r="I675" s="27"/>
      <x:c r="J675" s="6"/>
      <x:c r="K675" s="6"/>
      <x:c r="L675" s="6"/>
      <x:c r="M675" s="6"/>
      <x:c r="N675" s="6"/>
      <x:c r="O675" s="6"/>
      <x:c r="P675" s="6"/>
      <x:c r="Q675" s="6"/>
      <x:c r="R675"/>
      <x:c r="S675"/>
      <x:c r="T675"/>
    </x:row>
    <x:row r="676" spans="1:20" ht="15.75" x14ac:dyDescent="0.25">
      <x:c r="A676"/>
      <x:c r="B676"/>
      <x:c r="C676"/>
      <x:c r="D676"/>
      <x:c r="E676" s="31"/>
      <x:c r="F676" s="8"/>
      <x:c r="G676" s="8"/>
      <x:c r="H676" s="6"/>
      <x:c r="I676" s="27"/>
      <x:c r="J676" s="6"/>
      <x:c r="K676" s="6"/>
      <x:c r="L676" s="6"/>
      <x:c r="M676" s="6"/>
      <x:c r="N676" s="6"/>
      <x:c r="O676" s="6"/>
      <x:c r="P676" s="6"/>
      <x:c r="Q676" s="6"/>
      <x:c r="R676"/>
      <x:c r="S676"/>
      <x:c r="T676"/>
    </x:row>
    <x:row r="677" spans="1:20" ht="15.75" x14ac:dyDescent="0.25">
      <x:c r="A677"/>
      <x:c r="B677"/>
      <x:c r="C677"/>
      <x:c r="D677"/>
      <x:c r="E677" s="31"/>
      <x:c r="F677" s="8"/>
      <x:c r="G677" s="8"/>
      <x:c r="H677" s="6"/>
      <x:c r="I677" s="27"/>
      <x:c r="J677" s="6"/>
      <x:c r="K677" s="6"/>
      <x:c r="L677" s="6"/>
      <x:c r="M677" s="6"/>
      <x:c r="N677" s="6"/>
      <x:c r="O677" s="6"/>
      <x:c r="P677" s="6"/>
      <x:c r="Q677" s="6"/>
      <x:c r="R677"/>
      <x:c r="S677"/>
      <x:c r="T677"/>
    </x:row>
    <x:row r="678" spans="1:20" ht="15.75" x14ac:dyDescent="0.25">
      <x:c r="A678"/>
      <x:c r="B678"/>
      <x:c r="C678"/>
      <x:c r="D678"/>
      <x:c r="E678" s="31"/>
      <x:c r="F678" s="8"/>
      <x:c r="G678" s="8"/>
      <x:c r="H678" s="6"/>
      <x:c r="I678" s="27"/>
      <x:c r="J678" s="6"/>
      <x:c r="K678" s="6"/>
      <x:c r="L678" s="6"/>
      <x:c r="M678" s="6"/>
      <x:c r="N678" s="6"/>
      <x:c r="O678" s="6"/>
      <x:c r="P678" s="6"/>
      <x:c r="Q678" s="6"/>
      <x:c r="R678"/>
      <x:c r="S678"/>
      <x:c r="T678"/>
    </x:row>
    <x:row r="679" spans="1:20" ht="15.75" x14ac:dyDescent="0.25">
      <x:c r="A679"/>
      <x:c r="B679"/>
      <x:c r="C679"/>
      <x:c r="D679"/>
      <x:c r="E679" s="31"/>
      <x:c r="F679" s="8"/>
      <x:c r="G679" s="8"/>
      <x:c r="H679" s="6"/>
      <x:c r="I679" s="27"/>
      <x:c r="J679" s="6"/>
      <x:c r="K679" s="6"/>
      <x:c r="L679" s="6"/>
      <x:c r="M679" s="6"/>
      <x:c r="N679" s="6"/>
      <x:c r="O679" s="6"/>
      <x:c r="P679" s="6"/>
      <x:c r="Q679" s="6"/>
      <x:c r="R679"/>
      <x:c r="S679"/>
      <x:c r="T679"/>
    </x:row>
    <x:row r="680" spans="1:20" ht="15.75" x14ac:dyDescent="0.25">
      <x:c r="A680"/>
      <x:c r="B680"/>
      <x:c r="C680"/>
      <x:c r="D680"/>
      <x:c r="E680" s="31"/>
      <x:c r="F680" s="8"/>
      <x:c r="G680" s="8"/>
      <x:c r="H680" s="6"/>
      <x:c r="I680" s="27"/>
      <x:c r="J680" s="6"/>
      <x:c r="K680" s="6"/>
      <x:c r="L680" s="6"/>
      <x:c r="M680" s="6"/>
      <x:c r="N680" s="6"/>
      <x:c r="O680" s="6"/>
      <x:c r="P680" s="6"/>
      <x:c r="Q680" s="6"/>
      <x:c r="R680"/>
      <x:c r="S680"/>
      <x:c r="T680"/>
    </x:row>
    <x:row r="681" spans="1:20" ht="15.75" x14ac:dyDescent="0.25">
      <x:c r="A681"/>
      <x:c r="B681"/>
      <x:c r="C681"/>
      <x:c r="D681"/>
      <x:c r="E681" s="31"/>
      <x:c r="F681" s="8"/>
      <x:c r="G681" s="8"/>
      <x:c r="H681" s="6"/>
      <x:c r="I681" s="27"/>
      <x:c r="J681" s="6"/>
      <x:c r="K681" s="6"/>
      <x:c r="L681" s="6"/>
      <x:c r="M681" s="6"/>
      <x:c r="N681" s="6"/>
      <x:c r="O681" s="6"/>
      <x:c r="P681" s="6"/>
      <x:c r="Q681" s="6"/>
      <x:c r="R681"/>
      <x:c r="S681"/>
      <x:c r="T681"/>
    </x:row>
    <x:row r="682" spans="1:20" ht="15.75" x14ac:dyDescent="0.25">
      <x:c r="A682"/>
      <x:c r="B682"/>
      <x:c r="C682"/>
      <x:c r="D682"/>
      <x:c r="E682" s="31"/>
      <x:c r="F682" s="8"/>
      <x:c r="G682" s="8"/>
      <x:c r="H682" s="6"/>
      <x:c r="I682" s="27"/>
      <x:c r="J682" s="6"/>
      <x:c r="K682" s="6"/>
      <x:c r="L682" s="6"/>
      <x:c r="M682" s="6"/>
      <x:c r="N682" s="6"/>
      <x:c r="O682" s="6"/>
      <x:c r="P682" s="6"/>
      <x:c r="Q682" s="6"/>
      <x:c r="R682"/>
      <x:c r="S682"/>
      <x:c r="T682"/>
    </x:row>
    <x:row r="683" spans="1:20" ht="15.75" x14ac:dyDescent="0.25">
      <x:c r="A683"/>
      <x:c r="B683"/>
      <x:c r="C683"/>
      <x:c r="D683"/>
      <x:c r="E683" s="31"/>
      <x:c r="F683" s="8"/>
      <x:c r="G683" s="8"/>
      <x:c r="H683" s="6"/>
      <x:c r="I683" s="27"/>
      <x:c r="J683" s="6"/>
      <x:c r="K683" s="6"/>
      <x:c r="L683" s="6"/>
      <x:c r="M683" s="6"/>
      <x:c r="N683" s="6"/>
      <x:c r="O683" s="6"/>
      <x:c r="P683" s="6"/>
      <x:c r="Q683" s="6"/>
      <x:c r="R683"/>
      <x:c r="S683"/>
      <x:c r="T683"/>
    </x:row>
    <x:row r="684" spans="1:20" ht="15.75" x14ac:dyDescent="0.25">
      <x:c r="A684"/>
      <x:c r="B684"/>
      <x:c r="C684"/>
      <x:c r="D684"/>
      <x:c r="E684" s="31"/>
      <x:c r="F684" s="8"/>
      <x:c r="G684" s="8"/>
      <x:c r="H684" s="6"/>
      <x:c r="I684" s="27"/>
      <x:c r="J684" s="6"/>
      <x:c r="K684" s="6"/>
      <x:c r="L684" s="6"/>
      <x:c r="M684" s="6"/>
      <x:c r="N684" s="6"/>
      <x:c r="O684" s="6"/>
      <x:c r="P684" s="6"/>
      <x:c r="Q684" s="6"/>
      <x:c r="R684"/>
      <x:c r="S684"/>
      <x:c r="T684"/>
    </x:row>
    <x:row r="685" spans="1:20" ht="15.75" x14ac:dyDescent="0.25">
      <x:c r="A685"/>
      <x:c r="B685"/>
      <x:c r="C685"/>
      <x:c r="D685"/>
      <x:c r="E685" s="31"/>
      <x:c r="F685" s="8"/>
      <x:c r="G685" s="8"/>
      <x:c r="H685" s="6"/>
      <x:c r="I685" s="27"/>
      <x:c r="J685" s="6"/>
      <x:c r="K685" s="6"/>
      <x:c r="L685" s="6"/>
      <x:c r="M685" s="6"/>
      <x:c r="N685" s="6"/>
      <x:c r="O685" s="6"/>
      <x:c r="P685" s="6"/>
      <x:c r="Q685" s="6"/>
      <x:c r="R685"/>
      <x:c r="S685"/>
      <x:c r="T685"/>
    </x:row>
    <x:row r="686" spans="1:20" ht="15.75" x14ac:dyDescent="0.25">
      <x:c r="A686"/>
      <x:c r="B686"/>
      <x:c r="C686"/>
      <x:c r="D686"/>
      <x:c r="E686" s="31"/>
      <x:c r="F686" s="8"/>
      <x:c r="G686" s="8"/>
      <x:c r="H686" s="6"/>
      <x:c r="I686" s="27"/>
      <x:c r="J686" s="6"/>
      <x:c r="K686" s="6"/>
      <x:c r="L686" s="6"/>
      <x:c r="M686" s="6"/>
      <x:c r="N686" s="6"/>
      <x:c r="O686" s="6"/>
      <x:c r="P686" s="6"/>
      <x:c r="Q686" s="6"/>
      <x:c r="R686"/>
      <x:c r="S686"/>
      <x:c r="T686"/>
    </x:row>
    <x:row r="687" spans="1:20" ht="15.75" x14ac:dyDescent="0.25">
      <x:c r="A687"/>
      <x:c r="B687"/>
      <x:c r="C687"/>
      <x:c r="D687"/>
      <x:c r="E687" s="31"/>
      <x:c r="F687" s="8"/>
      <x:c r="G687" s="8"/>
      <x:c r="H687" s="6"/>
      <x:c r="I687" s="27"/>
      <x:c r="J687" s="6"/>
      <x:c r="K687" s="6"/>
      <x:c r="L687" s="6"/>
      <x:c r="M687" s="6"/>
      <x:c r="N687" s="6"/>
      <x:c r="O687" s="6"/>
      <x:c r="P687" s="6"/>
      <x:c r="Q687" s="6"/>
      <x:c r="R687"/>
      <x:c r="S687"/>
      <x:c r="T687"/>
    </x:row>
    <x:row r="688" spans="1:20" ht="15.75" x14ac:dyDescent="0.25">
      <x:c r="A688"/>
      <x:c r="B688"/>
      <x:c r="C688"/>
      <x:c r="D688"/>
      <x:c r="E688" s="31"/>
      <x:c r="F688" s="8"/>
      <x:c r="G688" s="8"/>
      <x:c r="H688" s="6"/>
      <x:c r="I688" s="27"/>
      <x:c r="J688" s="6"/>
      <x:c r="K688" s="6"/>
      <x:c r="L688" s="6"/>
      <x:c r="M688" s="6"/>
      <x:c r="N688" s="6"/>
      <x:c r="O688" s="6"/>
      <x:c r="P688" s="6"/>
      <x:c r="Q688" s="6"/>
      <x:c r="R688"/>
      <x:c r="S688"/>
      <x:c r="T688"/>
    </x:row>
    <x:row r="689" spans="1:20" ht="15.75" x14ac:dyDescent="0.25">
      <x:c r="A689"/>
      <x:c r="B689"/>
      <x:c r="C689"/>
      <x:c r="D689"/>
      <x:c r="E689" s="31"/>
      <x:c r="F689" s="8"/>
      <x:c r="G689" s="8"/>
      <x:c r="H689" s="6"/>
      <x:c r="I689" s="27"/>
      <x:c r="J689" s="6"/>
      <x:c r="K689" s="6"/>
      <x:c r="L689" s="6"/>
      <x:c r="M689" s="6"/>
      <x:c r="N689" s="6"/>
      <x:c r="O689" s="6"/>
      <x:c r="P689" s="6"/>
      <x:c r="Q689" s="6"/>
      <x:c r="R689"/>
      <x:c r="S689"/>
      <x:c r="T689"/>
    </x:row>
    <x:row r="690" spans="1:20" ht="15.75" x14ac:dyDescent="0.25">
      <x:c r="A690"/>
      <x:c r="B690"/>
      <x:c r="C690"/>
      <x:c r="D690"/>
      <x:c r="E690" s="31"/>
      <x:c r="F690" s="8"/>
      <x:c r="G690" s="8"/>
      <x:c r="H690" s="6"/>
      <x:c r="I690" s="27"/>
      <x:c r="J690" s="6"/>
      <x:c r="K690" s="6"/>
      <x:c r="L690" s="6"/>
      <x:c r="M690" s="6"/>
      <x:c r="N690" s="6"/>
      <x:c r="O690" s="6"/>
      <x:c r="P690" s="6"/>
      <x:c r="Q690" s="6"/>
      <x:c r="R690"/>
      <x:c r="S690"/>
      <x:c r="T690"/>
    </x:row>
    <x:row r="691" spans="1:20" ht="15.75" x14ac:dyDescent="0.25">
      <x:c r="A691"/>
      <x:c r="B691"/>
      <x:c r="C691"/>
      <x:c r="D691"/>
      <x:c r="E691" s="31"/>
      <x:c r="F691" s="8"/>
      <x:c r="G691" s="8"/>
      <x:c r="H691" s="6"/>
      <x:c r="I691" s="27"/>
      <x:c r="J691" s="6"/>
      <x:c r="K691" s="6"/>
      <x:c r="L691" s="6"/>
      <x:c r="M691" s="6"/>
      <x:c r="N691" s="6"/>
      <x:c r="O691" s="6"/>
      <x:c r="P691" s="6"/>
      <x:c r="Q691" s="6"/>
      <x:c r="R691"/>
      <x:c r="S691"/>
      <x:c r="T691"/>
    </x:row>
    <x:row r="692" spans="1:20" ht="15.75" x14ac:dyDescent="0.25">
      <x:c r="A692"/>
      <x:c r="B692"/>
      <x:c r="C692"/>
      <x:c r="D692"/>
      <x:c r="E692" s="31"/>
      <x:c r="F692" s="8"/>
      <x:c r="G692" s="8"/>
      <x:c r="H692" s="6"/>
      <x:c r="I692" s="27"/>
      <x:c r="J692" s="6"/>
      <x:c r="K692" s="6"/>
      <x:c r="L692" s="6"/>
      <x:c r="M692" s="6"/>
      <x:c r="N692" s="6"/>
      <x:c r="O692" s="6"/>
      <x:c r="P692" s="6"/>
      <x:c r="Q692" s="6"/>
      <x:c r="R692"/>
      <x:c r="S692"/>
      <x:c r="T692"/>
    </x:row>
    <x:row r="693" spans="1:20" ht="15.75" x14ac:dyDescent="0.25">
      <x:c r="A693"/>
      <x:c r="B693"/>
      <x:c r="C693"/>
      <x:c r="D693"/>
      <x:c r="E693" s="31"/>
      <x:c r="F693" s="8"/>
      <x:c r="G693" s="8"/>
      <x:c r="H693" s="6"/>
      <x:c r="I693" s="27"/>
      <x:c r="J693" s="6"/>
      <x:c r="K693" s="6"/>
      <x:c r="L693" s="6"/>
      <x:c r="M693" s="6"/>
      <x:c r="N693" s="6"/>
      <x:c r="O693" s="6"/>
      <x:c r="P693" s="6"/>
      <x:c r="Q693" s="6"/>
      <x:c r="R693"/>
      <x:c r="S693"/>
      <x:c r="T693"/>
    </x:row>
    <x:row r="694" spans="1:20" ht="15.75" x14ac:dyDescent="0.25">
      <x:c r="A694"/>
      <x:c r="B694"/>
      <x:c r="C694"/>
      <x:c r="D694"/>
      <x:c r="E694" s="31"/>
      <x:c r="F694" s="8"/>
      <x:c r="G694" s="8"/>
      <x:c r="H694" s="6"/>
      <x:c r="I694" s="27"/>
      <x:c r="J694" s="6"/>
      <x:c r="K694" s="6"/>
      <x:c r="L694" s="6"/>
      <x:c r="M694" s="6"/>
      <x:c r="N694" s="6"/>
      <x:c r="O694" s="6"/>
      <x:c r="P694" s="6"/>
      <x:c r="Q694" s="6"/>
      <x:c r="R694"/>
      <x:c r="S694"/>
      <x:c r="T694"/>
    </x:row>
    <x:row r="695" spans="1:20" ht="15.75" x14ac:dyDescent="0.25">
      <x:c r="A695"/>
      <x:c r="B695"/>
      <x:c r="C695"/>
      <x:c r="D695"/>
      <x:c r="E695" s="31"/>
      <x:c r="F695" s="8"/>
      <x:c r="G695" s="8"/>
      <x:c r="H695" s="6"/>
      <x:c r="I695" s="27"/>
      <x:c r="J695" s="6"/>
      <x:c r="K695" s="6"/>
      <x:c r="L695" s="6"/>
      <x:c r="M695" s="6"/>
      <x:c r="N695" s="6"/>
      <x:c r="O695" s="6"/>
      <x:c r="P695" s="6"/>
      <x:c r="Q695" s="6"/>
      <x:c r="R695"/>
      <x:c r="S695"/>
      <x:c r="T695"/>
    </x:row>
    <x:row r="696" spans="1:20" ht="15.75" x14ac:dyDescent="0.25">
      <x:c r="A696"/>
      <x:c r="B696"/>
      <x:c r="C696"/>
      <x:c r="D696"/>
      <x:c r="E696" s="31"/>
      <x:c r="F696" s="8"/>
      <x:c r="G696" s="8"/>
      <x:c r="H696" s="6"/>
      <x:c r="I696" s="27"/>
      <x:c r="J696" s="6"/>
      <x:c r="K696" s="6"/>
      <x:c r="L696" s="6"/>
      <x:c r="M696" s="6"/>
      <x:c r="N696" s="6"/>
      <x:c r="O696" s="6"/>
      <x:c r="P696" s="6"/>
      <x:c r="Q696" s="6"/>
      <x:c r="R696"/>
      <x:c r="S696"/>
      <x:c r="T696"/>
    </x:row>
    <x:row r="697" spans="1:20" ht="15.75" x14ac:dyDescent="0.25">
      <x:c r="A697"/>
      <x:c r="B697"/>
      <x:c r="C697"/>
      <x:c r="D697"/>
      <x:c r="E697" s="31"/>
      <x:c r="F697" s="8"/>
      <x:c r="G697" s="8"/>
      <x:c r="H697" s="6"/>
      <x:c r="I697" s="27"/>
      <x:c r="J697" s="6"/>
      <x:c r="K697" s="6"/>
      <x:c r="L697" s="6"/>
      <x:c r="M697" s="6"/>
      <x:c r="N697" s="6"/>
      <x:c r="O697" s="6"/>
      <x:c r="P697" s="6"/>
      <x:c r="Q697" s="6"/>
      <x:c r="R697"/>
      <x:c r="S697"/>
      <x:c r="T697"/>
    </x:row>
    <x:row r="698" spans="1:20" ht="15.75" x14ac:dyDescent="0.25">
      <x:c r="A698"/>
      <x:c r="B698"/>
      <x:c r="C698"/>
      <x:c r="D698"/>
      <x:c r="E698" s="31"/>
      <x:c r="F698" s="8"/>
      <x:c r="G698" s="8"/>
      <x:c r="H698" s="6"/>
      <x:c r="I698" s="27"/>
      <x:c r="J698" s="6"/>
      <x:c r="K698" s="6"/>
      <x:c r="L698" s="6"/>
      <x:c r="M698" s="6"/>
      <x:c r="N698" s="6"/>
      <x:c r="O698" s="6"/>
      <x:c r="P698" s="6"/>
      <x:c r="Q698" s="6"/>
      <x:c r="R698"/>
      <x:c r="S698"/>
      <x:c r="T698"/>
    </x:row>
    <x:row r="699" spans="1:20" ht="15.75" x14ac:dyDescent="0.25">
      <x:c r="A699"/>
      <x:c r="B699"/>
      <x:c r="C699"/>
      <x:c r="D699"/>
      <x:c r="E699" s="31"/>
      <x:c r="F699" s="8"/>
      <x:c r="G699" s="8"/>
      <x:c r="H699" s="6"/>
      <x:c r="I699" s="27"/>
      <x:c r="J699" s="6"/>
      <x:c r="K699" s="6"/>
      <x:c r="L699" s="6"/>
      <x:c r="M699" s="6"/>
      <x:c r="N699" s="6"/>
      <x:c r="O699" s="6"/>
      <x:c r="P699" s="6"/>
      <x:c r="Q699" s="6"/>
      <x:c r="R699"/>
      <x:c r="S699"/>
      <x:c r="T699"/>
    </x:row>
    <x:row r="700" spans="1:20" ht="15.75" x14ac:dyDescent="0.25">
      <x:c r="A700"/>
      <x:c r="B700"/>
      <x:c r="C700"/>
      <x:c r="D700"/>
      <x:c r="E700" s="31"/>
      <x:c r="F700" s="8"/>
      <x:c r="G700" s="8"/>
      <x:c r="H700" s="6"/>
      <x:c r="I700" s="27"/>
      <x:c r="J700" s="6"/>
      <x:c r="K700" s="6"/>
      <x:c r="L700" s="6"/>
      <x:c r="M700" s="6"/>
      <x:c r="N700" s="6"/>
      <x:c r="O700" s="6"/>
      <x:c r="P700" s="6"/>
      <x:c r="Q700" s="6"/>
      <x:c r="R700"/>
      <x:c r="S700"/>
      <x:c r="T700"/>
    </x:row>
    <x:row r="701" spans="1:20" ht="15.75" x14ac:dyDescent="0.25">
      <x:c r="A701"/>
      <x:c r="B701"/>
      <x:c r="C701"/>
      <x:c r="D701"/>
      <x:c r="E701" s="31"/>
      <x:c r="F701" s="8"/>
      <x:c r="G701" s="8"/>
      <x:c r="H701" s="6"/>
      <x:c r="I701" s="27"/>
      <x:c r="J701" s="6"/>
      <x:c r="K701" s="6"/>
      <x:c r="L701" s="6"/>
      <x:c r="M701" s="6"/>
      <x:c r="N701" s="6"/>
      <x:c r="O701" s="6"/>
      <x:c r="P701" s="6"/>
      <x:c r="Q701" s="6"/>
      <x:c r="R701"/>
      <x:c r="S701"/>
      <x:c r="T701"/>
    </x:row>
    <x:row r="702" spans="1:20" ht="15.75" x14ac:dyDescent="0.25">
      <x:c r="A702"/>
      <x:c r="B702"/>
      <x:c r="C702"/>
      <x:c r="D702"/>
      <x:c r="E702" s="31"/>
      <x:c r="F702" s="8"/>
      <x:c r="G702" s="8"/>
      <x:c r="H702" s="6"/>
      <x:c r="I702" s="27"/>
      <x:c r="J702" s="6"/>
      <x:c r="K702" s="6"/>
      <x:c r="L702" s="6"/>
      <x:c r="M702" s="6"/>
      <x:c r="N702" s="6"/>
      <x:c r="O702" s="6"/>
      <x:c r="P702" s="6"/>
      <x:c r="Q702" s="6"/>
      <x:c r="R702"/>
      <x:c r="S702"/>
      <x:c r="T702"/>
    </x:row>
    <x:row r="703" spans="1:20" ht="15.75" x14ac:dyDescent="0.25">
      <x:c r="A703"/>
      <x:c r="B703"/>
      <x:c r="C703"/>
      <x:c r="D703"/>
      <x:c r="E703" s="31"/>
      <x:c r="F703" s="8"/>
      <x:c r="G703" s="8"/>
      <x:c r="H703" s="6"/>
      <x:c r="I703" s="27"/>
      <x:c r="J703" s="6"/>
      <x:c r="K703" s="6"/>
      <x:c r="L703" s="6"/>
      <x:c r="M703" s="6"/>
      <x:c r="N703" s="6"/>
      <x:c r="O703" s="6"/>
      <x:c r="P703" s="6"/>
      <x:c r="Q703" s="6"/>
      <x:c r="R703"/>
      <x:c r="S703"/>
      <x:c r="T703"/>
    </x:row>
    <x:row r="704" spans="1:20" ht="15.75" x14ac:dyDescent="0.25">
      <x:c r="A704"/>
      <x:c r="B704"/>
      <x:c r="C704"/>
      <x:c r="D704"/>
      <x:c r="E704" s="31"/>
      <x:c r="F704" s="8"/>
      <x:c r="G704" s="8"/>
      <x:c r="H704" s="6"/>
      <x:c r="I704" s="27"/>
      <x:c r="J704" s="6"/>
      <x:c r="K704" s="6"/>
      <x:c r="L704" s="6"/>
      <x:c r="M704" s="6"/>
      <x:c r="N704" s="6"/>
      <x:c r="O704" s="6"/>
      <x:c r="P704" s="6"/>
      <x:c r="Q704" s="6"/>
      <x:c r="R704"/>
      <x:c r="S704"/>
      <x:c r="T704"/>
    </x:row>
    <x:row r="705" spans="1:20" ht="15.75" x14ac:dyDescent="0.25">
      <x:c r="A705"/>
      <x:c r="B705"/>
      <x:c r="C705"/>
      <x:c r="D705"/>
      <x:c r="E705" s="31"/>
      <x:c r="F705" s="8"/>
      <x:c r="G705" s="8"/>
      <x:c r="H705" s="6"/>
      <x:c r="I705" s="27"/>
      <x:c r="J705" s="6"/>
      <x:c r="K705" s="6"/>
      <x:c r="L705" s="6"/>
      <x:c r="M705" s="6"/>
      <x:c r="N705" s="6"/>
      <x:c r="O705" s="6"/>
      <x:c r="P705" s="6"/>
      <x:c r="Q705" s="6"/>
      <x:c r="R705"/>
      <x:c r="S705"/>
      <x:c r="T705"/>
    </x:row>
    <x:row r="706" spans="1:20" ht="15.75" x14ac:dyDescent="0.25">
      <x:c r="A706"/>
      <x:c r="B706"/>
      <x:c r="C706"/>
      <x:c r="D706"/>
      <x:c r="E706" s="31"/>
      <x:c r="F706" s="8"/>
      <x:c r="G706" s="8"/>
      <x:c r="H706" s="6"/>
      <x:c r="I706" s="27"/>
      <x:c r="J706" s="6"/>
      <x:c r="K706" s="6"/>
      <x:c r="L706" s="6"/>
      <x:c r="M706" s="6"/>
      <x:c r="N706" s="6"/>
      <x:c r="O706" s="6"/>
      <x:c r="P706" s="6"/>
      <x:c r="Q706" s="6"/>
      <x:c r="R706"/>
      <x:c r="S706"/>
      <x:c r="T706"/>
    </x:row>
    <x:row r="707" spans="1:20" ht="15.75" x14ac:dyDescent="0.25">
      <x:c r="A707"/>
      <x:c r="B707"/>
      <x:c r="C707"/>
      <x:c r="D707"/>
      <x:c r="E707" s="31"/>
      <x:c r="F707" s="8"/>
      <x:c r="G707" s="8"/>
      <x:c r="H707" s="6"/>
      <x:c r="I707" s="27"/>
      <x:c r="J707" s="6"/>
      <x:c r="K707" s="6"/>
      <x:c r="L707" s="6"/>
      <x:c r="M707" s="6"/>
      <x:c r="N707" s="6"/>
      <x:c r="O707" s="6"/>
      <x:c r="P707" s="6"/>
      <x:c r="Q707" s="6"/>
      <x:c r="R707"/>
      <x:c r="S707"/>
      <x:c r="T707"/>
    </x:row>
    <x:row r="708" spans="1:20" ht="15.75" x14ac:dyDescent="0.25">
      <x:c r="A708"/>
      <x:c r="B708"/>
      <x:c r="C708"/>
      <x:c r="D708"/>
      <x:c r="E708" s="31"/>
      <x:c r="F708" s="8"/>
      <x:c r="G708" s="8"/>
      <x:c r="H708" s="6"/>
      <x:c r="I708" s="27"/>
      <x:c r="J708" s="6"/>
      <x:c r="K708" s="6"/>
      <x:c r="L708" s="6"/>
      <x:c r="M708" s="6"/>
      <x:c r="N708" s="6"/>
      <x:c r="O708" s="6"/>
      <x:c r="P708" s="6"/>
      <x:c r="Q708" s="6"/>
      <x:c r="R708"/>
      <x:c r="S708"/>
      <x:c r="T708"/>
    </x:row>
    <x:row r="709" spans="1:20" ht="15.75" x14ac:dyDescent="0.25">
      <x:c r="A709"/>
      <x:c r="B709"/>
      <x:c r="C709"/>
      <x:c r="D709"/>
      <x:c r="E709" s="31"/>
      <x:c r="F709" s="8"/>
      <x:c r="G709" s="8"/>
      <x:c r="H709" s="6"/>
      <x:c r="I709" s="27"/>
      <x:c r="J709" s="6"/>
      <x:c r="K709" s="6"/>
      <x:c r="L709" s="6"/>
      <x:c r="M709" s="6"/>
      <x:c r="N709" s="6"/>
      <x:c r="O709" s="6"/>
      <x:c r="P709" s="6"/>
      <x:c r="Q709" s="6"/>
      <x:c r="R709"/>
      <x:c r="S709"/>
      <x:c r="T709"/>
    </x:row>
    <x:row r="710" spans="1:20" ht="15.75" x14ac:dyDescent="0.25">
      <x:c r="A710"/>
      <x:c r="B710"/>
      <x:c r="C710"/>
      <x:c r="D710"/>
      <x:c r="E710" s="31"/>
      <x:c r="F710" s="8"/>
      <x:c r="G710" s="8"/>
      <x:c r="H710" s="6"/>
      <x:c r="I710" s="27"/>
      <x:c r="J710" s="6"/>
      <x:c r="K710" s="6"/>
      <x:c r="L710" s="6"/>
      <x:c r="M710" s="6"/>
      <x:c r="N710" s="6"/>
      <x:c r="O710" s="6"/>
      <x:c r="P710" s="6"/>
      <x:c r="Q710" s="6"/>
      <x:c r="R710"/>
      <x:c r="S710"/>
      <x:c r="T710"/>
    </x:row>
    <x:row r="711" spans="1:20" ht="15.75" x14ac:dyDescent="0.25">
      <x:c r="A711"/>
      <x:c r="B711"/>
      <x:c r="C711"/>
      <x:c r="D711"/>
      <x:c r="E711" s="31"/>
      <x:c r="F711" s="8"/>
      <x:c r="G711" s="8"/>
      <x:c r="H711" s="6"/>
      <x:c r="I711" s="27"/>
      <x:c r="J711" s="6"/>
      <x:c r="K711" s="6"/>
      <x:c r="L711" s="6"/>
      <x:c r="M711" s="6"/>
      <x:c r="N711" s="6"/>
      <x:c r="O711" s="6"/>
      <x:c r="P711" s="6"/>
      <x:c r="Q711" s="6"/>
      <x:c r="R711"/>
      <x:c r="S711"/>
      <x:c r="T711"/>
    </x:row>
    <x:row r="712" spans="1:20" ht="15.75" x14ac:dyDescent="0.25">
      <x:c r="A712"/>
      <x:c r="B712"/>
      <x:c r="C712"/>
      <x:c r="D712"/>
      <x:c r="E712" s="31"/>
      <x:c r="F712" s="8"/>
      <x:c r="G712" s="8"/>
      <x:c r="H712" s="6"/>
      <x:c r="I712" s="27"/>
      <x:c r="J712" s="6"/>
      <x:c r="K712" s="6"/>
      <x:c r="L712" s="6"/>
      <x:c r="M712" s="6"/>
      <x:c r="N712" s="6"/>
      <x:c r="O712" s="6"/>
      <x:c r="P712" s="6"/>
      <x:c r="Q712" s="6"/>
      <x:c r="R712"/>
      <x:c r="S712"/>
      <x:c r="T712"/>
    </x:row>
    <x:row r="713" spans="1:20" ht="15.75" x14ac:dyDescent="0.25">
      <x:c r="A713"/>
      <x:c r="B713"/>
      <x:c r="C713"/>
      <x:c r="D713"/>
      <x:c r="E713" s="31"/>
      <x:c r="F713" s="8"/>
      <x:c r="G713" s="8"/>
      <x:c r="H713" s="6"/>
      <x:c r="I713" s="27"/>
      <x:c r="J713" s="6"/>
      <x:c r="K713" s="6"/>
      <x:c r="L713" s="6"/>
      <x:c r="M713" s="6"/>
      <x:c r="N713" s="6"/>
      <x:c r="O713" s="6"/>
      <x:c r="P713" s="6"/>
      <x:c r="Q713" s="6"/>
      <x:c r="R713"/>
      <x:c r="S713"/>
      <x:c r="T713"/>
    </x:row>
    <x:row r="714" spans="1:20" ht="15.75" x14ac:dyDescent="0.25">
      <x:c r="A714"/>
      <x:c r="B714"/>
      <x:c r="C714"/>
      <x:c r="D714"/>
      <x:c r="E714" s="31"/>
      <x:c r="F714" s="8"/>
      <x:c r="G714" s="8"/>
      <x:c r="H714" s="6"/>
      <x:c r="I714" s="27"/>
      <x:c r="J714" s="6"/>
      <x:c r="K714" s="6"/>
      <x:c r="L714" s="6"/>
      <x:c r="M714" s="6"/>
      <x:c r="N714" s="6"/>
      <x:c r="O714" s="6"/>
      <x:c r="P714" s="6"/>
      <x:c r="Q714" s="6"/>
      <x:c r="R714"/>
      <x:c r="S714"/>
      <x:c r="T714"/>
    </x:row>
    <x:row r="715" spans="1:20" ht="15.75" x14ac:dyDescent="0.25">
      <x:c r="A715"/>
      <x:c r="B715"/>
      <x:c r="C715"/>
      <x:c r="D715"/>
      <x:c r="E715" s="31"/>
      <x:c r="F715" s="8"/>
      <x:c r="G715" s="8"/>
      <x:c r="H715" s="6"/>
      <x:c r="I715" s="27"/>
      <x:c r="J715" s="6"/>
      <x:c r="K715" s="6"/>
      <x:c r="L715" s="6"/>
      <x:c r="M715" s="6"/>
      <x:c r="N715" s="6"/>
      <x:c r="O715" s="6"/>
      <x:c r="P715" s="6"/>
      <x:c r="Q715" s="6"/>
      <x:c r="R715"/>
      <x:c r="S715"/>
      <x:c r="T715"/>
    </x:row>
    <x:row r="716" spans="1:20" ht="15.75" x14ac:dyDescent="0.25">
      <x:c r="A716"/>
      <x:c r="B716"/>
      <x:c r="C716"/>
      <x:c r="D716"/>
      <x:c r="E716" s="31"/>
      <x:c r="F716" s="8"/>
      <x:c r="G716" s="8"/>
      <x:c r="H716" s="6"/>
      <x:c r="I716" s="27"/>
      <x:c r="J716" s="6"/>
      <x:c r="K716" s="6"/>
      <x:c r="L716" s="6"/>
      <x:c r="M716" s="6"/>
      <x:c r="N716" s="6"/>
      <x:c r="O716" s="6"/>
      <x:c r="P716" s="6"/>
      <x:c r="Q716" s="6"/>
      <x:c r="R716"/>
      <x:c r="S716"/>
      <x:c r="T716"/>
    </x:row>
    <x:row r="717" spans="1:20" ht="15.75" x14ac:dyDescent="0.25">
      <x:c r="A717"/>
      <x:c r="B717"/>
      <x:c r="C717"/>
      <x:c r="D717"/>
      <x:c r="E717" s="31"/>
      <x:c r="F717" s="8"/>
      <x:c r="G717" s="8"/>
      <x:c r="H717" s="6"/>
      <x:c r="I717" s="27"/>
      <x:c r="J717" s="6"/>
      <x:c r="K717" s="6"/>
      <x:c r="L717" s="6"/>
      <x:c r="M717" s="6"/>
      <x:c r="N717" s="6"/>
      <x:c r="O717" s="6"/>
      <x:c r="P717" s="6"/>
      <x:c r="Q717" s="6"/>
      <x:c r="R717"/>
      <x:c r="S717"/>
      <x:c r="T717"/>
    </x:row>
    <x:row r="718" spans="1:20" ht="15.75" x14ac:dyDescent="0.25">
      <x:c r="A718"/>
      <x:c r="B718"/>
      <x:c r="C718"/>
      <x:c r="D718"/>
      <x:c r="E718" s="31"/>
      <x:c r="F718" s="8"/>
      <x:c r="G718" s="8"/>
      <x:c r="H718" s="6"/>
      <x:c r="I718" s="27"/>
      <x:c r="J718" s="6"/>
      <x:c r="K718" s="6"/>
      <x:c r="L718" s="6"/>
      <x:c r="M718" s="6"/>
      <x:c r="N718" s="6"/>
      <x:c r="O718" s="6"/>
      <x:c r="P718" s="6"/>
      <x:c r="Q718" s="6"/>
      <x:c r="R718"/>
      <x:c r="S718"/>
      <x:c r="T718"/>
    </x:row>
    <x:row r="719" spans="1:20" ht="15.75" x14ac:dyDescent="0.25">
      <x:c r="A719"/>
      <x:c r="B719"/>
      <x:c r="C719"/>
      <x:c r="D719"/>
      <x:c r="E719" s="31"/>
      <x:c r="F719" s="8"/>
      <x:c r="G719" s="8"/>
      <x:c r="H719" s="6"/>
      <x:c r="I719" s="27"/>
      <x:c r="J719" s="6"/>
      <x:c r="K719" s="6"/>
      <x:c r="L719" s="6"/>
      <x:c r="M719" s="6"/>
      <x:c r="N719" s="6"/>
      <x:c r="O719" s="6"/>
      <x:c r="P719" s="6"/>
      <x:c r="Q719" s="6"/>
      <x:c r="R719"/>
      <x:c r="S719"/>
      <x:c r="T719"/>
    </x:row>
    <x:row r="720" spans="1:20" ht="15.75" x14ac:dyDescent="0.25">
      <x:c r="A720"/>
      <x:c r="B720"/>
      <x:c r="C720"/>
      <x:c r="D720"/>
      <x:c r="E720" s="31"/>
      <x:c r="F720" s="8"/>
      <x:c r="G720" s="8"/>
      <x:c r="H720" s="6"/>
      <x:c r="I720" s="27"/>
      <x:c r="J720" s="6"/>
      <x:c r="K720" s="6"/>
      <x:c r="L720" s="6"/>
      <x:c r="M720" s="6"/>
      <x:c r="N720" s="6"/>
      <x:c r="O720" s="6"/>
      <x:c r="P720" s="6"/>
      <x:c r="Q720" s="6"/>
      <x:c r="R720"/>
      <x:c r="S720"/>
      <x:c r="T720"/>
    </x:row>
    <x:row r="721" spans="1:20" ht="15.75" x14ac:dyDescent="0.25">
      <x:c r="A721"/>
      <x:c r="B721"/>
      <x:c r="C721"/>
      <x:c r="D721"/>
      <x:c r="E721" s="31"/>
      <x:c r="F721" s="8"/>
      <x:c r="G721" s="8"/>
      <x:c r="H721" s="6"/>
      <x:c r="I721" s="27"/>
      <x:c r="J721" s="6"/>
      <x:c r="K721" s="6"/>
      <x:c r="L721" s="6"/>
      <x:c r="M721" s="6"/>
      <x:c r="N721" s="6"/>
      <x:c r="O721" s="6"/>
      <x:c r="P721" s="6"/>
      <x:c r="Q721" s="6"/>
      <x:c r="R721"/>
      <x:c r="S721"/>
      <x:c r="T721"/>
    </x:row>
    <x:row r="722" spans="1:20" ht="15.75" x14ac:dyDescent="0.25">
      <x:c r="A722"/>
      <x:c r="B722"/>
      <x:c r="C722"/>
      <x:c r="D722"/>
      <x:c r="E722" s="31"/>
      <x:c r="F722" s="8"/>
      <x:c r="G722" s="8"/>
      <x:c r="H722" s="6"/>
      <x:c r="I722" s="27"/>
      <x:c r="J722" s="6"/>
      <x:c r="K722" s="6"/>
      <x:c r="L722" s="6"/>
      <x:c r="M722" s="6"/>
      <x:c r="N722" s="6"/>
      <x:c r="O722" s="6"/>
      <x:c r="P722" s="6"/>
      <x:c r="Q722" s="6"/>
      <x:c r="R722"/>
      <x:c r="S722"/>
      <x:c r="T722"/>
    </x:row>
    <x:row r="723" spans="1:20" ht="15.75" x14ac:dyDescent="0.25">
      <x:c r="A723"/>
      <x:c r="B723"/>
      <x:c r="C723"/>
      <x:c r="D723"/>
      <x:c r="E723" s="31"/>
      <x:c r="F723" s="8"/>
      <x:c r="G723" s="8"/>
      <x:c r="H723" s="6"/>
      <x:c r="I723" s="27"/>
      <x:c r="J723" s="6"/>
      <x:c r="K723" s="6"/>
      <x:c r="L723" s="6"/>
      <x:c r="M723" s="6"/>
      <x:c r="N723" s="6"/>
      <x:c r="O723" s="6"/>
      <x:c r="P723" s="6"/>
      <x:c r="Q723" s="6"/>
      <x:c r="R723"/>
      <x:c r="S723"/>
      <x:c r="T723"/>
    </x:row>
    <x:row r="724" spans="1:20" ht="15.75" x14ac:dyDescent="0.25">
      <x:c r="A724"/>
      <x:c r="B724"/>
      <x:c r="C724"/>
      <x:c r="D724"/>
      <x:c r="E724" s="31"/>
      <x:c r="F724" s="8"/>
      <x:c r="G724" s="8"/>
      <x:c r="H724" s="6"/>
      <x:c r="I724" s="27"/>
      <x:c r="J724" s="6"/>
      <x:c r="K724" s="6"/>
      <x:c r="L724" s="6"/>
      <x:c r="M724" s="6"/>
      <x:c r="N724" s="6"/>
      <x:c r="O724" s="6"/>
      <x:c r="P724" s="6"/>
      <x:c r="Q724" s="6"/>
      <x:c r="R724"/>
      <x:c r="S724"/>
      <x:c r="T724"/>
    </x:row>
    <x:row r="725" spans="1:20" ht="15.75" x14ac:dyDescent="0.25">
      <x:c r="A725"/>
      <x:c r="B725"/>
      <x:c r="C725"/>
      <x:c r="D725"/>
      <x:c r="E725" s="31"/>
      <x:c r="F725" s="8"/>
      <x:c r="G725" s="8"/>
      <x:c r="H725" s="6"/>
      <x:c r="I725" s="27"/>
      <x:c r="J725" s="6"/>
      <x:c r="K725" s="6"/>
      <x:c r="L725" s="6"/>
      <x:c r="M725" s="6"/>
      <x:c r="N725" s="6"/>
      <x:c r="O725" s="6"/>
      <x:c r="P725" s="6"/>
      <x:c r="Q725" s="6"/>
      <x:c r="R725"/>
      <x:c r="S725"/>
      <x:c r="T725"/>
    </x:row>
    <x:row r="726" spans="1:20" ht="15.75" x14ac:dyDescent="0.25">
      <x:c r="A726"/>
      <x:c r="B726"/>
      <x:c r="C726"/>
      <x:c r="D726"/>
      <x:c r="E726" s="31"/>
      <x:c r="F726" s="8"/>
      <x:c r="G726" s="8"/>
      <x:c r="H726" s="6"/>
      <x:c r="I726" s="27"/>
      <x:c r="J726" s="6"/>
      <x:c r="K726" s="6"/>
      <x:c r="L726" s="6"/>
      <x:c r="M726" s="6"/>
      <x:c r="N726" s="6"/>
      <x:c r="O726" s="6"/>
      <x:c r="P726" s="6"/>
      <x:c r="Q726" s="6"/>
      <x:c r="R726"/>
      <x:c r="S726"/>
      <x:c r="T726"/>
    </x:row>
    <x:row r="727" spans="1:20" ht="15.75" x14ac:dyDescent="0.25">
      <x:c r="A727"/>
      <x:c r="B727"/>
      <x:c r="C727"/>
      <x:c r="D727"/>
      <x:c r="E727" s="31"/>
      <x:c r="F727" s="8"/>
      <x:c r="G727" s="8"/>
      <x:c r="H727" s="6"/>
      <x:c r="I727" s="27"/>
      <x:c r="J727" s="6"/>
      <x:c r="K727" s="6"/>
      <x:c r="L727" s="6"/>
      <x:c r="M727" s="6"/>
      <x:c r="N727" s="6"/>
      <x:c r="O727" s="6"/>
      <x:c r="P727" s="6"/>
      <x:c r="Q727" s="6"/>
      <x:c r="R727"/>
      <x:c r="S727"/>
      <x:c r="T727"/>
    </x:row>
    <x:row r="728" spans="1:20" ht="15.75" x14ac:dyDescent="0.25">
      <x:c r="A728"/>
      <x:c r="B728"/>
      <x:c r="C728"/>
      <x:c r="D728"/>
      <x:c r="E728" s="31"/>
      <x:c r="F728" s="8"/>
      <x:c r="G728" s="8"/>
      <x:c r="H728" s="6"/>
      <x:c r="I728" s="27"/>
      <x:c r="J728" s="6"/>
      <x:c r="K728" s="6"/>
      <x:c r="L728" s="6"/>
      <x:c r="M728" s="6"/>
      <x:c r="N728" s="6"/>
      <x:c r="O728" s="6"/>
      <x:c r="P728" s="6"/>
      <x:c r="Q728" s="6"/>
      <x:c r="R728"/>
      <x:c r="S728"/>
      <x:c r="T728"/>
    </x:row>
    <x:row r="729" spans="1:20" ht="15.75" x14ac:dyDescent="0.25">
      <x:c r="A729"/>
      <x:c r="B729"/>
      <x:c r="C729"/>
      <x:c r="D729"/>
      <x:c r="E729" s="31"/>
      <x:c r="F729" s="8"/>
      <x:c r="G729" s="8"/>
      <x:c r="H729" s="6"/>
      <x:c r="I729" s="27"/>
      <x:c r="J729" s="6"/>
      <x:c r="K729" s="6"/>
      <x:c r="L729" s="6"/>
      <x:c r="M729" s="6"/>
      <x:c r="N729" s="6"/>
      <x:c r="O729" s="6"/>
      <x:c r="P729" s="6"/>
      <x:c r="Q729" s="6"/>
      <x:c r="R729"/>
      <x:c r="S729"/>
      <x:c r="T729"/>
    </x:row>
    <x:row r="730" spans="1:20" ht="15.75" x14ac:dyDescent="0.25">
      <x:c r="A730"/>
      <x:c r="B730"/>
      <x:c r="C730"/>
      <x:c r="D730"/>
      <x:c r="E730" s="31"/>
      <x:c r="F730" s="8"/>
      <x:c r="G730" s="8"/>
      <x:c r="H730" s="6"/>
      <x:c r="I730" s="27"/>
      <x:c r="J730" s="6"/>
      <x:c r="K730" s="6"/>
      <x:c r="L730" s="6"/>
      <x:c r="M730" s="6"/>
      <x:c r="N730" s="6"/>
      <x:c r="O730" s="6"/>
      <x:c r="P730" s="6"/>
      <x:c r="Q730" s="6"/>
      <x:c r="R730"/>
      <x:c r="S730"/>
      <x:c r="T730"/>
    </x:row>
    <x:row r="731" spans="1:20" ht="15.75" x14ac:dyDescent="0.25">
      <x:c r="A731"/>
      <x:c r="B731"/>
      <x:c r="C731"/>
      <x:c r="D731"/>
      <x:c r="E731" s="31"/>
      <x:c r="F731" s="8"/>
      <x:c r="G731" s="8"/>
      <x:c r="H731" s="6"/>
      <x:c r="I731" s="27"/>
      <x:c r="J731" s="6"/>
      <x:c r="K731" s="6"/>
      <x:c r="L731" s="6"/>
      <x:c r="M731" s="6"/>
      <x:c r="N731" s="6"/>
      <x:c r="O731" s="6"/>
      <x:c r="P731" s="6"/>
      <x:c r="Q731" s="6"/>
      <x:c r="R731"/>
      <x:c r="S731"/>
      <x:c r="T731"/>
    </x:row>
    <x:row r="732" spans="1:20" ht="15.75" x14ac:dyDescent="0.25">
      <x:c r="A732"/>
      <x:c r="B732"/>
      <x:c r="C732"/>
      <x:c r="D732"/>
      <x:c r="E732" s="31"/>
      <x:c r="F732" s="8"/>
      <x:c r="G732" s="8"/>
      <x:c r="H732" s="6"/>
      <x:c r="I732" s="27"/>
      <x:c r="J732" s="6"/>
      <x:c r="K732" s="6"/>
      <x:c r="L732" s="6"/>
      <x:c r="M732" s="6"/>
      <x:c r="N732" s="6"/>
      <x:c r="O732" s="6"/>
      <x:c r="P732" s="6"/>
      <x:c r="Q732" s="6"/>
      <x:c r="R732"/>
      <x:c r="S732"/>
      <x:c r="T732"/>
    </x:row>
    <x:row r="733" spans="1:20" ht="15.75" x14ac:dyDescent="0.25">
      <x:c r="A733"/>
      <x:c r="B733"/>
      <x:c r="C733"/>
      <x:c r="D733"/>
      <x:c r="E733" s="31"/>
      <x:c r="F733" s="8"/>
      <x:c r="G733" s="8"/>
      <x:c r="H733" s="6"/>
      <x:c r="I733" s="27"/>
      <x:c r="J733" s="6"/>
      <x:c r="K733" s="6"/>
      <x:c r="L733" s="6"/>
      <x:c r="M733" s="6"/>
      <x:c r="N733" s="6"/>
      <x:c r="O733" s="6"/>
      <x:c r="P733" s="6"/>
      <x:c r="Q733" s="6"/>
      <x:c r="R733"/>
      <x:c r="S733"/>
      <x:c r="T733"/>
    </x:row>
    <x:row r="734" spans="1:20" ht="15.75" x14ac:dyDescent="0.25">
      <x:c r="A734"/>
      <x:c r="B734"/>
      <x:c r="C734"/>
      <x:c r="D734"/>
      <x:c r="E734" s="31"/>
      <x:c r="F734" s="8"/>
      <x:c r="G734" s="8"/>
      <x:c r="H734" s="6"/>
      <x:c r="I734" s="27"/>
      <x:c r="J734" s="6"/>
      <x:c r="K734" s="6"/>
      <x:c r="L734" s="6"/>
      <x:c r="M734" s="6"/>
      <x:c r="N734" s="6"/>
      <x:c r="O734" s="6"/>
      <x:c r="P734" s="6"/>
      <x:c r="Q734" s="6"/>
      <x:c r="R734"/>
      <x:c r="S734"/>
      <x:c r="T734"/>
    </x:row>
    <x:row r="735" spans="1:20" ht="15.75" x14ac:dyDescent="0.25">
      <x:c r="A735"/>
      <x:c r="B735"/>
      <x:c r="C735"/>
      <x:c r="D735"/>
      <x:c r="E735" s="31"/>
      <x:c r="F735" s="8"/>
      <x:c r="G735" s="8"/>
      <x:c r="H735" s="6"/>
      <x:c r="I735" s="27"/>
      <x:c r="J735" s="6"/>
      <x:c r="K735" s="6"/>
      <x:c r="L735" s="6"/>
      <x:c r="M735" s="6"/>
      <x:c r="N735" s="6"/>
      <x:c r="O735" s="6"/>
      <x:c r="P735" s="6"/>
      <x:c r="Q735" s="6"/>
      <x:c r="R735"/>
      <x:c r="S735"/>
      <x:c r="T735"/>
    </x:row>
    <x:row r="736" spans="1:20" ht="15.75" x14ac:dyDescent="0.25">
      <x:c r="A736"/>
      <x:c r="B736"/>
      <x:c r="C736"/>
      <x:c r="D736"/>
      <x:c r="E736" s="31"/>
      <x:c r="F736" s="8"/>
      <x:c r="G736" s="8"/>
      <x:c r="H736" s="6"/>
      <x:c r="I736" s="27"/>
      <x:c r="J736" s="6"/>
      <x:c r="K736" s="6"/>
      <x:c r="L736" s="6"/>
      <x:c r="M736" s="6"/>
      <x:c r="N736" s="6"/>
      <x:c r="O736" s="6"/>
      <x:c r="P736" s="6"/>
      <x:c r="Q736" s="6"/>
      <x:c r="R736"/>
      <x:c r="S736"/>
      <x:c r="T736"/>
    </x:row>
    <x:row r="737" spans="1:20" ht="15.75" x14ac:dyDescent="0.25">
      <x:c r="A737"/>
      <x:c r="B737"/>
      <x:c r="C737"/>
      <x:c r="D737"/>
      <x:c r="E737" s="31"/>
      <x:c r="F737" s="8"/>
      <x:c r="G737" s="8"/>
      <x:c r="H737" s="6"/>
      <x:c r="I737" s="27"/>
      <x:c r="J737" s="6"/>
      <x:c r="K737" s="6"/>
      <x:c r="L737" s="6"/>
      <x:c r="M737" s="6"/>
      <x:c r="N737" s="6"/>
      <x:c r="O737" s="6"/>
      <x:c r="P737" s="6"/>
      <x:c r="Q737" s="6"/>
      <x:c r="R737"/>
      <x:c r="S737"/>
      <x:c r="T737"/>
    </x:row>
    <x:row r="738" spans="1:20" ht="15.75" x14ac:dyDescent="0.25">
      <x:c r="A738"/>
      <x:c r="B738"/>
      <x:c r="C738"/>
      <x:c r="D738"/>
      <x:c r="E738" s="31"/>
      <x:c r="F738" s="8"/>
      <x:c r="G738" s="8"/>
      <x:c r="H738" s="6"/>
      <x:c r="I738" s="27"/>
      <x:c r="J738" s="6"/>
      <x:c r="K738" s="6"/>
      <x:c r="L738" s="6"/>
      <x:c r="M738" s="6"/>
      <x:c r="N738" s="6"/>
      <x:c r="O738" s="6"/>
      <x:c r="P738" s="6"/>
      <x:c r="Q738" s="6"/>
      <x:c r="R738"/>
      <x:c r="S738"/>
      <x:c r="T738"/>
    </x:row>
    <x:row r="739" spans="1:20" ht="15.75" x14ac:dyDescent="0.25">
      <x:c r="A739"/>
      <x:c r="B739"/>
      <x:c r="C739"/>
      <x:c r="D739"/>
      <x:c r="E739" s="31"/>
      <x:c r="F739" s="8"/>
      <x:c r="G739" s="8"/>
      <x:c r="H739" s="6"/>
      <x:c r="I739" s="27"/>
      <x:c r="J739" s="6"/>
      <x:c r="K739" s="6"/>
      <x:c r="L739" s="6"/>
      <x:c r="M739" s="6"/>
      <x:c r="N739" s="6"/>
      <x:c r="O739" s="6"/>
      <x:c r="P739" s="6"/>
      <x:c r="Q739" s="6"/>
      <x:c r="R739"/>
      <x:c r="S739"/>
      <x:c r="T739"/>
    </x:row>
    <x:row r="740" spans="1:20" ht="15.75" x14ac:dyDescent="0.25">
      <x:c r="A740"/>
      <x:c r="B740"/>
      <x:c r="C740"/>
      <x:c r="D740"/>
      <x:c r="E740" s="31"/>
      <x:c r="F740" s="8"/>
      <x:c r="G740" s="8"/>
      <x:c r="H740" s="6"/>
      <x:c r="I740" s="27"/>
      <x:c r="J740" s="6"/>
      <x:c r="K740" s="6"/>
      <x:c r="L740" s="6"/>
      <x:c r="M740" s="6"/>
      <x:c r="N740" s="6"/>
      <x:c r="O740" s="6"/>
      <x:c r="P740" s="6"/>
      <x:c r="Q740" s="6"/>
      <x:c r="R740"/>
      <x:c r="S740"/>
      <x:c r="T740"/>
    </x:row>
    <x:row r="741" spans="1:20" ht="15.75" x14ac:dyDescent="0.25">
      <x:c r="A741"/>
      <x:c r="B741"/>
      <x:c r="C741"/>
      <x:c r="D741"/>
      <x:c r="E741" s="31"/>
      <x:c r="F741" s="8"/>
      <x:c r="G741" s="8"/>
      <x:c r="H741" s="6"/>
      <x:c r="I741" s="27"/>
      <x:c r="J741" s="6"/>
      <x:c r="K741" s="6"/>
      <x:c r="L741" s="6"/>
      <x:c r="M741" s="6"/>
      <x:c r="N741" s="6"/>
      <x:c r="O741" s="6"/>
      <x:c r="P741" s="6"/>
      <x:c r="Q741" s="6"/>
      <x:c r="R741"/>
      <x:c r="S741"/>
      <x:c r="T741"/>
    </x:row>
    <x:row r="742" spans="1:20" ht="15.75" x14ac:dyDescent="0.25">
      <x:c r="A742"/>
      <x:c r="B742"/>
      <x:c r="C742"/>
      <x:c r="D742"/>
      <x:c r="E742" s="31"/>
      <x:c r="F742" s="8"/>
      <x:c r="G742" s="8"/>
      <x:c r="H742" s="6"/>
      <x:c r="I742" s="27"/>
      <x:c r="J742" s="6"/>
      <x:c r="K742" s="6"/>
      <x:c r="L742" s="6"/>
      <x:c r="M742" s="6"/>
      <x:c r="N742" s="6"/>
      <x:c r="O742" s="6"/>
      <x:c r="P742" s="6"/>
      <x:c r="Q742" s="6"/>
      <x:c r="R742"/>
      <x:c r="S742"/>
      <x:c r="T742"/>
    </x:row>
    <x:row r="743" spans="1:20" ht="15.75" x14ac:dyDescent="0.25">
      <x:c r="A743"/>
      <x:c r="B743"/>
      <x:c r="C743"/>
      <x:c r="D743"/>
      <x:c r="E743" s="31"/>
      <x:c r="F743" s="8"/>
      <x:c r="G743" s="8"/>
      <x:c r="H743" s="6"/>
      <x:c r="I743" s="27"/>
      <x:c r="J743" s="6"/>
      <x:c r="K743" s="6"/>
      <x:c r="L743" s="6"/>
      <x:c r="M743" s="6"/>
      <x:c r="N743" s="6"/>
      <x:c r="O743" s="6"/>
      <x:c r="P743" s="6"/>
      <x:c r="Q743" s="6"/>
      <x:c r="R743"/>
      <x:c r="S743"/>
      <x:c r="T743"/>
    </x:row>
    <x:row r="744" spans="1:20" ht="15.75" x14ac:dyDescent="0.25">
      <x:c r="A744"/>
      <x:c r="B744"/>
      <x:c r="C744"/>
      <x:c r="D744"/>
      <x:c r="E744" s="31"/>
      <x:c r="F744" s="8"/>
      <x:c r="G744" s="8"/>
      <x:c r="H744" s="6"/>
      <x:c r="I744" s="27"/>
      <x:c r="J744" s="6"/>
      <x:c r="K744" s="6"/>
      <x:c r="L744" s="6"/>
      <x:c r="M744" s="6"/>
      <x:c r="N744" s="6"/>
      <x:c r="O744" s="6"/>
      <x:c r="P744" s="6"/>
      <x:c r="Q744" s="6"/>
      <x:c r="R744"/>
      <x:c r="S744"/>
      <x:c r="T744"/>
    </x:row>
    <x:row r="745" spans="1:20" ht="15.75" x14ac:dyDescent="0.25">
      <x:c r="A745"/>
      <x:c r="B745"/>
      <x:c r="C745"/>
      <x:c r="D745"/>
      <x:c r="E745" s="31"/>
      <x:c r="F745" s="8"/>
      <x:c r="G745" s="8"/>
      <x:c r="H745" s="6"/>
      <x:c r="I745" s="27"/>
      <x:c r="J745" s="6"/>
      <x:c r="K745" s="6"/>
      <x:c r="L745" s="6"/>
      <x:c r="M745" s="6"/>
      <x:c r="N745" s="6"/>
      <x:c r="O745" s="6"/>
      <x:c r="P745" s="6"/>
      <x:c r="Q745" s="6"/>
      <x:c r="R745"/>
      <x:c r="S745"/>
      <x:c r="T745"/>
    </x:row>
    <x:row r="746" spans="1:20" ht="15.75" x14ac:dyDescent="0.25">
      <x:c r="A746"/>
      <x:c r="B746"/>
      <x:c r="C746"/>
      <x:c r="D746"/>
      <x:c r="E746" s="31"/>
      <x:c r="F746" s="8"/>
      <x:c r="G746" s="8"/>
      <x:c r="H746" s="6"/>
      <x:c r="I746" s="27"/>
      <x:c r="J746" s="6"/>
      <x:c r="K746" s="6"/>
      <x:c r="L746" s="6"/>
      <x:c r="M746" s="6"/>
      <x:c r="N746" s="6"/>
      <x:c r="O746" s="6"/>
      <x:c r="P746" s="6"/>
      <x:c r="Q746" s="6"/>
      <x:c r="R746"/>
      <x:c r="S746"/>
      <x:c r="T746"/>
    </x:row>
    <x:row r="747" spans="1:20" ht="15.75" x14ac:dyDescent="0.25">
      <x:c r="A747"/>
      <x:c r="B747"/>
      <x:c r="C747"/>
      <x:c r="D747"/>
      <x:c r="E747" s="31"/>
      <x:c r="F747" s="8"/>
      <x:c r="G747" s="8"/>
      <x:c r="H747" s="6"/>
      <x:c r="I747" s="27"/>
      <x:c r="J747" s="6"/>
      <x:c r="K747" s="6"/>
      <x:c r="L747" s="6"/>
      <x:c r="M747" s="6"/>
      <x:c r="N747" s="6"/>
      <x:c r="O747" s="6"/>
      <x:c r="P747" s="6"/>
      <x:c r="Q747" s="6"/>
      <x:c r="R747"/>
      <x:c r="S747"/>
      <x:c r="T747"/>
    </x:row>
    <x:row r="748" spans="1:20" ht="15.75" x14ac:dyDescent="0.25">
      <x:c r="A748"/>
      <x:c r="B748"/>
      <x:c r="C748"/>
      <x:c r="D748"/>
      <x:c r="E748" s="31"/>
      <x:c r="F748" s="8"/>
      <x:c r="G748" s="8"/>
      <x:c r="H748" s="6"/>
      <x:c r="I748" s="27"/>
      <x:c r="J748" s="6"/>
      <x:c r="K748" s="6"/>
      <x:c r="L748" s="6"/>
      <x:c r="M748" s="6"/>
      <x:c r="N748" s="6"/>
      <x:c r="O748" s="6"/>
      <x:c r="P748" s="6"/>
      <x:c r="Q748" s="6"/>
      <x:c r="R748"/>
      <x:c r="S748"/>
      <x:c r="T748"/>
    </x:row>
    <x:row r="749" spans="1:20" ht="15.75" x14ac:dyDescent="0.25">
      <x:c r="A749"/>
      <x:c r="B749"/>
      <x:c r="C749"/>
      <x:c r="D749"/>
      <x:c r="E749" s="31"/>
      <x:c r="F749" s="8"/>
      <x:c r="G749" s="8"/>
      <x:c r="H749" s="6"/>
      <x:c r="I749" s="27"/>
      <x:c r="J749" s="6"/>
      <x:c r="K749" s="6"/>
      <x:c r="L749" s="6"/>
      <x:c r="M749" s="6"/>
      <x:c r="N749" s="6"/>
      <x:c r="O749" s="6"/>
      <x:c r="P749" s="6"/>
      <x:c r="Q749" s="6"/>
      <x:c r="R749"/>
      <x:c r="S749"/>
      <x:c r="T749"/>
    </x:row>
    <x:row r="750" spans="1:20" ht="15.75" x14ac:dyDescent="0.25">
      <x:c r="A750"/>
      <x:c r="B750"/>
      <x:c r="C750"/>
      <x:c r="D750"/>
      <x:c r="E750" s="31"/>
      <x:c r="F750" s="8"/>
      <x:c r="G750" s="8"/>
      <x:c r="H750" s="6"/>
      <x:c r="I750" s="27"/>
      <x:c r="J750" s="6"/>
      <x:c r="K750" s="6"/>
      <x:c r="L750" s="6"/>
      <x:c r="M750" s="6"/>
      <x:c r="N750" s="6"/>
      <x:c r="O750" s="6"/>
      <x:c r="P750" s="6"/>
      <x:c r="Q750" s="6"/>
      <x:c r="R750"/>
      <x:c r="S750"/>
      <x:c r="T750"/>
    </x:row>
    <x:row r="751" spans="1:20" ht="15.75" x14ac:dyDescent="0.25">
      <x:c r="A751"/>
      <x:c r="B751"/>
      <x:c r="C751"/>
      <x:c r="D751"/>
      <x:c r="E751" s="31"/>
      <x:c r="F751" s="8"/>
      <x:c r="G751" s="8"/>
      <x:c r="H751" s="6"/>
      <x:c r="I751" s="27"/>
      <x:c r="J751" s="6"/>
      <x:c r="K751" s="6"/>
      <x:c r="L751" s="6"/>
      <x:c r="M751" s="6"/>
      <x:c r="N751" s="6"/>
      <x:c r="O751" s="6"/>
      <x:c r="P751" s="6"/>
      <x:c r="Q751" s="6"/>
      <x:c r="R751"/>
      <x:c r="S751"/>
      <x:c r="T751"/>
    </x:row>
    <x:row r="752" spans="1:20" ht="15.75" x14ac:dyDescent="0.25">
      <x:c r="A752"/>
      <x:c r="B752"/>
      <x:c r="C752"/>
      <x:c r="D752"/>
      <x:c r="E752" s="31"/>
      <x:c r="F752" s="8"/>
      <x:c r="G752" s="8"/>
      <x:c r="H752" s="6"/>
      <x:c r="I752" s="27"/>
      <x:c r="J752" s="6"/>
      <x:c r="K752" s="6"/>
      <x:c r="L752" s="6"/>
      <x:c r="M752" s="6"/>
      <x:c r="N752" s="6"/>
      <x:c r="O752" s="6"/>
      <x:c r="P752" s="6"/>
      <x:c r="Q752" s="6"/>
      <x:c r="R752"/>
      <x:c r="S752"/>
      <x:c r="T752"/>
    </x:row>
    <x:row r="753" spans="1:20" ht="15.75" x14ac:dyDescent="0.25">
      <x:c r="A753"/>
      <x:c r="B753"/>
      <x:c r="C753"/>
      <x:c r="D753"/>
      <x:c r="E753" s="31"/>
      <x:c r="F753" s="8"/>
      <x:c r="G753" s="8"/>
      <x:c r="H753" s="6"/>
      <x:c r="I753" s="27"/>
      <x:c r="J753" s="6"/>
      <x:c r="K753" s="6"/>
      <x:c r="L753" s="6"/>
      <x:c r="M753" s="6"/>
      <x:c r="N753" s="6"/>
      <x:c r="O753" s="6"/>
      <x:c r="P753" s="6"/>
      <x:c r="Q753" s="6"/>
      <x:c r="R753"/>
      <x:c r="S753"/>
      <x:c r="T753"/>
    </x:row>
    <x:row r="754" spans="1:20" ht="15.75" x14ac:dyDescent="0.25">
      <x:c r="A754"/>
      <x:c r="B754"/>
      <x:c r="C754"/>
      <x:c r="D754"/>
      <x:c r="E754" s="31"/>
      <x:c r="F754" s="8"/>
      <x:c r="G754" s="8"/>
      <x:c r="H754" s="6"/>
      <x:c r="I754" s="27"/>
      <x:c r="J754" s="6"/>
      <x:c r="K754" s="6"/>
      <x:c r="L754" s="6"/>
      <x:c r="M754" s="6"/>
      <x:c r="N754" s="6"/>
      <x:c r="O754" s="6"/>
      <x:c r="P754" s="6"/>
      <x:c r="Q754" s="6"/>
      <x:c r="R754"/>
      <x:c r="S754"/>
      <x:c r="T754"/>
    </x:row>
    <x:row r="755" spans="1:20" ht="15.75" x14ac:dyDescent="0.25">
      <x:c r="A755"/>
      <x:c r="B755"/>
      <x:c r="C755"/>
      <x:c r="D755"/>
      <x:c r="E755" s="31"/>
      <x:c r="F755" s="8"/>
      <x:c r="G755" s="8"/>
      <x:c r="H755" s="6"/>
      <x:c r="I755" s="27"/>
      <x:c r="J755" s="6"/>
      <x:c r="K755" s="6"/>
      <x:c r="L755" s="6"/>
      <x:c r="M755" s="6"/>
      <x:c r="N755" s="6"/>
      <x:c r="O755" s="6"/>
      <x:c r="P755" s="6"/>
      <x:c r="Q755" s="6"/>
      <x:c r="R755"/>
      <x:c r="S755"/>
      <x:c r="T755"/>
    </x:row>
    <x:row r="756" spans="1:20" ht="15.75" x14ac:dyDescent="0.25">
      <x:c r="A756"/>
      <x:c r="B756"/>
      <x:c r="C756"/>
      <x:c r="D756"/>
      <x:c r="E756" s="31"/>
      <x:c r="F756" s="8"/>
      <x:c r="G756" s="8"/>
      <x:c r="H756" s="6"/>
      <x:c r="I756" s="27"/>
      <x:c r="J756" s="6"/>
      <x:c r="K756" s="6"/>
      <x:c r="L756" s="6"/>
      <x:c r="M756" s="6"/>
      <x:c r="N756" s="6"/>
      <x:c r="O756" s="6"/>
      <x:c r="P756" s="6"/>
      <x:c r="Q756" s="6"/>
      <x:c r="R756"/>
      <x:c r="S756"/>
      <x:c r="T756"/>
    </x:row>
    <x:row r="757" spans="1:20" ht="15.75" x14ac:dyDescent="0.25">
      <x:c r="A757"/>
      <x:c r="B757"/>
      <x:c r="C757"/>
      <x:c r="D757"/>
      <x:c r="E757" s="31"/>
      <x:c r="F757" s="8"/>
      <x:c r="G757" s="8"/>
      <x:c r="H757" s="6"/>
      <x:c r="I757" s="27"/>
      <x:c r="J757" s="6"/>
      <x:c r="K757" s="6"/>
      <x:c r="L757" s="6"/>
      <x:c r="M757" s="6"/>
      <x:c r="N757" s="6"/>
      <x:c r="O757" s="6"/>
      <x:c r="P757" s="6"/>
      <x:c r="Q757" s="6"/>
      <x:c r="R757"/>
      <x:c r="S757"/>
      <x:c r="T757"/>
    </x:row>
    <x:row r="758" spans="1:20" ht="15.75" x14ac:dyDescent="0.25">
      <x:c r="A758"/>
      <x:c r="B758"/>
      <x:c r="C758"/>
      <x:c r="D758"/>
      <x:c r="E758" s="31"/>
      <x:c r="F758" s="8"/>
      <x:c r="G758" s="8"/>
      <x:c r="H758" s="6"/>
      <x:c r="I758" s="27"/>
      <x:c r="J758" s="6"/>
      <x:c r="K758" s="6"/>
      <x:c r="L758" s="6"/>
      <x:c r="M758" s="6"/>
      <x:c r="N758" s="6"/>
      <x:c r="O758" s="6"/>
      <x:c r="P758" s="6"/>
      <x:c r="Q758" s="6"/>
      <x:c r="R758"/>
      <x:c r="S758"/>
      <x:c r="T758"/>
    </x:row>
    <x:row r="759" spans="1:20" ht="15.75" x14ac:dyDescent="0.25">
      <x:c r="A759"/>
      <x:c r="B759"/>
      <x:c r="C759"/>
      <x:c r="D759"/>
      <x:c r="E759" s="31"/>
      <x:c r="F759" s="8"/>
      <x:c r="G759" s="8"/>
      <x:c r="H759" s="6"/>
      <x:c r="I759" s="27"/>
      <x:c r="J759" s="6"/>
      <x:c r="K759" s="6"/>
      <x:c r="L759" s="6"/>
      <x:c r="M759" s="6"/>
      <x:c r="N759" s="6"/>
      <x:c r="O759" s="6"/>
      <x:c r="P759" s="6"/>
      <x:c r="Q759" s="6"/>
      <x:c r="R759"/>
      <x:c r="S759"/>
      <x:c r="T759"/>
    </x:row>
    <x:row r="760" spans="1:20" ht="15.75" x14ac:dyDescent="0.25">
      <x:c r="A760"/>
      <x:c r="B760"/>
      <x:c r="C760"/>
      <x:c r="D760"/>
      <x:c r="E760" s="31"/>
      <x:c r="F760" s="8"/>
      <x:c r="G760" s="8"/>
      <x:c r="H760" s="6"/>
      <x:c r="I760" s="27"/>
      <x:c r="J760" s="6"/>
      <x:c r="K760" s="6"/>
      <x:c r="L760" s="6"/>
      <x:c r="M760" s="6"/>
      <x:c r="N760" s="6"/>
      <x:c r="O760" s="6"/>
      <x:c r="P760" s="6"/>
      <x:c r="Q760" s="6"/>
      <x:c r="R760"/>
      <x:c r="S760"/>
      <x:c r="T760"/>
    </x:row>
    <x:row r="761" spans="1:20" ht="15.75" x14ac:dyDescent="0.25">
      <x:c r="A761"/>
      <x:c r="B761"/>
      <x:c r="C761"/>
      <x:c r="D761"/>
      <x:c r="E761" s="31"/>
      <x:c r="F761" s="8"/>
      <x:c r="G761" s="8"/>
      <x:c r="H761" s="6"/>
      <x:c r="I761" s="27"/>
      <x:c r="J761" s="6"/>
      <x:c r="K761" s="6"/>
      <x:c r="L761" s="6"/>
      <x:c r="M761" s="6"/>
      <x:c r="N761" s="6"/>
      <x:c r="O761" s="6"/>
      <x:c r="P761" s="6"/>
      <x:c r="Q761" s="6"/>
      <x:c r="R761"/>
      <x:c r="S761"/>
      <x:c r="T761"/>
    </x:row>
    <x:row r="762" spans="1:20" ht="15.75" x14ac:dyDescent="0.25">
      <x:c r="A762"/>
      <x:c r="B762"/>
      <x:c r="C762"/>
      <x:c r="D762"/>
      <x:c r="E762" s="31"/>
      <x:c r="F762" s="8"/>
      <x:c r="G762" s="8"/>
      <x:c r="H762" s="6"/>
      <x:c r="I762" s="27"/>
      <x:c r="J762" s="6"/>
      <x:c r="K762" s="6"/>
      <x:c r="L762" s="6"/>
      <x:c r="M762" s="6"/>
      <x:c r="N762" s="6"/>
      <x:c r="O762" s="6"/>
      <x:c r="P762" s="6"/>
      <x:c r="Q762" s="6"/>
      <x:c r="R762"/>
      <x:c r="S762"/>
      <x:c r="T762"/>
    </x:row>
    <x:row r="763" spans="1:20" ht="15.75" x14ac:dyDescent="0.25">
      <x:c r="A763"/>
      <x:c r="B763"/>
      <x:c r="C763"/>
      <x:c r="D763"/>
      <x:c r="E763" s="31"/>
      <x:c r="F763" s="8"/>
      <x:c r="G763" s="8"/>
      <x:c r="H763" s="6"/>
      <x:c r="I763" s="27"/>
      <x:c r="J763" s="6"/>
      <x:c r="K763" s="6"/>
      <x:c r="L763" s="6"/>
      <x:c r="M763" s="6"/>
      <x:c r="N763" s="6"/>
      <x:c r="O763" s="6"/>
      <x:c r="P763" s="6"/>
      <x:c r="Q763" s="6"/>
      <x:c r="R763"/>
      <x:c r="S763"/>
      <x:c r="T763"/>
    </x:row>
    <x:row r="764" spans="1:20" ht="15.75" x14ac:dyDescent="0.25">
      <x:c r="A764"/>
      <x:c r="B764"/>
      <x:c r="C764"/>
      <x:c r="D764"/>
      <x:c r="E764" s="31"/>
      <x:c r="F764" s="8"/>
      <x:c r="G764" s="8"/>
      <x:c r="H764" s="6"/>
      <x:c r="I764" s="27"/>
      <x:c r="J764" s="6"/>
      <x:c r="K764" s="6"/>
      <x:c r="L764" s="6"/>
      <x:c r="M764" s="6"/>
      <x:c r="N764" s="6"/>
      <x:c r="O764" s="6"/>
      <x:c r="P764" s="6"/>
      <x:c r="Q764" s="6"/>
      <x:c r="R764"/>
      <x:c r="S764"/>
      <x:c r="T764"/>
    </x:row>
    <x:row r="765" spans="1:20" ht="15.75" x14ac:dyDescent="0.25">
      <x:c r="A765"/>
      <x:c r="B765"/>
      <x:c r="C765"/>
      <x:c r="D765"/>
      <x:c r="E765" s="31"/>
      <x:c r="F765" s="8"/>
      <x:c r="G765" s="8"/>
      <x:c r="H765" s="6"/>
      <x:c r="I765" s="27"/>
      <x:c r="J765" s="6"/>
      <x:c r="K765" s="6"/>
      <x:c r="L765" s="6"/>
      <x:c r="M765" s="6"/>
      <x:c r="N765" s="6"/>
      <x:c r="O765" s="6"/>
      <x:c r="P765" s="6"/>
      <x:c r="Q765" s="6"/>
      <x:c r="R765"/>
      <x:c r="S765"/>
      <x:c r="T765"/>
    </x:row>
    <x:row r="766" spans="1:20" ht="15.75" x14ac:dyDescent="0.25">
      <x:c r="A766"/>
      <x:c r="B766"/>
      <x:c r="C766"/>
      <x:c r="D766"/>
      <x:c r="E766" s="31"/>
      <x:c r="F766" s="8"/>
      <x:c r="G766" s="8"/>
      <x:c r="H766" s="6"/>
      <x:c r="I766" s="27"/>
      <x:c r="J766" s="6"/>
      <x:c r="K766" s="6"/>
      <x:c r="L766" s="6"/>
      <x:c r="M766" s="6"/>
      <x:c r="N766" s="6"/>
      <x:c r="O766" s="6"/>
      <x:c r="P766" s="6"/>
      <x:c r="Q766" s="6"/>
      <x:c r="R766"/>
      <x:c r="S766"/>
      <x:c r="T766"/>
    </x:row>
    <x:row r="767" spans="1:20" ht="15.75" x14ac:dyDescent="0.25">
      <x:c r="A767"/>
      <x:c r="B767"/>
      <x:c r="C767"/>
      <x:c r="D767"/>
      <x:c r="E767" s="31"/>
      <x:c r="F767" s="8"/>
      <x:c r="G767" s="8"/>
      <x:c r="H767" s="6"/>
      <x:c r="I767" s="27"/>
      <x:c r="J767" s="6"/>
      <x:c r="K767" s="6"/>
      <x:c r="L767" s="6"/>
      <x:c r="M767" s="6"/>
      <x:c r="N767" s="6"/>
      <x:c r="O767" s="6"/>
      <x:c r="P767" s="6"/>
      <x:c r="Q767" s="6"/>
      <x:c r="R767"/>
      <x:c r="S767"/>
      <x:c r="T767"/>
    </x:row>
    <x:row r="768" spans="1:20" ht="15.75" x14ac:dyDescent="0.25">
      <x:c r="A768"/>
      <x:c r="B768"/>
      <x:c r="C768"/>
      <x:c r="D768"/>
      <x:c r="E768" s="31"/>
      <x:c r="F768" s="8"/>
      <x:c r="G768" s="8"/>
      <x:c r="H768" s="6"/>
      <x:c r="I768" s="27"/>
      <x:c r="J768" s="6"/>
      <x:c r="K768" s="6"/>
      <x:c r="L768" s="6"/>
      <x:c r="M768" s="6"/>
      <x:c r="N768" s="6"/>
      <x:c r="O768" s="6"/>
      <x:c r="P768" s="6"/>
      <x:c r="Q768" s="6"/>
      <x:c r="R768"/>
      <x:c r="S768"/>
      <x:c r="T768"/>
    </x:row>
    <x:row r="769" spans="1:20" ht="15.75" x14ac:dyDescent="0.25">
      <x:c r="A769"/>
      <x:c r="B769"/>
      <x:c r="C769"/>
      <x:c r="D769"/>
      <x:c r="E769" s="31"/>
      <x:c r="F769" s="8"/>
      <x:c r="G769" s="8"/>
      <x:c r="H769" s="6"/>
      <x:c r="I769" s="27"/>
      <x:c r="J769" s="6"/>
      <x:c r="K769" s="6"/>
      <x:c r="L769" s="6"/>
      <x:c r="M769" s="6"/>
      <x:c r="N769" s="6"/>
      <x:c r="O769" s="6"/>
      <x:c r="P769" s="6"/>
      <x:c r="Q769" s="6"/>
      <x:c r="R769"/>
      <x:c r="S769"/>
      <x:c r="T769"/>
    </x:row>
    <x:row r="770" spans="1:20" ht="15.75" x14ac:dyDescent="0.25">
      <x:c r="A770"/>
      <x:c r="B770"/>
      <x:c r="C770"/>
      <x:c r="D770"/>
      <x:c r="E770" s="31"/>
      <x:c r="F770" s="8"/>
      <x:c r="G770" s="8"/>
      <x:c r="H770" s="6"/>
      <x:c r="I770" s="27"/>
      <x:c r="J770" s="6"/>
      <x:c r="K770" s="6"/>
      <x:c r="L770" s="6"/>
      <x:c r="M770" s="6"/>
      <x:c r="N770" s="6"/>
      <x:c r="O770" s="6"/>
      <x:c r="P770" s="6"/>
      <x:c r="Q770" s="6"/>
      <x:c r="R770"/>
      <x:c r="S770"/>
      <x:c r="T770"/>
    </x:row>
    <x:row r="771" spans="1:20" ht="15.75" x14ac:dyDescent="0.25">
      <x:c r="A771"/>
      <x:c r="B771"/>
      <x:c r="C771"/>
      <x:c r="D771"/>
      <x:c r="E771" s="31"/>
      <x:c r="F771" s="8"/>
      <x:c r="G771" s="8"/>
      <x:c r="H771" s="6"/>
      <x:c r="I771" s="27"/>
      <x:c r="J771" s="6"/>
      <x:c r="K771" s="6"/>
      <x:c r="L771" s="6"/>
      <x:c r="M771" s="6"/>
      <x:c r="N771" s="6"/>
      <x:c r="O771" s="6"/>
      <x:c r="P771" s="6"/>
      <x:c r="Q771" s="6"/>
      <x:c r="R771"/>
      <x:c r="S771"/>
      <x:c r="T771"/>
    </x:row>
    <x:row r="772" spans="1:20" ht="15.75" x14ac:dyDescent="0.25">
      <x:c r="A772"/>
      <x:c r="B772"/>
      <x:c r="C772"/>
      <x:c r="D772"/>
      <x:c r="E772" s="31"/>
      <x:c r="F772" s="8"/>
      <x:c r="G772" s="8"/>
      <x:c r="H772" s="6"/>
      <x:c r="I772" s="27"/>
      <x:c r="J772" s="6"/>
      <x:c r="K772" s="6"/>
      <x:c r="L772" s="6"/>
      <x:c r="M772" s="6"/>
      <x:c r="N772" s="6"/>
      <x:c r="O772" s="6"/>
      <x:c r="P772" s="6"/>
      <x:c r="Q772" s="6"/>
      <x:c r="R772"/>
      <x:c r="S772"/>
      <x:c r="T772"/>
    </x:row>
    <x:row r="773" spans="1:20" ht="15.75" x14ac:dyDescent="0.25">
      <x:c r="A773"/>
      <x:c r="B773"/>
      <x:c r="C773"/>
      <x:c r="D773"/>
      <x:c r="E773" s="31"/>
      <x:c r="F773" s="8"/>
      <x:c r="G773" s="8"/>
      <x:c r="H773" s="6"/>
      <x:c r="I773" s="27"/>
      <x:c r="J773" s="6"/>
      <x:c r="K773" s="6"/>
      <x:c r="L773" s="6"/>
      <x:c r="M773" s="6"/>
      <x:c r="N773" s="6"/>
      <x:c r="O773" s="6"/>
      <x:c r="P773" s="6"/>
      <x:c r="Q773" s="6"/>
      <x:c r="R773"/>
      <x:c r="S773"/>
      <x:c r="T773"/>
    </x:row>
    <x:row r="774" spans="1:20" ht="15.75" x14ac:dyDescent="0.25">
      <x:c r="A774"/>
      <x:c r="B774"/>
      <x:c r="C774"/>
      <x:c r="D774"/>
      <x:c r="E774" s="31"/>
      <x:c r="F774" s="8"/>
      <x:c r="G774" s="8"/>
      <x:c r="H774" s="6"/>
      <x:c r="I774" s="27"/>
      <x:c r="J774" s="6"/>
      <x:c r="K774" s="6"/>
      <x:c r="L774" s="6"/>
      <x:c r="M774" s="6"/>
      <x:c r="N774" s="6"/>
      <x:c r="O774" s="6"/>
      <x:c r="P774" s="6"/>
      <x:c r="Q774" s="6"/>
      <x:c r="R774"/>
      <x:c r="S774"/>
      <x:c r="T774"/>
    </x:row>
    <x:row r="775" spans="1:20" ht="15.75" x14ac:dyDescent="0.25">
      <x:c r="A775"/>
      <x:c r="B775"/>
      <x:c r="C775"/>
      <x:c r="D775"/>
      <x:c r="E775" s="31"/>
      <x:c r="F775" s="8"/>
      <x:c r="G775" s="8"/>
      <x:c r="H775" s="6"/>
      <x:c r="I775" s="27"/>
      <x:c r="J775" s="6"/>
      <x:c r="K775" s="6"/>
      <x:c r="L775" s="6"/>
      <x:c r="M775" s="6"/>
      <x:c r="N775" s="6"/>
      <x:c r="O775" s="6"/>
      <x:c r="P775" s="6"/>
      <x:c r="Q775" s="6"/>
      <x:c r="R775"/>
      <x:c r="S775"/>
      <x:c r="T775"/>
    </x:row>
    <x:row r="776" spans="1:20" ht="15.75" x14ac:dyDescent="0.25">
      <x:c r="A776"/>
      <x:c r="B776"/>
      <x:c r="C776"/>
      <x:c r="D776"/>
      <x:c r="E776" s="31"/>
      <x:c r="F776" s="8"/>
      <x:c r="G776" s="8"/>
      <x:c r="H776" s="6"/>
      <x:c r="I776" s="27"/>
      <x:c r="J776" s="6"/>
      <x:c r="K776" s="6"/>
      <x:c r="L776" s="6"/>
      <x:c r="M776" s="6"/>
      <x:c r="N776" s="6"/>
      <x:c r="O776" s="6"/>
      <x:c r="P776" s="6"/>
      <x:c r="Q776" s="6"/>
      <x:c r="R776"/>
      <x:c r="S776"/>
      <x:c r="T776"/>
    </x:row>
    <x:row r="777" spans="1:20" ht="15.75" x14ac:dyDescent="0.25">
      <x:c r="A777"/>
      <x:c r="B777"/>
      <x:c r="C777"/>
      <x:c r="D777"/>
      <x:c r="E777" s="31"/>
      <x:c r="F777" s="8"/>
      <x:c r="G777" s="8"/>
      <x:c r="H777" s="6"/>
      <x:c r="I777" s="27"/>
      <x:c r="J777" s="6"/>
      <x:c r="K777" s="6"/>
      <x:c r="L777" s="6"/>
      <x:c r="M777" s="6"/>
      <x:c r="N777" s="6"/>
      <x:c r="O777" s="6"/>
      <x:c r="P777" s="6"/>
      <x:c r="Q777" s="6"/>
      <x:c r="R777"/>
      <x:c r="S777"/>
      <x:c r="T777"/>
    </x:row>
    <x:row r="778" spans="1:20" ht="15.75" x14ac:dyDescent="0.25">
      <x:c r="A778"/>
      <x:c r="B778"/>
      <x:c r="C778"/>
      <x:c r="D778"/>
      <x:c r="E778" s="31"/>
      <x:c r="F778" s="8"/>
      <x:c r="G778" s="8"/>
      <x:c r="H778" s="6"/>
      <x:c r="I778" s="27"/>
      <x:c r="J778" s="6"/>
      <x:c r="K778" s="6"/>
      <x:c r="L778" s="6"/>
      <x:c r="M778" s="6"/>
      <x:c r="N778" s="6"/>
      <x:c r="O778" s="6"/>
      <x:c r="P778" s="6"/>
      <x:c r="Q778" s="6"/>
      <x:c r="R778"/>
      <x:c r="S778"/>
      <x:c r="T778"/>
    </x:row>
    <x:row r="779" spans="1:20" ht="15.75" x14ac:dyDescent="0.25">
      <x:c r="A779"/>
      <x:c r="B779"/>
      <x:c r="C779"/>
      <x:c r="D779"/>
      <x:c r="E779" s="31"/>
      <x:c r="F779" s="8"/>
      <x:c r="G779" s="8"/>
      <x:c r="H779" s="6"/>
      <x:c r="I779" s="27"/>
      <x:c r="J779" s="6"/>
      <x:c r="K779" s="6"/>
      <x:c r="L779" s="6"/>
      <x:c r="M779" s="6"/>
      <x:c r="N779" s="6"/>
      <x:c r="O779" s="6"/>
      <x:c r="P779" s="6"/>
      <x:c r="Q779" s="6"/>
      <x:c r="R779"/>
      <x:c r="S779"/>
      <x:c r="T779"/>
    </x:row>
    <x:row r="780" spans="1:20" ht="15.75" x14ac:dyDescent="0.25">
      <x:c r="A780"/>
      <x:c r="B780"/>
      <x:c r="C780"/>
      <x:c r="D780"/>
      <x:c r="E780" s="31"/>
      <x:c r="F780" s="8"/>
      <x:c r="G780" s="8"/>
      <x:c r="H780" s="6"/>
      <x:c r="I780" s="27"/>
      <x:c r="J780" s="6"/>
      <x:c r="K780" s="6"/>
      <x:c r="L780" s="6"/>
      <x:c r="M780" s="6"/>
      <x:c r="N780" s="6"/>
      <x:c r="O780" s="6"/>
      <x:c r="P780" s="6"/>
      <x:c r="Q780" s="6"/>
      <x:c r="R780"/>
      <x:c r="S780"/>
      <x:c r="T780"/>
    </x:row>
    <x:row r="781" spans="1:20" ht="15.75" x14ac:dyDescent="0.25">
      <x:c r="A781"/>
      <x:c r="B781"/>
      <x:c r="C781"/>
      <x:c r="D781"/>
      <x:c r="E781" s="31"/>
      <x:c r="F781" s="8"/>
      <x:c r="G781" s="8"/>
      <x:c r="H781" s="6"/>
      <x:c r="I781" s="27"/>
      <x:c r="J781" s="6"/>
      <x:c r="K781" s="6"/>
      <x:c r="L781" s="6"/>
      <x:c r="M781" s="6"/>
      <x:c r="N781" s="6"/>
      <x:c r="O781" s="6"/>
      <x:c r="P781" s="6"/>
      <x:c r="Q781" s="6"/>
      <x:c r="R781"/>
      <x:c r="S781"/>
      <x:c r="T781"/>
    </x:row>
    <x:row r="782" spans="1:20" ht="15.75" x14ac:dyDescent="0.25">
      <x:c r="A782"/>
      <x:c r="B782"/>
      <x:c r="C782"/>
      <x:c r="D782"/>
      <x:c r="E782" s="31"/>
      <x:c r="F782" s="8"/>
      <x:c r="G782" s="8"/>
      <x:c r="H782" s="6"/>
      <x:c r="I782" s="27"/>
      <x:c r="J782" s="6"/>
      <x:c r="K782" s="6"/>
      <x:c r="L782" s="6"/>
      <x:c r="M782" s="6"/>
      <x:c r="N782" s="6"/>
      <x:c r="O782" s="6"/>
      <x:c r="P782" s="6"/>
      <x:c r="Q782" s="6"/>
      <x:c r="R782"/>
      <x:c r="S782"/>
      <x:c r="T782"/>
    </x:row>
    <x:row r="783" spans="1:20" ht="15.75" x14ac:dyDescent="0.25">
      <x:c r="A783"/>
      <x:c r="B783"/>
      <x:c r="C783"/>
      <x:c r="D783"/>
      <x:c r="E783" s="31"/>
      <x:c r="F783" s="8"/>
      <x:c r="G783" s="8"/>
      <x:c r="H783" s="6"/>
      <x:c r="I783" s="27"/>
      <x:c r="J783" s="6"/>
      <x:c r="K783" s="6"/>
      <x:c r="L783" s="6"/>
      <x:c r="M783" s="6"/>
      <x:c r="N783" s="6"/>
      <x:c r="O783" s="6"/>
      <x:c r="P783" s="6"/>
      <x:c r="Q783" s="6"/>
      <x:c r="R783"/>
      <x:c r="S783"/>
      <x:c r="T783"/>
    </x:row>
    <x:row r="784" spans="1:20" ht="15.75" x14ac:dyDescent="0.25">
      <x:c r="A784"/>
      <x:c r="B784"/>
      <x:c r="C784"/>
      <x:c r="D784"/>
      <x:c r="E784" s="31"/>
      <x:c r="F784" s="8"/>
      <x:c r="G784" s="8"/>
      <x:c r="H784" s="6"/>
      <x:c r="I784" s="27"/>
      <x:c r="J784" s="6"/>
      <x:c r="K784" s="6"/>
      <x:c r="L784" s="6"/>
      <x:c r="M784" s="6"/>
      <x:c r="N784" s="6"/>
      <x:c r="O784" s="6"/>
      <x:c r="P784" s="6"/>
      <x:c r="Q784" s="6"/>
      <x:c r="R784"/>
      <x:c r="S784"/>
      <x:c r="T784"/>
    </x:row>
    <x:row r="785" spans="1:20" ht="15.75" x14ac:dyDescent="0.25">
      <x:c r="A785"/>
      <x:c r="B785"/>
      <x:c r="C785"/>
      <x:c r="D785"/>
      <x:c r="E785" s="31"/>
      <x:c r="F785" s="8"/>
      <x:c r="G785" s="8"/>
      <x:c r="H785" s="6"/>
      <x:c r="I785" s="27"/>
      <x:c r="J785" s="6"/>
      <x:c r="K785" s="6"/>
      <x:c r="L785" s="6"/>
      <x:c r="M785" s="6"/>
      <x:c r="N785" s="6"/>
      <x:c r="O785" s="6"/>
      <x:c r="P785" s="6"/>
      <x:c r="Q785" s="6"/>
      <x:c r="R785"/>
      <x:c r="S785"/>
      <x:c r="T785"/>
    </x:row>
    <x:row r="786" spans="1:20" ht="15.75" x14ac:dyDescent="0.25">
      <x:c r="A786"/>
      <x:c r="B786"/>
      <x:c r="C786"/>
      <x:c r="D786"/>
      <x:c r="E786" s="31"/>
      <x:c r="F786" s="8"/>
      <x:c r="G786" s="8"/>
      <x:c r="H786" s="6"/>
      <x:c r="I786" s="27"/>
      <x:c r="J786" s="6"/>
      <x:c r="K786" s="6"/>
      <x:c r="L786" s="6"/>
      <x:c r="M786" s="6"/>
      <x:c r="N786" s="6"/>
      <x:c r="O786" s="6"/>
      <x:c r="P786" s="6"/>
      <x:c r="Q786" s="6"/>
      <x:c r="R786"/>
      <x:c r="S786"/>
      <x:c r="T786"/>
    </x:row>
    <x:row r="787" spans="1:20" ht="15.75" x14ac:dyDescent="0.25">
      <x:c r="A787"/>
      <x:c r="B787"/>
      <x:c r="C787"/>
      <x:c r="D787"/>
      <x:c r="E787" s="31"/>
      <x:c r="F787" s="8"/>
      <x:c r="G787" s="8"/>
      <x:c r="H787" s="6"/>
      <x:c r="I787" s="27"/>
      <x:c r="J787" s="6"/>
      <x:c r="K787" s="6"/>
      <x:c r="L787" s="6"/>
      <x:c r="M787" s="6"/>
      <x:c r="N787" s="6"/>
      <x:c r="O787" s="6"/>
      <x:c r="P787" s="6"/>
      <x:c r="Q787" s="6"/>
      <x:c r="R787"/>
      <x:c r="S787"/>
      <x:c r="T787"/>
    </x:row>
    <x:row r="788" spans="1:20" ht="15.75" x14ac:dyDescent="0.25">
      <x:c r="A788"/>
      <x:c r="B788"/>
      <x:c r="C788"/>
      <x:c r="D788"/>
      <x:c r="E788" s="31"/>
      <x:c r="F788" s="8"/>
      <x:c r="G788" s="8"/>
      <x:c r="H788" s="6"/>
      <x:c r="I788" s="27"/>
      <x:c r="J788" s="6"/>
      <x:c r="K788" s="6"/>
      <x:c r="L788" s="6"/>
      <x:c r="M788" s="6"/>
      <x:c r="N788" s="6"/>
      <x:c r="O788" s="6"/>
      <x:c r="P788" s="6"/>
      <x:c r="Q788" s="6"/>
      <x:c r="R788"/>
      <x:c r="S788"/>
      <x:c r="T788"/>
    </x:row>
    <x:row r="789" spans="1:20" ht="15.75" x14ac:dyDescent="0.25">
      <x:c r="A789"/>
      <x:c r="B789"/>
      <x:c r="C789"/>
      <x:c r="D789"/>
      <x:c r="E789" s="31"/>
      <x:c r="F789" s="8"/>
      <x:c r="G789" s="8"/>
      <x:c r="H789" s="6"/>
      <x:c r="I789" s="27"/>
      <x:c r="J789" s="6"/>
      <x:c r="K789" s="6"/>
      <x:c r="L789" s="6"/>
      <x:c r="M789" s="6"/>
      <x:c r="N789" s="6"/>
      <x:c r="O789" s="6"/>
      <x:c r="P789" s="6"/>
      <x:c r="Q789" s="6"/>
      <x:c r="R789"/>
      <x:c r="S789"/>
      <x:c r="T789"/>
    </x:row>
    <x:row r="790" spans="1:20" ht="15.75" x14ac:dyDescent="0.25">
      <x:c r="A790"/>
      <x:c r="B790"/>
      <x:c r="C790"/>
      <x:c r="D790"/>
      <x:c r="E790" s="31"/>
      <x:c r="F790" s="8"/>
      <x:c r="G790" s="8"/>
      <x:c r="H790" s="6"/>
      <x:c r="I790" s="27"/>
      <x:c r="J790" s="6"/>
      <x:c r="K790" s="6"/>
      <x:c r="L790" s="6"/>
      <x:c r="M790" s="6"/>
      <x:c r="N790" s="6"/>
      <x:c r="O790" s="6"/>
      <x:c r="P790" s="6"/>
      <x:c r="Q790" s="6"/>
      <x:c r="R790"/>
      <x:c r="S790"/>
      <x:c r="T790"/>
    </x:row>
    <x:row r="791" spans="1:20" ht="15.75" x14ac:dyDescent="0.25">
      <x:c r="A791"/>
      <x:c r="B791"/>
      <x:c r="C791"/>
      <x:c r="D791"/>
      <x:c r="E791" s="31"/>
      <x:c r="F791" s="8"/>
      <x:c r="G791" s="8"/>
      <x:c r="H791" s="6"/>
      <x:c r="I791" s="27"/>
      <x:c r="J791" s="6"/>
      <x:c r="K791" s="6"/>
      <x:c r="L791" s="6"/>
      <x:c r="M791" s="6"/>
      <x:c r="N791" s="6"/>
      <x:c r="O791" s="6"/>
      <x:c r="P791" s="6"/>
      <x:c r="Q791" s="6"/>
      <x:c r="R791"/>
      <x:c r="S791"/>
      <x:c r="T791"/>
    </x:row>
    <x:row r="792" spans="1:20" ht="15.75" x14ac:dyDescent="0.25">
      <x:c r="A792"/>
      <x:c r="B792"/>
      <x:c r="C792"/>
      <x:c r="D792"/>
      <x:c r="E792" s="31"/>
      <x:c r="F792" s="8"/>
      <x:c r="G792" s="8"/>
      <x:c r="H792" s="6"/>
      <x:c r="I792" s="27"/>
      <x:c r="J792" s="6"/>
      <x:c r="K792" s="6"/>
      <x:c r="L792" s="6"/>
      <x:c r="M792" s="6"/>
      <x:c r="N792" s="6"/>
      <x:c r="O792" s="6"/>
      <x:c r="P792" s="6"/>
      <x:c r="Q792" s="6"/>
      <x:c r="R792"/>
      <x:c r="S792"/>
      <x:c r="T792"/>
    </x:row>
    <x:row r="793" spans="1:20" ht="15.75" x14ac:dyDescent="0.25">
      <x:c r="A793"/>
      <x:c r="B793"/>
      <x:c r="C793"/>
      <x:c r="D793"/>
      <x:c r="E793" s="31"/>
      <x:c r="F793" s="8"/>
      <x:c r="G793" s="8"/>
      <x:c r="H793" s="6"/>
      <x:c r="I793" s="27"/>
      <x:c r="J793" s="6"/>
      <x:c r="K793" s="6"/>
      <x:c r="L793" s="6"/>
      <x:c r="M793" s="6"/>
      <x:c r="N793" s="6"/>
      <x:c r="O793" s="6"/>
      <x:c r="P793" s="6"/>
      <x:c r="Q793" s="6"/>
      <x:c r="R793"/>
      <x:c r="S793"/>
      <x:c r="T793"/>
    </x:row>
    <x:row r="794" spans="1:20" ht="15.75" x14ac:dyDescent="0.25">
      <x:c r="A794"/>
      <x:c r="B794"/>
      <x:c r="C794"/>
      <x:c r="D794"/>
      <x:c r="E794" s="31"/>
      <x:c r="F794" s="8"/>
      <x:c r="G794" s="8"/>
      <x:c r="H794" s="6"/>
      <x:c r="I794" s="27"/>
      <x:c r="J794" s="6"/>
      <x:c r="K794" s="6"/>
      <x:c r="L794" s="6"/>
      <x:c r="M794" s="6"/>
      <x:c r="N794" s="6"/>
      <x:c r="O794" s="6"/>
      <x:c r="P794" s="6"/>
      <x:c r="Q794" s="6"/>
      <x:c r="R794"/>
      <x:c r="S794"/>
      <x:c r="T794"/>
    </x:row>
    <x:row r="795" spans="1:20" ht="15.75" x14ac:dyDescent="0.25">
      <x:c r="A795"/>
      <x:c r="B795"/>
      <x:c r="C795"/>
      <x:c r="D795"/>
      <x:c r="E795" s="31"/>
      <x:c r="F795" s="8"/>
      <x:c r="G795" s="8"/>
      <x:c r="H795" s="6"/>
      <x:c r="I795" s="27"/>
      <x:c r="J795" s="6"/>
      <x:c r="K795" s="6"/>
      <x:c r="L795" s="6"/>
      <x:c r="M795" s="6"/>
      <x:c r="N795" s="6"/>
      <x:c r="O795" s="6"/>
      <x:c r="P795" s="6"/>
      <x:c r="Q795" s="6"/>
      <x:c r="R795"/>
      <x:c r="S795"/>
      <x:c r="T795"/>
    </x:row>
    <x:row r="796" spans="1:20" ht="15.75" x14ac:dyDescent="0.25">
      <x:c r="A796"/>
      <x:c r="B796"/>
      <x:c r="C796"/>
      <x:c r="D796"/>
      <x:c r="E796" s="31"/>
      <x:c r="F796" s="8"/>
      <x:c r="G796" s="8"/>
      <x:c r="H796" s="6"/>
      <x:c r="I796" s="27"/>
      <x:c r="J796" s="6"/>
      <x:c r="K796" s="6"/>
      <x:c r="L796" s="6"/>
      <x:c r="M796" s="6"/>
      <x:c r="N796" s="6"/>
      <x:c r="O796" s="6"/>
      <x:c r="P796" s="6"/>
      <x:c r="Q796" s="6"/>
      <x:c r="R796"/>
      <x:c r="S796"/>
      <x:c r="T796"/>
    </x:row>
    <x:row r="797" spans="1:20" ht="15.75" x14ac:dyDescent="0.25">
      <x:c r="A797"/>
      <x:c r="B797"/>
      <x:c r="C797"/>
      <x:c r="D797"/>
      <x:c r="E797" s="31"/>
      <x:c r="F797" s="8"/>
      <x:c r="G797" s="8"/>
      <x:c r="H797" s="6"/>
      <x:c r="I797" s="27"/>
      <x:c r="J797" s="6"/>
      <x:c r="K797" s="6"/>
      <x:c r="L797" s="6"/>
      <x:c r="M797" s="6"/>
      <x:c r="N797" s="6"/>
      <x:c r="O797" s="6"/>
      <x:c r="P797" s="6"/>
      <x:c r="Q797" s="6"/>
      <x:c r="R797"/>
      <x:c r="S797"/>
      <x:c r="T797"/>
    </x:row>
    <x:row r="798" spans="1:20" ht="15.75" x14ac:dyDescent="0.25">
      <x:c r="A798"/>
      <x:c r="B798"/>
      <x:c r="C798"/>
      <x:c r="D798"/>
      <x:c r="E798" s="31"/>
      <x:c r="F798" s="8"/>
      <x:c r="G798" s="8"/>
      <x:c r="H798" s="6"/>
      <x:c r="I798" s="27"/>
      <x:c r="J798" s="6"/>
      <x:c r="K798" s="6"/>
      <x:c r="L798" s="6"/>
      <x:c r="M798" s="6"/>
      <x:c r="N798" s="6"/>
      <x:c r="O798" s="6"/>
      <x:c r="P798" s="6"/>
      <x:c r="Q798" s="6"/>
      <x:c r="R798"/>
      <x:c r="S798"/>
      <x:c r="T798"/>
    </x:row>
    <x:row r="799" spans="1:20" ht="15.75" x14ac:dyDescent="0.25">
      <x:c r="A799"/>
      <x:c r="B799"/>
      <x:c r="C799"/>
      <x:c r="D799"/>
      <x:c r="E799" s="31"/>
      <x:c r="F799" s="8"/>
      <x:c r="G799" s="8"/>
      <x:c r="H799" s="6"/>
      <x:c r="I799" s="27"/>
      <x:c r="J799" s="6"/>
      <x:c r="K799" s="6"/>
      <x:c r="L799" s="6"/>
      <x:c r="M799" s="6"/>
      <x:c r="N799" s="6"/>
      <x:c r="O799" s="6"/>
      <x:c r="P799" s="6"/>
      <x:c r="Q799" s="6"/>
      <x:c r="R799"/>
      <x:c r="S799"/>
      <x:c r="T799"/>
    </x:row>
    <x:row r="800" spans="1:20" ht="15.75" x14ac:dyDescent="0.25">
      <x:c r="A800"/>
      <x:c r="B800"/>
      <x:c r="C800"/>
      <x:c r="D800"/>
      <x:c r="E800" s="31"/>
      <x:c r="F800" s="8"/>
      <x:c r="G800" s="8"/>
      <x:c r="H800" s="6"/>
      <x:c r="I800" s="27"/>
      <x:c r="J800" s="6"/>
      <x:c r="K800" s="6"/>
      <x:c r="L800" s="6"/>
      <x:c r="M800" s="6"/>
      <x:c r="N800" s="6"/>
      <x:c r="O800" s="6"/>
      <x:c r="P800" s="6"/>
      <x:c r="Q800" s="6"/>
      <x:c r="R800"/>
      <x:c r="S800"/>
      <x:c r="T800"/>
    </x:row>
    <x:row r="801" spans="1:20" ht="15.75" x14ac:dyDescent="0.25">
      <x:c r="A801"/>
      <x:c r="B801"/>
      <x:c r="C801"/>
      <x:c r="D801"/>
      <x:c r="E801" s="31"/>
      <x:c r="F801" s="8"/>
      <x:c r="G801" s="8"/>
      <x:c r="H801" s="6"/>
      <x:c r="I801" s="27"/>
      <x:c r="J801" s="6"/>
      <x:c r="K801" s="6"/>
      <x:c r="L801" s="6"/>
      <x:c r="M801" s="6"/>
      <x:c r="N801" s="6"/>
      <x:c r="O801" s="6"/>
      <x:c r="P801" s="6"/>
      <x:c r="Q801" s="6"/>
      <x:c r="R801"/>
      <x:c r="S801"/>
      <x:c r="T801"/>
    </x:row>
    <x:row r="802" spans="1:20" ht="15.75" x14ac:dyDescent="0.25">
      <x:c r="A802"/>
      <x:c r="B802"/>
      <x:c r="C802"/>
      <x:c r="D802"/>
      <x:c r="E802" s="31"/>
      <x:c r="F802" s="8"/>
      <x:c r="G802" s="8"/>
      <x:c r="H802" s="6"/>
      <x:c r="I802" s="27"/>
      <x:c r="J802" s="6"/>
      <x:c r="K802" s="6"/>
      <x:c r="L802" s="6"/>
      <x:c r="M802" s="6"/>
      <x:c r="N802" s="6"/>
      <x:c r="O802" s="6"/>
      <x:c r="P802" s="6"/>
      <x:c r="Q802" s="6"/>
      <x:c r="R802"/>
      <x:c r="S802"/>
      <x:c r="T802"/>
    </x:row>
    <x:row r="803" spans="1:20" ht="15.75" x14ac:dyDescent="0.25">
      <x:c r="A803"/>
      <x:c r="B803"/>
      <x:c r="C803"/>
      <x:c r="D803"/>
      <x:c r="E803" s="31"/>
      <x:c r="F803" s="8"/>
      <x:c r="G803" s="8"/>
      <x:c r="H803" s="6"/>
      <x:c r="I803" s="27"/>
      <x:c r="J803" s="6"/>
      <x:c r="K803" s="6"/>
      <x:c r="L803" s="6"/>
      <x:c r="M803" s="6"/>
      <x:c r="N803" s="6"/>
      <x:c r="O803" s="6"/>
      <x:c r="P803" s="6"/>
      <x:c r="Q803" s="6"/>
      <x:c r="R803"/>
      <x:c r="S803"/>
      <x:c r="T803"/>
    </x:row>
    <x:row r="804" spans="1:20" ht="15.75" x14ac:dyDescent="0.25">
      <x:c r="A804"/>
      <x:c r="B804"/>
      <x:c r="C804"/>
      <x:c r="D804"/>
      <x:c r="E804" s="31"/>
      <x:c r="F804" s="8"/>
      <x:c r="G804" s="8"/>
      <x:c r="H804" s="6"/>
      <x:c r="I804" s="27"/>
      <x:c r="J804" s="6"/>
      <x:c r="K804" s="6"/>
      <x:c r="L804" s="6"/>
      <x:c r="M804" s="6"/>
      <x:c r="N804" s="6"/>
      <x:c r="O804" s="6"/>
      <x:c r="P804" s="6"/>
      <x:c r="Q804" s="6"/>
      <x:c r="R804"/>
      <x:c r="S804"/>
      <x:c r="T804"/>
    </x:row>
    <x:row r="805" spans="1:20" ht="15.75" x14ac:dyDescent="0.25">
      <x:c r="A805"/>
      <x:c r="B805"/>
      <x:c r="C805"/>
      <x:c r="D805"/>
      <x:c r="E805" s="31"/>
      <x:c r="F805" s="8"/>
      <x:c r="G805" s="8"/>
      <x:c r="H805" s="6"/>
      <x:c r="I805" s="27"/>
      <x:c r="J805" s="6"/>
      <x:c r="K805" s="6"/>
      <x:c r="L805" s="6"/>
      <x:c r="M805" s="6"/>
      <x:c r="N805" s="6"/>
      <x:c r="O805" s="6"/>
      <x:c r="P805" s="6"/>
      <x:c r="Q805" s="6"/>
      <x:c r="R805"/>
      <x:c r="S805"/>
      <x:c r="T805"/>
    </x:row>
    <x:row r="806" spans="1:20" ht="15.75" x14ac:dyDescent="0.25">
      <x:c r="A806"/>
      <x:c r="B806"/>
      <x:c r="C806"/>
      <x:c r="D806"/>
      <x:c r="E806" s="31"/>
      <x:c r="F806" s="8"/>
      <x:c r="G806" s="8"/>
      <x:c r="H806" s="6"/>
      <x:c r="I806" s="27"/>
      <x:c r="J806" s="6"/>
      <x:c r="K806" s="6"/>
      <x:c r="L806" s="6"/>
      <x:c r="M806" s="6"/>
      <x:c r="N806" s="6"/>
      <x:c r="O806" s="6"/>
      <x:c r="P806" s="6"/>
      <x:c r="Q806" s="6"/>
      <x:c r="R806"/>
      <x:c r="S806"/>
      <x:c r="T806"/>
    </x:row>
    <x:row r="807" spans="1:20" ht="15.75" x14ac:dyDescent="0.25">
      <x:c r="A807"/>
      <x:c r="B807"/>
      <x:c r="C807"/>
      <x:c r="D807"/>
      <x:c r="E807" s="31"/>
      <x:c r="F807" s="8"/>
      <x:c r="G807" s="8"/>
      <x:c r="H807" s="6"/>
      <x:c r="I807" s="27"/>
      <x:c r="J807" s="6"/>
      <x:c r="K807" s="6"/>
      <x:c r="L807" s="6"/>
      <x:c r="M807" s="6"/>
      <x:c r="N807" s="6"/>
      <x:c r="O807" s="6"/>
      <x:c r="P807" s="6"/>
      <x:c r="Q807" s="6"/>
      <x:c r="R807"/>
      <x:c r="S807"/>
      <x:c r="T807"/>
    </x:row>
    <x:row r="808" spans="1:20" ht="15.75" x14ac:dyDescent="0.25">
      <x:c r="A808"/>
      <x:c r="B808"/>
      <x:c r="C808"/>
      <x:c r="D808"/>
      <x:c r="E808" s="31"/>
      <x:c r="F808" s="8"/>
      <x:c r="G808" s="8"/>
      <x:c r="H808" s="6"/>
      <x:c r="I808" s="27"/>
      <x:c r="J808" s="6"/>
      <x:c r="K808" s="6"/>
      <x:c r="L808" s="6"/>
      <x:c r="M808" s="6"/>
      <x:c r="N808" s="6"/>
      <x:c r="O808" s="6"/>
      <x:c r="P808" s="6"/>
      <x:c r="Q808" s="6"/>
      <x:c r="R808"/>
      <x:c r="S808"/>
      <x:c r="T808"/>
    </x:row>
    <x:row r="809" spans="1:20" ht="15.75" x14ac:dyDescent="0.25">
      <x:c r="A809"/>
      <x:c r="B809"/>
      <x:c r="C809"/>
      <x:c r="D809"/>
      <x:c r="E809" s="31"/>
      <x:c r="F809" s="8"/>
      <x:c r="G809" s="8"/>
      <x:c r="H809" s="6"/>
      <x:c r="I809" s="27"/>
      <x:c r="J809" s="6"/>
      <x:c r="K809" s="6"/>
      <x:c r="L809" s="6"/>
      <x:c r="M809" s="6"/>
      <x:c r="N809" s="6"/>
      <x:c r="O809" s="6"/>
      <x:c r="P809" s="6"/>
      <x:c r="Q809" s="6"/>
      <x:c r="R809"/>
      <x:c r="S809"/>
      <x:c r="T809"/>
    </x:row>
    <x:row r="810" spans="1:20" ht="15.75" x14ac:dyDescent="0.25">
      <x:c r="A810"/>
      <x:c r="B810"/>
      <x:c r="C810"/>
      <x:c r="D810"/>
      <x:c r="E810" s="31"/>
      <x:c r="F810" s="8"/>
      <x:c r="G810" s="8"/>
      <x:c r="H810" s="6"/>
      <x:c r="I810" s="27"/>
      <x:c r="J810" s="6"/>
      <x:c r="K810" s="6"/>
      <x:c r="L810" s="6"/>
      <x:c r="M810" s="6"/>
      <x:c r="N810" s="6"/>
      <x:c r="O810" s="6"/>
      <x:c r="P810" s="6"/>
      <x:c r="Q810" s="6"/>
      <x:c r="R810"/>
      <x:c r="S810"/>
      <x:c r="T810"/>
    </x:row>
    <x:row r="811" spans="1:20" ht="15.75" x14ac:dyDescent="0.25">
      <x:c r="A811"/>
      <x:c r="B811"/>
      <x:c r="C811"/>
      <x:c r="D811"/>
      <x:c r="E811" s="31"/>
      <x:c r="F811" s="8"/>
      <x:c r="G811" s="8"/>
      <x:c r="H811" s="6"/>
      <x:c r="I811" s="27"/>
      <x:c r="J811" s="6"/>
      <x:c r="K811" s="6"/>
      <x:c r="L811" s="6"/>
      <x:c r="M811" s="6"/>
      <x:c r="N811" s="6"/>
      <x:c r="O811" s="6"/>
      <x:c r="P811" s="6"/>
      <x:c r="Q811" s="6"/>
      <x:c r="R811"/>
      <x:c r="S811"/>
      <x:c r="T811"/>
    </x:row>
    <x:row r="812" spans="1:20" ht="15.75" x14ac:dyDescent="0.25">
      <x:c r="A812"/>
      <x:c r="B812"/>
      <x:c r="C812"/>
      <x:c r="D812"/>
      <x:c r="E812" s="31"/>
      <x:c r="F812" s="8"/>
      <x:c r="G812" s="8"/>
      <x:c r="H812" s="6"/>
      <x:c r="I812" s="27"/>
      <x:c r="J812" s="6"/>
      <x:c r="K812" s="6"/>
      <x:c r="L812" s="6"/>
      <x:c r="M812" s="6"/>
      <x:c r="N812" s="6"/>
      <x:c r="O812" s="6"/>
      <x:c r="P812" s="6"/>
      <x:c r="Q812" s="6"/>
      <x:c r="R812"/>
      <x:c r="S812"/>
      <x:c r="T812"/>
    </x:row>
    <x:row r="813" spans="1:20" ht="15.75" x14ac:dyDescent="0.25">
      <x:c r="A813"/>
      <x:c r="B813"/>
      <x:c r="C813"/>
      <x:c r="D813"/>
      <x:c r="E813" s="31"/>
      <x:c r="F813" s="8"/>
      <x:c r="G813" s="8"/>
      <x:c r="H813" s="6"/>
      <x:c r="I813" s="27"/>
      <x:c r="J813" s="6"/>
      <x:c r="K813" s="6"/>
      <x:c r="L813" s="6"/>
      <x:c r="M813" s="6"/>
      <x:c r="N813" s="6"/>
      <x:c r="O813" s="6"/>
      <x:c r="P813" s="6"/>
      <x:c r="Q813" s="6"/>
      <x:c r="R813"/>
      <x:c r="S813"/>
      <x:c r="T813"/>
    </x:row>
    <x:row r="814" spans="1:20" ht="15.75" x14ac:dyDescent="0.25">
      <x:c r="A814"/>
      <x:c r="B814"/>
      <x:c r="C814"/>
      <x:c r="D814"/>
      <x:c r="E814" s="31"/>
      <x:c r="F814" s="8"/>
      <x:c r="G814" s="8"/>
      <x:c r="H814" s="6"/>
      <x:c r="I814" s="27"/>
      <x:c r="J814" s="6"/>
      <x:c r="K814" s="6"/>
      <x:c r="L814" s="6"/>
      <x:c r="M814" s="6"/>
      <x:c r="N814" s="6"/>
      <x:c r="O814" s="6"/>
      <x:c r="P814" s="6"/>
      <x:c r="Q814" s="6"/>
      <x:c r="R814"/>
      <x:c r="S814"/>
      <x:c r="T814"/>
    </x:row>
    <x:row r="815" spans="1:20" ht="15.75" x14ac:dyDescent="0.25">
      <x:c r="A815"/>
      <x:c r="B815"/>
      <x:c r="C815"/>
      <x:c r="D815"/>
      <x:c r="E815" s="31"/>
      <x:c r="F815" s="8"/>
      <x:c r="G815" s="8"/>
      <x:c r="H815" s="6"/>
      <x:c r="I815" s="27"/>
      <x:c r="J815" s="6"/>
      <x:c r="K815" s="6"/>
      <x:c r="L815" s="6"/>
      <x:c r="M815" s="6"/>
      <x:c r="N815" s="6"/>
      <x:c r="O815" s="6"/>
      <x:c r="P815" s="6"/>
      <x:c r="Q815" s="6"/>
      <x:c r="R815"/>
      <x:c r="S815"/>
      <x:c r="T815"/>
    </x:row>
    <x:row r="816" spans="1:20" ht="15.75" x14ac:dyDescent="0.25">
      <x:c r="A816"/>
      <x:c r="B816"/>
      <x:c r="C816"/>
      <x:c r="D816"/>
      <x:c r="E816" s="31"/>
      <x:c r="F816" s="8"/>
      <x:c r="G816" s="8"/>
      <x:c r="H816" s="6"/>
      <x:c r="I816" s="27"/>
      <x:c r="J816" s="6"/>
      <x:c r="K816" s="6"/>
      <x:c r="L816" s="6"/>
      <x:c r="M816" s="6"/>
      <x:c r="N816" s="6"/>
      <x:c r="O816" s="6"/>
      <x:c r="P816" s="6"/>
      <x:c r="Q816" s="6"/>
      <x:c r="R816"/>
      <x:c r="S816"/>
      <x:c r="T816"/>
    </x:row>
    <x:row r="817" spans="1:20" ht="15.75" x14ac:dyDescent="0.25">
      <x:c r="A817"/>
      <x:c r="B817"/>
      <x:c r="C817"/>
      <x:c r="D817"/>
      <x:c r="E817" s="31"/>
      <x:c r="F817" s="8"/>
      <x:c r="G817" s="8"/>
      <x:c r="H817" s="6"/>
      <x:c r="I817" s="27"/>
      <x:c r="J817" s="6"/>
      <x:c r="K817" s="6"/>
      <x:c r="L817" s="6"/>
      <x:c r="M817" s="6"/>
      <x:c r="N817" s="6"/>
      <x:c r="O817" s="6"/>
      <x:c r="P817" s="6"/>
      <x:c r="Q817" s="6"/>
      <x:c r="R817"/>
      <x:c r="S817"/>
      <x:c r="T817"/>
    </x:row>
    <x:row r="818" spans="1:20" ht="15.75" x14ac:dyDescent="0.25">
      <x:c r="A818"/>
      <x:c r="B818"/>
      <x:c r="C818"/>
      <x:c r="D818"/>
      <x:c r="E818" s="31"/>
      <x:c r="F818" s="8"/>
      <x:c r="G818" s="8"/>
      <x:c r="H818" s="6"/>
      <x:c r="I818" s="27"/>
      <x:c r="J818" s="6"/>
      <x:c r="K818" s="6"/>
      <x:c r="L818" s="6"/>
      <x:c r="M818" s="6"/>
      <x:c r="N818" s="6"/>
      <x:c r="O818" s="6"/>
      <x:c r="P818" s="6"/>
      <x:c r="Q818" s="6"/>
      <x:c r="R818"/>
      <x:c r="S818"/>
      <x:c r="T818"/>
    </x:row>
    <x:row r="819" spans="1:20" ht="15.75" x14ac:dyDescent="0.25">
      <x:c r="A819"/>
      <x:c r="B819"/>
      <x:c r="C819"/>
      <x:c r="D819"/>
      <x:c r="E819" s="31"/>
      <x:c r="F819" s="8"/>
      <x:c r="G819" s="8"/>
      <x:c r="H819" s="6"/>
      <x:c r="I819" s="27"/>
      <x:c r="J819" s="6"/>
      <x:c r="K819" s="6"/>
      <x:c r="L819" s="6"/>
      <x:c r="M819" s="6"/>
      <x:c r="N819" s="6"/>
      <x:c r="O819" s="6"/>
      <x:c r="P819" s="6"/>
      <x:c r="Q819" s="6"/>
      <x:c r="R819"/>
      <x:c r="S819"/>
      <x:c r="T819"/>
    </x:row>
    <x:row r="820" spans="1:20" ht="15.75" x14ac:dyDescent="0.25">
      <x:c r="A820"/>
      <x:c r="B820"/>
      <x:c r="C820"/>
      <x:c r="D820"/>
      <x:c r="E820" s="31"/>
      <x:c r="F820" s="8"/>
      <x:c r="G820" s="8"/>
      <x:c r="H820" s="6"/>
      <x:c r="I820" s="27"/>
      <x:c r="J820" s="6"/>
      <x:c r="K820" s="6"/>
      <x:c r="L820" s="6"/>
      <x:c r="M820" s="6"/>
      <x:c r="N820" s="6"/>
      <x:c r="O820" s="6"/>
      <x:c r="P820" s="6"/>
      <x:c r="Q820" s="6"/>
      <x:c r="R820"/>
      <x:c r="S820"/>
      <x:c r="T820"/>
    </x:row>
    <x:row r="821" spans="1:20" ht="15.75" x14ac:dyDescent="0.25">
      <x:c r="A821"/>
      <x:c r="B821"/>
      <x:c r="C821"/>
      <x:c r="D821"/>
      <x:c r="E821" s="31"/>
      <x:c r="F821" s="8"/>
      <x:c r="G821" s="8"/>
      <x:c r="H821" s="6"/>
      <x:c r="I821" s="27"/>
      <x:c r="J821" s="6"/>
      <x:c r="K821" s="6"/>
      <x:c r="L821" s="6"/>
      <x:c r="M821" s="6"/>
      <x:c r="N821" s="6"/>
      <x:c r="O821" s="6"/>
      <x:c r="P821" s="6"/>
      <x:c r="Q821" s="6"/>
      <x:c r="R821"/>
      <x:c r="S821"/>
      <x:c r="T821"/>
    </x:row>
    <x:row r="822" spans="1:20" ht="15.75" x14ac:dyDescent="0.25">
      <x:c r="A822"/>
      <x:c r="B822"/>
      <x:c r="C822"/>
      <x:c r="D822"/>
      <x:c r="E822" s="31"/>
      <x:c r="F822" s="8"/>
      <x:c r="G822" s="8"/>
      <x:c r="H822" s="6"/>
      <x:c r="I822" s="27"/>
      <x:c r="J822" s="6"/>
      <x:c r="K822" s="6"/>
      <x:c r="L822" s="6"/>
      <x:c r="M822" s="6"/>
      <x:c r="N822" s="6"/>
      <x:c r="O822" s="6"/>
      <x:c r="P822" s="6"/>
      <x:c r="Q822" s="6"/>
      <x:c r="R822"/>
      <x:c r="S822"/>
      <x:c r="T822"/>
    </x:row>
    <x:row r="823" spans="1:20" ht="15.75" x14ac:dyDescent="0.25">
      <x:c r="A823"/>
      <x:c r="B823"/>
      <x:c r="C823"/>
      <x:c r="D823"/>
      <x:c r="E823" s="31"/>
      <x:c r="F823" s="8"/>
      <x:c r="G823" s="8"/>
      <x:c r="H823" s="6"/>
      <x:c r="I823" s="27"/>
      <x:c r="J823" s="6"/>
      <x:c r="K823" s="6"/>
      <x:c r="L823" s="6"/>
      <x:c r="M823" s="6"/>
      <x:c r="N823" s="6"/>
      <x:c r="O823" s="6"/>
      <x:c r="P823" s="6"/>
      <x:c r="Q823" s="6"/>
      <x:c r="R823"/>
      <x:c r="S823"/>
      <x:c r="T823"/>
    </x:row>
    <x:row r="824" spans="1:20" ht="15.75" x14ac:dyDescent="0.25">
      <x:c r="A824"/>
      <x:c r="B824"/>
      <x:c r="C824"/>
      <x:c r="D824"/>
      <x:c r="E824" s="31"/>
      <x:c r="F824" s="8"/>
      <x:c r="G824" s="8"/>
      <x:c r="H824" s="6"/>
      <x:c r="I824" s="27"/>
      <x:c r="J824" s="6"/>
      <x:c r="K824" s="6"/>
      <x:c r="L824" s="6"/>
      <x:c r="M824" s="6"/>
      <x:c r="N824" s="6"/>
      <x:c r="O824" s="6"/>
      <x:c r="P824" s="6"/>
      <x:c r="Q824" s="6"/>
      <x:c r="R824"/>
      <x:c r="S824"/>
      <x:c r="T824"/>
    </x:row>
    <x:row r="825" spans="1:20" ht="15.75" x14ac:dyDescent="0.25">
      <x:c r="A825"/>
      <x:c r="B825"/>
      <x:c r="C825"/>
      <x:c r="D825"/>
      <x:c r="E825" s="31"/>
      <x:c r="F825" s="8"/>
      <x:c r="G825" s="8"/>
      <x:c r="H825" s="6"/>
      <x:c r="I825" s="27"/>
      <x:c r="J825" s="6"/>
      <x:c r="K825" s="6"/>
      <x:c r="L825" s="6"/>
      <x:c r="M825" s="6"/>
      <x:c r="N825" s="6"/>
      <x:c r="O825" s="6"/>
      <x:c r="P825" s="6"/>
      <x:c r="Q825" s="6"/>
      <x:c r="R825"/>
      <x:c r="S825"/>
      <x:c r="T825"/>
    </x:row>
    <x:row r="826" spans="1:20" ht="15.75" x14ac:dyDescent="0.25">
      <x:c r="A826"/>
      <x:c r="B826"/>
      <x:c r="C826"/>
      <x:c r="D826"/>
      <x:c r="E826" s="31"/>
      <x:c r="F826" s="8"/>
      <x:c r="G826" s="8"/>
      <x:c r="H826" s="6"/>
      <x:c r="I826" s="27"/>
      <x:c r="J826" s="6"/>
      <x:c r="K826" s="6"/>
      <x:c r="L826" s="6"/>
      <x:c r="M826" s="6"/>
      <x:c r="N826" s="6"/>
      <x:c r="O826" s="6"/>
      <x:c r="P826" s="6"/>
      <x:c r="Q826" s="6"/>
      <x:c r="R826"/>
      <x:c r="S826"/>
      <x:c r="T826"/>
    </x:row>
    <x:row r="827" spans="1:20" ht="15.75" x14ac:dyDescent="0.25">
      <x:c r="A827"/>
      <x:c r="B827"/>
      <x:c r="C827"/>
      <x:c r="D827"/>
      <x:c r="E827" s="31"/>
      <x:c r="F827" s="8"/>
      <x:c r="G827" s="8"/>
      <x:c r="H827" s="6"/>
      <x:c r="I827" s="27"/>
      <x:c r="J827" s="6"/>
      <x:c r="K827" s="6"/>
      <x:c r="L827" s="6"/>
      <x:c r="M827" s="6"/>
      <x:c r="N827" s="6"/>
      <x:c r="O827" s="6"/>
      <x:c r="P827" s="6"/>
      <x:c r="Q827" s="6"/>
      <x:c r="R827"/>
      <x:c r="S827"/>
      <x:c r="T827"/>
    </x:row>
    <x:row r="828" spans="1:20" ht="15.75" x14ac:dyDescent="0.25">
      <x:c r="A828"/>
      <x:c r="B828"/>
      <x:c r="C828"/>
      <x:c r="D828"/>
      <x:c r="E828" s="31"/>
      <x:c r="F828" s="8"/>
      <x:c r="G828" s="8"/>
      <x:c r="H828" s="6"/>
      <x:c r="I828" s="27"/>
      <x:c r="J828" s="6"/>
      <x:c r="K828" s="6"/>
      <x:c r="L828" s="6"/>
      <x:c r="M828" s="6"/>
      <x:c r="N828" s="6"/>
      <x:c r="O828" s="6"/>
      <x:c r="P828" s="6"/>
      <x:c r="Q828" s="6"/>
      <x:c r="R828"/>
      <x:c r="S828"/>
      <x:c r="T828"/>
    </x:row>
    <x:row r="829" spans="1:20" ht="15.75" x14ac:dyDescent="0.25">
      <x:c r="A829"/>
      <x:c r="B829"/>
      <x:c r="C829"/>
      <x:c r="D829"/>
      <x:c r="E829" s="31"/>
      <x:c r="F829" s="8"/>
      <x:c r="G829" s="8"/>
      <x:c r="H829" s="6"/>
      <x:c r="I829" s="27"/>
      <x:c r="J829" s="6"/>
      <x:c r="K829" s="6"/>
      <x:c r="L829" s="6"/>
      <x:c r="M829" s="6"/>
      <x:c r="N829" s="6"/>
      <x:c r="O829" s="6"/>
      <x:c r="P829" s="6"/>
      <x:c r="Q829" s="6"/>
      <x:c r="R829"/>
      <x:c r="S829"/>
      <x:c r="T829"/>
    </x:row>
    <x:row r="830" spans="1:20" ht="15.75" x14ac:dyDescent="0.25">
      <x:c r="A830"/>
      <x:c r="B830"/>
      <x:c r="C830"/>
      <x:c r="D830"/>
      <x:c r="E830" s="31"/>
      <x:c r="F830" s="8"/>
      <x:c r="G830" s="8"/>
      <x:c r="H830" s="6"/>
      <x:c r="I830" s="27"/>
      <x:c r="J830" s="6"/>
      <x:c r="K830" s="6"/>
      <x:c r="L830" s="6"/>
      <x:c r="M830" s="6"/>
      <x:c r="N830" s="6"/>
      <x:c r="O830" s="6"/>
      <x:c r="P830" s="6"/>
      <x:c r="Q830" s="6"/>
      <x:c r="R830"/>
      <x:c r="S830"/>
      <x:c r="T830"/>
    </x:row>
    <x:row r="831" spans="1:20" ht="15.75" x14ac:dyDescent="0.25">
      <x:c r="A831"/>
      <x:c r="B831"/>
      <x:c r="C831"/>
      <x:c r="D831"/>
      <x:c r="E831" s="31"/>
      <x:c r="F831" s="8"/>
      <x:c r="G831" s="8"/>
      <x:c r="H831" s="6"/>
      <x:c r="I831" s="27"/>
      <x:c r="J831" s="6"/>
      <x:c r="K831" s="6"/>
      <x:c r="L831" s="6"/>
      <x:c r="M831" s="6"/>
      <x:c r="N831" s="6"/>
      <x:c r="O831" s="6"/>
      <x:c r="P831" s="6"/>
      <x:c r="Q831" s="6"/>
      <x:c r="R831"/>
      <x:c r="S831"/>
      <x:c r="T831"/>
    </x:row>
    <x:row r="832" spans="1:20" ht="15.75" x14ac:dyDescent="0.25">
      <x:c r="A832"/>
      <x:c r="B832"/>
      <x:c r="C832"/>
      <x:c r="D832"/>
      <x:c r="E832" s="31"/>
      <x:c r="F832" s="8"/>
      <x:c r="G832" s="8"/>
      <x:c r="H832" s="6"/>
      <x:c r="I832" s="27"/>
      <x:c r="J832" s="6"/>
      <x:c r="K832" s="6"/>
      <x:c r="L832" s="6"/>
      <x:c r="M832" s="6"/>
      <x:c r="N832" s="6"/>
      <x:c r="O832" s="6"/>
      <x:c r="P832" s="6"/>
      <x:c r="Q832" s="6"/>
      <x:c r="R832"/>
      <x:c r="S832"/>
      <x:c r="T832"/>
    </x:row>
    <x:row r="833" spans="1:20" ht="15.75" x14ac:dyDescent="0.25">
      <x:c r="A833"/>
      <x:c r="B833"/>
      <x:c r="C833"/>
      <x:c r="D833"/>
      <x:c r="E833" s="31"/>
      <x:c r="F833" s="8"/>
      <x:c r="G833" s="8"/>
      <x:c r="H833" s="6"/>
      <x:c r="I833" s="27"/>
      <x:c r="J833" s="6"/>
      <x:c r="K833" s="6"/>
      <x:c r="L833" s="6"/>
      <x:c r="M833" s="6"/>
      <x:c r="N833" s="6"/>
      <x:c r="O833" s="6"/>
      <x:c r="P833" s="6"/>
      <x:c r="Q833" s="6"/>
      <x:c r="R833"/>
      <x:c r="S833"/>
      <x:c r="T833"/>
    </x:row>
    <x:row r="834" spans="1:20" ht="15.75" x14ac:dyDescent="0.25">
      <x:c r="A834"/>
      <x:c r="B834"/>
      <x:c r="C834"/>
      <x:c r="D834"/>
      <x:c r="E834" s="31"/>
      <x:c r="F834" s="8"/>
      <x:c r="G834" s="8"/>
      <x:c r="H834" s="6"/>
      <x:c r="I834" s="27"/>
      <x:c r="J834" s="6"/>
      <x:c r="K834" s="6"/>
      <x:c r="L834" s="6"/>
      <x:c r="M834" s="6"/>
      <x:c r="N834" s="6"/>
      <x:c r="O834" s="6"/>
      <x:c r="P834" s="6"/>
      <x:c r="Q834" s="6"/>
      <x:c r="R834"/>
      <x:c r="S834"/>
      <x:c r="T834"/>
    </x:row>
    <x:row r="835" spans="1:20" ht="15.75" x14ac:dyDescent="0.25">
      <x:c r="A835"/>
      <x:c r="B835"/>
      <x:c r="C835"/>
      <x:c r="D835"/>
      <x:c r="E835" s="31"/>
      <x:c r="F835" s="8"/>
      <x:c r="G835" s="8"/>
      <x:c r="H835" s="6"/>
      <x:c r="I835" s="27"/>
      <x:c r="J835" s="6"/>
      <x:c r="K835" s="6"/>
      <x:c r="L835" s="6"/>
      <x:c r="M835" s="6"/>
      <x:c r="N835" s="6"/>
      <x:c r="O835" s="6"/>
      <x:c r="P835" s="6"/>
      <x:c r="Q835" s="6"/>
      <x:c r="R835"/>
      <x:c r="S835"/>
      <x:c r="T835"/>
    </x:row>
    <x:row r="836" spans="1:20" ht="15.75" x14ac:dyDescent="0.25">
      <x:c r="A836"/>
      <x:c r="B836"/>
      <x:c r="C836"/>
      <x:c r="D836"/>
      <x:c r="E836" s="31"/>
      <x:c r="F836" s="8"/>
      <x:c r="G836" s="8"/>
      <x:c r="H836" s="6"/>
      <x:c r="I836" s="27"/>
      <x:c r="J836" s="6"/>
      <x:c r="K836" s="6"/>
      <x:c r="L836" s="6"/>
      <x:c r="M836" s="6"/>
      <x:c r="N836" s="6"/>
      <x:c r="O836" s="6"/>
      <x:c r="P836" s="6"/>
      <x:c r="Q836" s="6"/>
      <x:c r="R836"/>
      <x:c r="S836"/>
      <x:c r="T836"/>
    </x:row>
    <x:row r="837" spans="1:20" ht="15.75" x14ac:dyDescent="0.25">
      <x:c r="A837"/>
      <x:c r="B837"/>
      <x:c r="C837"/>
      <x:c r="D837"/>
      <x:c r="E837" s="31"/>
      <x:c r="F837" s="8"/>
      <x:c r="G837" s="8"/>
      <x:c r="H837" s="6"/>
      <x:c r="I837" s="27"/>
      <x:c r="J837" s="6"/>
      <x:c r="K837" s="6"/>
      <x:c r="L837" s="6"/>
      <x:c r="M837" s="6"/>
      <x:c r="N837" s="6"/>
      <x:c r="O837" s="6"/>
      <x:c r="P837" s="6"/>
      <x:c r="Q837" s="6"/>
      <x:c r="R837"/>
      <x:c r="S837"/>
      <x:c r="T837"/>
    </x:row>
    <x:row r="838" spans="1:20" ht="15.75" x14ac:dyDescent="0.25">
      <x:c r="A838"/>
      <x:c r="B838"/>
      <x:c r="C838"/>
      <x:c r="D838"/>
      <x:c r="E838" s="31"/>
      <x:c r="F838" s="8"/>
      <x:c r="G838" s="8"/>
      <x:c r="H838" s="6"/>
      <x:c r="I838" s="27"/>
      <x:c r="J838" s="6"/>
      <x:c r="K838" s="6"/>
      <x:c r="L838" s="6"/>
      <x:c r="M838" s="6"/>
      <x:c r="N838" s="6"/>
      <x:c r="O838" s="6"/>
      <x:c r="P838" s="6"/>
      <x:c r="Q838" s="6"/>
      <x:c r="R838"/>
      <x:c r="S838"/>
      <x:c r="T838"/>
    </x:row>
    <x:row r="839" spans="1:20" ht="15.75" x14ac:dyDescent="0.25">
      <x:c r="A839"/>
      <x:c r="B839"/>
      <x:c r="C839"/>
      <x:c r="D839"/>
      <x:c r="E839" s="31"/>
      <x:c r="F839" s="8"/>
      <x:c r="G839" s="8"/>
      <x:c r="H839" s="6"/>
      <x:c r="I839" s="27"/>
      <x:c r="J839" s="6"/>
      <x:c r="K839" s="6"/>
      <x:c r="L839" s="6"/>
      <x:c r="M839" s="6"/>
      <x:c r="N839" s="6"/>
      <x:c r="O839" s="6"/>
      <x:c r="P839" s="6"/>
      <x:c r="Q839" s="6"/>
      <x:c r="R839"/>
      <x:c r="S839"/>
      <x:c r="T839"/>
    </x:row>
    <x:row r="840" spans="1:20" ht="15.75" x14ac:dyDescent="0.25">
      <x:c r="A840"/>
      <x:c r="B840"/>
      <x:c r="C840"/>
      <x:c r="D840"/>
      <x:c r="E840" s="31"/>
      <x:c r="F840" s="8"/>
      <x:c r="G840" s="8"/>
      <x:c r="H840" s="6"/>
      <x:c r="I840" s="27"/>
      <x:c r="J840" s="6"/>
      <x:c r="K840" s="6"/>
      <x:c r="L840" s="6"/>
      <x:c r="M840" s="6"/>
      <x:c r="N840" s="6"/>
      <x:c r="O840" s="6"/>
      <x:c r="P840" s="6"/>
      <x:c r="Q840" s="6"/>
      <x:c r="R840"/>
      <x:c r="S840"/>
      <x:c r="T840"/>
    </x:row>
    <x:row r="841" spans="1:20" ht="15.75" x14ac:dyDescent="0.25">
      <x:c r="A841"/>
      <x:c r="B841"/>
      <x:c r="C841"/>
      <x:c r="D841"/>
      <x:c r="E841" s="31"/>
      <x:c r="F841" s="8"/>
      <x:c r="G841" s="8"/>
      <x:c r="H841" s="6"/>
      <x:c r="I841" s="27"/>
      <x:c r="J841" s="6"/>
      <x:c r="K841" s="6"/>
      <x:c r="L841" s="6"/>
      <x:c r="M841" s="6"/>
      <x:c r="N841" s="6"/>
      <x:c r="O841" s="6"/>
      <x:c r="P841" s="6"/>
      <x:c r="Q841" s="6"/>
      <x:c r="R841"/>
      <x:c r="S841"/>
      <x:c r="T841"/>
    </x:row>
    <x:row r="842" spans="1:20" ht="15.75" x14ac:dyDescent="0.25">
      <x:c r="A842"/>
      <x:c r="B842"/>
      <x:c r="C842"/>
      <x:c r="D842"/>
      <x:c r="E842" s="31"/>
      <x:c r="F842" s="8"/>
      <x:c r="G842" s="8"/>
      <x:c r="H842" s="6"/>
      <x:c r="I842" s="27"/>
      <x:c r="J842" s="6"/>
      <x:c r="K842" s="6"/>
      <x:c r="L842" s="6"/>
      <x:c r="M842" s="6"/>
      <x:c r="N842" s="6"/>
      <x:c r="O842" s="6"/>
      <x:c r="P842" s="6"/>
      <x:c r="Q842" s="6"/>
      <x:c r="R842"/>
      <x:c r="S842"/>
      <x:c r="T842"/>
    </x:row>
    <x:row r="843" spans="1:20" ht="15.75" x14ac:dyDescent="0.25">
      <x:c r="A843"/>
      <x:c r="B843"/>
      <x:c r="C843"/>
      <x:c r="D843"/>
      <x:c r="E843" s="31"/>
      <x:c r="F843" s="8"/>
      <x:c r="G843" s="8"/>
      <x:c r="H843" s="6"/>
      <x:c r="I843" s="27"/>
      <x:c r="J843" s="6"/>
      <x:c r="K843" s="6"/>
      <x:c r="L843" s="6"/>
      <x:c r="M843" s="6"/>
      <x:c r="N843" s="6"/>
      <x:c r="O843" s="6"/>
      <x:c r="P843" s="6"/>
      <x:c r="Q843" s="6"/>
      <x:c r="R843"/>
      <x:c r="S843"/>
      <x:c r="T843"/>
    </x:row>
    <x:row r="844" spans="1:20" ht="15.75" x14ac:dyDescent="0.25">
      <x:c r="A844"/>
      <x:c r="B844"/>
      <x:c r="C844"/>
      <x:c r="D844"/>
      <x:c r="E844" s="31"/>
      <x:c r="F844" s="8"/>
      <x:c r="G844" s="8"/>
      <x:c r="H844" s="6"/>
      <x:c r="I844" s="27"/>
      <x:c r="J844" s="6"/>
      <x:c r="K844" s="6"/>
      <x:c r="L844" s="6"/>
      <x:c r="M844" s="6"/>
      <x:c r="N844" s="6"/>
      <x:c r="O844" s="6"/>
      <x:c r="P844" s="6"/>
      <x:c r="Q844" s="6"/>
      <x:c r="R844"/>
      <x:c r="S844"/>
      <x:c r="T844"/>
    </x:row>
    <x:row r="845" spans="1:20" ht="15.75" x14ac:dyDescent="0.25">
      <x:c r="A845"/>
      <x:c r="B845"/>
      <x:c r="C845"/>
      <x:c r="D845"/>
      <x:c r="E845" s="31"/>
      <x:c r="F845" s="8"/>
      <x:c r="G845" s="8"/>
      <x:c r="H845" s="6"/>
      <x:c r="I845" s="27"/>
      <x:c r="J845" s="6"/>
      <x:c r="K845" s="6"/>
      <x:c r="L845" s="6"/>
      <x:c r="M845" s="6"/>
      <x:c r="N845" s="6"/>
      <x:c r="O845" s="6"/>
      <x:c r="P845" s="6"/>
      <x:c r="Q845" s="6"/>
      <x:c r="R845"/>
      <x:c r="S845"/>
      <x:c r="T845"/>
    </x:row>
    <x:row r="846" spans="1:20" ht="15.75" x14ac:dyDescent="0.25">
      <x:c r="A846"/>
      <x:c r="B846"/>
      <x:c r="C846"/>
      <x:c r="D846"/>
      <x:c r="E846" s="31"/>
      <x:c r="F846" s="8"/>
      <x:c r="G846" s="8"/>
      <x:c r="H846" s="6"/>
      <x:c r="I846" s="27"/>
      <x:c r="J846" s="6"/>
      <x:c r="K846" s="6"/>
      <x:c r="L846" s="6"/>
      <x:c r="M846" s="6"/>
      <x:c r="N846" s="6"/>
      <x:c r="O846" s="6"/>
      <x:c r="P846" s="6"/>
      <x:c r="Q846" s="6"/>
      <x:c r="R846"/>
      <x:c r="S846"/>
      <x:c r="T846"/>
    </x:row>
    <x:row r="847" spans="1:20" ht="15.75" x14ac:dyDescent="0.25">
      <x:c r="A847"/>
      <x:c r="B847"/>
      <x:c r="C847"/>
      <x:c r="D847"/>
      <x:c r="E847" s="31"/>
      <x:c r="F847" s="8"/>
      <x:c r="G847" s="8"/>
      <x:c r="H847" s="6"/>
      <x:c r="I847" s="27"/>
      <x:c r="J847" s="6"/>
      <x:c r="K847" s="6"/>
      <x:c r="L847" s="6"/>
      <x:c r="M847" s="6"/>
      <x:c r="N847" s="6"/>
      <x:c r="O847" s="6"/>
      <x:c r="P847" s="6"/>
      <x:c r="Q847" s="6"/>
      <x:c r="R847"/>
      <x:c r="S847"/>
      <x:c r="T847"/>
    </x:row>
    <x:row r="848" spans="1:20" ht="15.75" x14ac:dyDescent="0.25">
      <x:c r="A848"/>
      <x:c r="B848"/>
      <x:c r="C848"/>
      <x:c r="D848"/>
      <x:c r="E848" s="31"/>
      <x:c r="F848" s="8"/>
      <x:c r="G848" s="8"/>
      <x:c r="H848" s="6"/>
      <x:c r="I848" s="27"/>
      <x:c r="J848" s="6"/>
      <x:c r="K848" s="6"/>
      <x:c r="L848" s="6"/>
      <x:c r="M848" s="6"/>
      <x:c r="N848" s="6"/>
      <x:c r="O848" s="6"/>
      <x:c r="P848" s="6"/>
      <x:c r="Q848" s="6"/>
      <x:c r="R848"/>
      <x:c r="S848"/>
      <x:c r="T848"/>
    </x:row>
    <x:row r="849" spans="1:20" ht="15.75" x14ac:dyDescent="0.25">
      <x:c r="A849"/>
      <x:c r="B849"/>
      <x:c r="C849"/>
      <x:c r="D849"/>
      <x:c r="E849" s="31"/>
      <x:c r="F849" s="8"/>
      <x:c r="G849" s="8"/>
      <x:c r="H849" s="6"/>
      <x:c r="I849" s="27"/>
      <x:c r="J849" s="6"/>
      <x:c r="K849" s="6"/>
      <x:c r="L849" s="6"/>
      <x:c r="M849" s="6"/>
      <x:c r="N849" s="6"/>
      <x:c r="O849" s="6"/>
      <x:c r="P849" s="6"/>
      <x:c r="Q849" s="6"/>
      <x:c r="R849"/>
      <x:c r="S849"/>
      <x:c r="T849"/>
    </x:row>
    <x:row r="850" spans="1:20" ht="15.75" x14ac:dyDescent="0.25">
      <x:c r="A850"/>
      <x:c r="B850"/>
      <x:c r="C850"/>
      <x:c r="D850"/>
      <x:c r="E850" s="31"/>
      <x:c r="F850" s="8"/>
      <x:c r="G850" s="8"/>
      <x:c r="H850" s="6"/>
      <x:c r="I850" s="27"/>
      <x:c r="J850" s="6"/>
      <x:c r="K850" s="6"/>
      <x:c r="L850" s="6"/>
      <x:c r="M850" s="6"/>
      <x:c r="N850" s="6"/>
      <x:c r="O850" s="6"/>
      <x:c r="P850" s="6"/>
      <x:c r="Q850" s="6"/>
      <x:c r="R850"/>
      <x:c r="S850"/>
      <x:c r="T850"/>
    </x:row>
    <x:row r="851" spans="1:20" ht="15.75" x14ac:dyDescent="0.25">
      <x:c r="A851"/>
      <x:c r="B851"/>
      <x:c r="C851"/>
      <x:c r="D851"/>
      <x:c r="E851" s="31"/>
      <x:c r="F851" s="8"/>
      <x:c r="G851" s="8"/>
      <x:c r="H851" s="6"/>
      <x:c r="I851" s="27"/>
      <x:c r="J851" s="6"/>
      <x:c r="K851" s="6"/>
      <x:c r="L851" s="6"/>
      <x:c r="M851" s="6"/>
      <x:c r="N851" s="6"/>
      <x:c r="O851" s="6"/>
      <x:c r="P851" s="6"/>
      <x:c r="Q851" s="6"/>
      <x:c r="R851"/>
      <x:c r="S851"/>
      <x:c r="T851"/>
    </x:row>
    <x:row r="852" spans="1:20" ht="15.75" x14ac:dyDescent="0.25">
      <x:c r="A852"/>
      <x:c r="B852"/>
      <x:c r="C852"/>
      <x:c r="D852"/>
      <x:c r="E852" s="31"/>
      <x:c r="F852" s="8"/>
      <x:c r="G852" s="8"/>
      <x:c r="H852" s="6"/>
      <x:c r="I852" s="27"/>
      <x:c r="J852" s="6"/>
      <x:c r="K852" s="6"/>
      <x:c r="L852" s="6"/>
      <x:c r="M852" s="6"/>
      <x:c r="N852" s="6"/>
      <x:c r="O852" s="6"/>
      <x:c r="P852" s="6"/>
      <x:c r="Q852" s="6"/>
      <x:c r="R852"/>
      <x:c r="S852"/>
      <x:c r="T852"/>
    </x:row>
    <x:row r="853" spans="1:20" ht="15.75" x14ac:dyDescent="0.25">
      <x:c r="A853"/>
      <x:c r="B853"/>
      <x:c r="C853"/>
      <x:c r="D853"/>
      <x:c r="E853" s="31"/>
      <x:c r="F853" s="8"/>
      <x:c r="G853" s="8"/>
      <x:c r="H853" s="6"/>
      <x:c r="I853" s="27"/>
      <x:c r="J853" s="6"/>
      <x:c r="K853" s="6"/>
      <x:c r="L853" s="6"/>
      <x:c r="M853" s="6"/>
      <x:c r="N853" s="6"/>
      <x:c r="O853" s="6"/>
      <x:c r="P853" s="6"/>
      <x:c r="Q853" s="6"/>
      <x:c r="R853"/>
      <x:c r="S853"/>
      <x:c r="T853"/>
    </x:row>
    <x:row r="854" spans="1:20" ht="15.75" x14ac:dyDescent="0.25">
      <x:c r="A854"/>
      <x:c r="B854"/>
      <x:c r="C854"/>
      <x:c r="D854"/>
      <x:c r="E854" s="31"/>
      <x:c r="F854" s="8"/>
      <x:c r="G854" s="8"/>
      <x:c r="H854" s="6"/>
      <x:c r="I854" s="27"/>
      <x:c r="J854" s="6"/>
      <x:c r="K854" s="6"/>
      <x:c r="L854" s="6"/>
      <x:c r="M854" s="6"/>
      <x:c r="N854" s="6"/>
      <x:c r="O854" s="6"/>
      <x:c r="P854" s="6"/>
      <x:c r="Q854" s="6"/>
      <x:c r="R854"/>
      <x:c r="S854"/>
      <x:c r="T854"/>
    </x:row>
    <x:row r="855" spans="1:20" ht="15.75" x14ac:dyDescent="0.25">
      <x:c r="A855"/>
      <x:c r="B855"/>
      <x:c r="C855"/>
      <x:c r="D855"/>
      <x:c r="E855" s="31"/>
      <x:c r="F855" s="8"/>
      <x:c r="G855" s="8"/>
      <x:c r="H855" s="6"/>
      <x:c r="I855" s="27"/>
      <x:c r="J855" s="6"/>
      <x:c r="K855" s="6"/>
      <x:c r="L855" s="6"/>
      <x:c r="M855" s="6"/>
      <x:c r="N855" s="6"/>
      <x:c r="O855" s="6"/>
      <x:c r="P855" s="6"/>
      <x:c r="Q855" s="6"/>
      <x:c r="R855"/>
      <x:c r="S855"/>
      <x:c r="T855"/>
    </x:row>
    <x:row r="856" spans="1:20" ht="15.75" x14ac:dyDescent="0.25">
      <x:c r="A856"/>
      <x:c r="B856"/>
      <x:c r="C856"/>
      <x:c r="D856"/>
      <x:c r="E856" s="31"/>
      <x:c r="F856" s="8"/>
      <x:c r="G856" s="8"/>
      <x:c r="H856" s="6"/>
      <x:c r="I856" s="27"/>
      <x:c r="J856" s="6"/>
      <x:c r="K856" s="6"/>
      <x:c r="L856" s="6"/>
      <x:c r="M856" s="6"/>
      <x:c r="N856" s="6"/>
      <x:c r="O856" s="6"/>
      <x:c r="P856" s="6"/>
      <x:c r="Q856" s="6"/>
      <x:c r="R856"/>
      <x:c r="S856"/>
      <x:c r="T856"/>
    </x:row>
    <x:row r="857" spans="1:20" ht="15.75" x14ac:dyDescent="0.25">
      <x:c r="A857"/>
      <x:c r="B857"/>
      <x:c r="C857"/>
      <x:c r="D857"/>
      <x:c r="E857" s="31"/>
      <x:c r="F857" s="8"/>
      <x:c r="G857" s="8"/>
      <x:c r="H857" s="6"/>
      <x:c r="I857" s="27"/>
      <x:c r="J857" s="6"/>
      <x:c r="K857" s="6"/>
      <x:c r="L857" s="6"/>
      <x:c r="M857" s="6"/>
      <x:c r="N857" s="6"/>
      <x:c r="O857" s="6"/>
      <x:c r="P857" s="6"/>
      <x:c r="Q857" s="6"/>
      <x:c r="R857"/>
      <x:c r="S857"/>
      <x:c r="T857"/>
    </x:row>
    <x:row r="858" spans="1:20" ht="15.75" x14ac:dyDescent="0.25">
      <x:c r="A858"/>
      <x:c r="B858"/>
      <x:c r="C858"/>
      <x:c r="D858"/>
      <x:c r="E858" s="31"/>
      <x:c r="F858" s="8"/>
      <x:c r="G858" s="8"/>
      <x:c r="H858" s="6"/>
      <x:c r="I858" s="27"/>
      <x:c r="J858" s="6"/>
      <x:c r="K858" s="6"/>
      <x:c r="L858" s="6"/>
      <x:c r="M858" s="6"/>
      <x:c r="N858" s="6"/>
      <x:c r="O858" s="6"/>
      <x:c r="P858" s="6"/>
      <x:c r="Q858" s="6"/>
      <x:c r="R858"/>
      <x:c r="S858"/>
      <x:c r="T858"/>
    </x:row>
    <x:row r="859" spans="1:20" ht="15.75" x14ac:dyDescent="0.25">
      <x:c r="A859"/>
      <x:c r="B859"/>
      <x:c r="C859"/>
      <x:c r="D859"/>
      <x:c r="E859" s="31"/>
      <x:c r="F859" s="8"/>
      <x:c r="G859" s="8"/>
      <x:c r="H859" s="6"/>
      <x:c r="I859" s="27"/>
      <x:c r="J859" s="6"/>
      <x:c r="K859" s="6"/>
      <x:c r="L859" s="6"/>
      <x:c r="M859" s="6"/>
      <x:c r="N859" s="6"/>
      <x:c r="O859" s="6"/>
      <x:c r="P859" s="6"/>
      <x:c r="Q859" s="6"/>
      <x:c r="R859"/>
      <x:c r="S859"/>
      <x:c r="T859"/>
    </x:row>
    <x:row r="860" spans="1:20" ht="15.75" x14ac:dyDescent="0.25">
      <x:c r="A860"/>
      <x:c r="B860"/>
      <x:c r="C860"/>
      <x:c r="D860"/>
      <x:c r="E860" s="31"/>
      <x:c r="F860" s="8"/>
      <x:c r="G860" s="8"/>
      <x:c r="H860" s="6"/>
      <x:c r="I860" s="27"/>
      <x:c r="J860" s="6"/>
      <x:c r="K860" s="6"/>
      <x:c r="L860" s="6"/>
      <x:c r="M860" s="6"/>
      <x:c r="N860" s="6"/>
      <x:c r="O860" s="6"/>
      <x:c r="P860" s="6"/>
      <x:c r="Q860" s="6"/>
      <x:c r="R860"/>
      <x:c r="S860"/>
      <x:c r="T860"/>
    </x:row>
    <x:row r="861" spans="1:20" ht="15.75" x14ac:dyDescent="0.25">
      <x:c r="A861"/>
      <x:c r="B861"/>
      <x:c r="C861"/>
      <x:c r="D861"/>
      <x:c r="E861" s="31"/>
      <x:c r="F861" s="8"/>
      <x:c r="G861" s="8"/>
      <x:c r="H861" s="6"/>
      <x:c r="I861" s="27"/>
      <x:c r="J861" s="6"/>
      <x:c r="K861" s="6"/>
      <x:c r="L861" s="6"/>
      <x:c r="M861" s="6"/>
      <x:c r="N861" s="6"/>
      <x:c r="O861" s="6"/>
      <x:c r="P861" s="6"/>
      <x:c r="Q861" s="6"/>
      <x:c r="R861"/>
      <x:c r="S861"/>
      <x:c r="T861"/>
    </x:row>
    <x:row r="862" spans="1:20" ht="15.75" x14ac:dyDescent="0.25">
      <x:c r="A862"/>
      <x:c r="B862"/>
      <x:c r="C862"/>
      <x:c r="D862"/>
      <x:c r="E862" s="31"/>
      <x:c r="F862" s="8"/>
      <x:c r="G862" s="8"/>
      <x:c r="H862" s="6"/>
      <x:c r="I862" s="27"/>
      <x:c r="J862" s="6"/>
      <x:c r="K862" s="6"/>
      <x:c r="L862" s="6"/>
      <x:c r="M862" s="6"/>
      <x:c r="N862" s="6"/>
      <x:c r="O862" s="6"/>
      <x:c r="P862" s="6"/>
      <x:c r="Q862" s="6"/>
      <x:c r="R862"/>
      <x:c r="S862"/>
      <x:c r="T862"/>
    </x:row>
    <x:row r="863" spans="1:20" ht="15.75" x14ac:dyDescent="0.25">
      <x:c r="A863"/>
      <x:c r="B863"/>
      <x:c r="C863"/>
      <x:c r="D863"/>
      <x:c r="E863" s="31"/>
      <x:c r="F863" s="8"/>
      <x:c r="G863" s="8"/>
      <x:c r="H863" s="6"/>
      <x:c r="I863" s="27"/>
      <x:c r="J863" s="6"/>
      <x:c r="K863" s="6"/>
      <x:c r="L863" s="6"/>
      <x:c r="M863" s="6"/>
      <x:c r="N863" s="6"/>
      <x:c r="O863" s="6"/>
      <x:c r="P863" s="6"/>
      <x:c r="Q863" s="6"/>
      <x:c r="R863"/>
      <x:c r="S863"/>
      <x:c r="T863"/>
    </x:row>
    <x:row r="864" spans="1:20" ht="15.75" x14ac:dyDescent="0.25">
      <x:c r="A864"/>
      <x:c r="B864"/>
      <x:c r="C864"/>
      <x:c r="D864"/>
      <x:c r="E864" s="31"/>
      <x:c r="F864" s="8"/>
      <x:c r="G864" s="8"/>
      <x:c r="H864" s="6"/>
      <x:c r="I864" s="27"/>
      <x:c r="J864" s="6"/>
      <x:c r="K864" s="6"/>
      <x:c r="L864" s="6"/>
      <x:c r="M864" s="6"/>
      <x:c r="N864" s="6"/>
      <x:c r="O864" s="6"/>
      <x:c r="P864" s="6"/>
      <x:c r="Q864" s="6"/>
      <x:c r="R864"/>
      <x:c r="S864"/>
      <x:c r="T864"/>
    </x:row>
    <x:row r="865" spans="1:20" ht="15.75" x14ac:dyDescent="0.25">
      <x:c r="A865"/>
      <x:c r="B865"/>
      <x:c r="C865"/>
      <x:c r="D865"/>
      <x:c r="E865" s="31"/>
      <x:c r="F865" s="8"/>
      <x:c r="G865" s="8"/>
      <x:c r="H865" s="6"/>
      <x:c r="I865" s="27"/>
      <x:c r="J865" s="6"/>
      <x:c r="K865" s="6"/>
      <x:c r="L865" s="6"/>
      <x:c r="M865" s="6"/>
      <x:c r="N865" s="6"/>
      <x:c r="O865" s="6"/>
      <x:c r="P865" s="6"/>
      <x:c r="Q865" s="6"/>
      <x:c r="R865"/>
      <x:c r="S865"/>
      <x:c r="T865"/>
    </x:row>
    <x:row r="866" spans="1:20" ht="15.75" x14ac:dyDescent="0.25">
      <x:c r="A866"/>
      <x:c r="B866"/>
      <x:c r="C866"/>
      <x:c r="D866"/>
      <x:c r="E866" s="31"/>
      <x:c r="F866" s="8"/>
      <x:c r="G866" s="8"/>
      <x:c r="H866" s="6"/>
      <x:c r="I866" s="27"/>
      <x:c r="J866" s="6"/>
      <x:c r="K866" s="6"/>
      <x:c r="L866" s="6"/>
      <x:c r="M866" s="6"/>
      <x:c r="N866" s="6"/>
      <x:c r="O866" s="6"/>
      <x:c r="P866" s="6"/>
      <x:c r="Q866" s="6"/>
      <x:c r="R866"/>
      <x:c r="S866"/>
      <x:c r="T866"/>
    </x:row>
    <x:row r="867" spans="1:20" ht="15.75" x14ac:dyDescent="0.25">
      <x:c r="A867"/>
      <x:c r="B867"/>
      <x:c r="C867"/>
      <x:c r="D867"/>
      <x:c r="E867" s="31"/>
      <x:c r="F867" s="8"/>
      <x:c r="G867" s="8"/>
      <x:c r="H867" s="6"/>
      <x:c r="I867" s="27"/>
      <x:c r="J867" s="6"/>
      <x:c r="K867" s="6"/>
      <x:c r="L867" s="6"/>
      <x:c r="M867" s="6"/>
      <x:c r="N867" s="6"/>
      <x:c r="O867" s="6"/>
      <x:c r="P867" s="6"/>
      <x:c r="Q867" s="6"/>
      <x:c r="R867"/>
      <x:c r="S867"/>
      <x:c r="T867"/>
    </x:row>
    <x:row r="868" spans="1:20" ht="15.75" x14ac:dyDescent="0.25">
      <x:c r="A868"/>
      <x:c r="B868"/>
      <x:c r="C868"/>
      <x:c r="D868"/>
      <x:c r="E868" s="31"/>
      <x:c r="F868" s="8"/>
      <x:c r="G868" s="8"/>
      <x:c r="H868" s="6"/>
      <x:c r="I868" s="27"/>
      <x:c r="J868" s="6"/>
      <x:c r="K868" s="6"/>
      <x:c r="L868" s="6"/>
      <x:c r="M868" s="6"/>
      <x:c r="N868" s="6"/>
      <x:c r="O868" s="6"/>
      <x:c r="P868" s="6"/>
      <x:c r="Q868" s="6"/>
      <x:c r="R868"/>
      <x:c r="S868"/>
      <x:c r="T868"/>
    </x:row>
    <x:row r="869" spans="1:20" ht="15.75" x14ac:dyDescent="0.25">
      <x:c r="A869"/>
      <x:c r="B869"/>
      <x:c r="C869"/>
      <x:c r="D869"/>
      <x:c r="E869" s="31"/>
      <x:c r="F869" s="8"/>
      <x:c r="G869" s="8"/>
      <x:c r="H869" s="6"/>
      <x:c r="I869" s="27"/>
      <x:c r="J869" s="6"/>
      <x:c r="K869" s="6"/>
      <x:c r="L869" s="6"/>
      <x:c r="M869" s="6"/>
      <x:c r="N869" s="6"/>
      <x:c r="O869" s="6"/>
      <x:c r="P869" s="6"/>
      <x:c r="Q869" s="6"/>
      <x:c r="R869"/>
      <x:c r="S869"/>
      <x:c r="T869"/>
    </x:row>
    <x:row r="870" spans="1:20" ht="15.75" x14ac:dyDescent="0.25">
      <x:c r="A870"/>
      <x:c r="B870"/>
      <x:c r="C870"/>
      <x:c r="D870"/>
      <x:c r="E870" s="31"/>
      <x:c r="F870" s="8"/>
      <x:c r="G870" s="8"/>
      <x:c r="H870" s="6"/>
      <x:c r="I870" s="27"/>
      <x:c r="J870" s="6"/>
      <x:c r="K870" s="6"/>
      <x:c r="L870" s="6"/>
      <x:c r="M870" s="6"/>
      <x:c r="N870" s="6"/>
      <x:c r="O870" s="6"/>
      <x:c r="P870" s="6"/>
      <x:c r="Q870" s="6"/>
      <x:c r="R870"/>
      <x:c r="S870"/>
      <x:c r="T870"/>
    </x:row>
    <x:row r="871" spans="1:20" ht="15.75" x14ac:dyDescent="0.25">
      <x:c r="A871"/>
      <x:c r="B871"/>
      <x:c r="C871"/>
      <x:c r="D871"/>
      <x:c r="E871" s="31"/>
      <x:c r="F871" s="8"/>
      <x:c r="G871" s="8"/>
      <x:c r="H871" s="6"/>
      <x:c r="I871" s="27"/>
      <x:c r="J871" s="6"/>
      <x:c r="K871" s="6"/>
      <x:c r="L871" s="6"/>
      <x:c r="M871" s="6"/>
      <x:c r="N871" s="6"/>
      <x:c r="O871" s="6"/>
      <x:c r="P871" s="6"/>
      <x:c r="Q871" s="6"/>
      <x:c r="R871"/>
      <x:c r="S871"/>
      <x:c r="T871"/>
    </x:row>
    <x:row r="872" spans="1:20" ht="15.75" x14ac:dyDescent="0.25">
      <x:c r="A872"/>
      <x:c r="B872"/>
      <x:c r="C872"/>
      <x:c r="D872"/>
      <x:c r="E872" s="31"/>
      <x:c r="F872" s="8"/>
      <x:c r="G872" s="8"/>
      <x:c r="H872" s="6"/>
      <x:c r="I872" s="27"/>
      <x:c r="J872" s="6"/>
      <x:c r="K872" s="6"/>
      <x:c r="L872" s="6"/>
      <x:c r="M872" s="6"/>
      <x:c r="N872" s="6"/>
      <x:c r="O872" s="6"/>
      <x:c r="P872" s="6"/>
      <x:c r="Q872" s="6"/>
      <x:c r="R872"/>
      <x:c r="S872"/>
      <x:c r="T872"/>
    </x:row>
    <x:row r="873" spans="1:20" ht="15.75" x14ac:dyDescent="0.25">
      <x:c r="A873"/>
      <x:c r="B873"/>
      <x:c r="C873"/>
      <x:c r="D873"/>
      <x:c r="E873" s="31"/>
      <x:c r="F873" s="8"/>
      <x:c r="G873" s="8"/>
      <x:c r="H873" s="6"/>
      <x:c r="I873" s="27"/>
      <x:c r="J873" s="6"/>
      <x:c r="K873" s="6"/>
      <x:c r="L873" s="6"/>
      <x:c r="M873" s="6"/>
      <x:c r="N873" s="6"/>
      <x:c r="O873" s="6"/>
      <x:c r="P873" s="6"/>
      <x:c r="Q873" s="6"/>
      <x:c r="R873"/>
      <x:c r="S873"/>
      <x:c r="T873"/>
    </x:row>
    <x:row r="874" spans="1:20" ht="15.75" x14ac:dyDescent="0.25">
      <x:c r="A874"/>
      <x:c r="B874"/>
      <x:c r="C874"/>
      <x:c r="D874"/>
      <x:c r="E874" s="31"/>
      <x:c r="F874" s="8"/>
      <x:c r="G874" s="8"/>
      <x:c r="H874" s="6"/>
      <x:c r="I874" s="27"/>
      <x:c r="J874" s="6"/>
      <x:c r="K874" s="6"/>
      <x:c r="L874" s="6"/>
      <x:c r="M874" s="6"/>
      <x:c r="N874" s="6"/>
      <x:c r="O874" s="6"/>
      <x:c r="P874" s="6"/>
      <x:c r="Q874" s="6"/>
      <x:c r="R874"/>
      <x:c r="S874"/>
      <x:c r="T874"/>
    </x:row>
    <x:row r="875" spans="1:20" ht="15.75" x14ac:dyDescent="0.25">
      <x:c r="A875"/>
      <x:c r="B875"/>
      <x:c r="C875"/>
      <x:c r="D875"/>
      <x:c r="E875" s="31"/>
      <x:c r="F875" s="8"/>
      <x:c r="G875" s="8"/>
      <x:c r="H875" s="6"/>
      <x:c r="I875" s="27"/>
      <x:c r="J875" s="6"/>
      <x:c r="K875" s="6"/>
      <x:c r="L875" s="6"/>
      <x:c r="M875" s="6"/>
      <x:c r="N875" s="6"/>
      <x:c r="O875" s="6"/>
      <x:c r="P875" s="6"/>
      <x:c r="Q875" s="6"/>
      <x:c r="R875"/>
      <x:c r="S875"/>
      <x:c r="T875"/>
    </x:row>
    <x:row r="876" spans="1:20" ht="15.75" x14ac:dyDescent="0.25">
      <x:c r="A876"/>
      <x:c r="B876"/>
      <x:c r="C876"/>
      <x:c r="D876"/>
      <x:c r="E876" s="31"/>
      <x:c r="F876" s="8"/>
      <x:c r="G876" s="8"/>
      <x:c r="H876" s="6"/>
      <x:c r="I876" s="27"/>
      <x:c r="J876" s="6"/>
      <x:c r="K876" s="6"/>
      <x:c r="L876" s="6"/>
      <x:c r="M876" s="6"/>
      <x:c r="N876" s="6"/>
      <x:c r="O876" s="6"/>
      <x:c r="P876" s="6"/>
      <x:c r="Q876" s="6"/>
      <x:c r="R876"/>
      <x:c r="S876"/>
      <x:c r="T876"/>
    </x:row>
    <x:row r="877" spans="1:20" ht="15.75" x14ac:dyDescent="0.25">
      <x:c r="A877"/>
      <x:c r="B877"/>
      <x:c r="C877"/>
      <x:c r="D877"/>
      <x:c r="E877" s="31"/>
      <x:c r="F877" s="8"/>
      <x:c r="G877" s="8"/>
      <x:c r="H877" s="6"/>
      <x:c r="I877" s="27"/>
      <x:c r="J877" s="6"/>
      <x:c r="K877" s="6"/>
      <x:c r="L877" s="6"/>
      <x:c r="M877" s="6"/>
      <x:c r="N877" s="6"/>
      <x:c r="O877" s="6"/>
      <x:c r="P877" s="6"/>
      <x:c r="Q877" s="6"/>
      <x:c r="R877"/>
      <x:c r="S877"/>
      <x:c r="T877"/>
    </x:row>
    <x:row r="878" spans="1:20" ht="15.75" x14ac:dyDescent="0.25">
      <x:c r="A878"/>
      <x:c r="B878"/>
      <x:c r="C878"/>
      <x:c r="D878"/>
      <x:c r="E878" s="31"/>
      <x:c r="F878" s="8"/>
      <x:c r="G878" s="8"/>
      <x:c r="H878" s="6"/>
      <x:c r="I878" s="27"/>
      <x:c r="J878" s="6"/>
      <x:c r="K878" s="6"/>
      <x:c r="L878" s="6"/>
      <x:c r="M878" s="6"/>
      <x:c r="N878" s="6"/>
      <x:c r="O878" s="6"/>
      <x:c r="P878" s="6"/>
      <x:c r="Q878" s="6"/>
      <x:c r="R878"/>
      <x:c r="S878"/>
      <x:c r="T878"/>
    </x:row>
    <x:row r="879" spans="1:20" ht="15.75" x14ac:dyDescent="0.25">
      <x:c r="A879"/>
      <x:c r="B879"/>
      <x:c r="C879"/>
      <x:c r="D879"/>
      <x:c r="E879" s="31"/>
      <x:c r="F879" s="8"/>
      <x:c r="G879" s="8"/>
      <x:c r="H879" s="6"/>
      <x:c r="I879" s="27"/>
      <x:c r="J879" s="6"/>
      <x:c r="K879" s="6"/>
      <x:c r="L879" s="6"/>
      <x:c r="M879" s="6"/>
      <x:c r="N879" s="6"/>
      <x:c r="O879" s="6"/>
      <x:c r="P879" s="6"/>
      <x:c r="Q879" s="6"/>
      <x:c r="R879"/>
      <x:c r="S879"/>
      <x:c r="T879"/>
    </x:row>
    <x:row r="880" spans="1:20" ht="15.75" x14ac:dyDescent="0.25">
      <x:c r="A880"/>
      <x:c r="B880"/>
      <x:c r="C880"/>
      <x:c r="D880"/>
      <x:c r="E880" s="31"/>
      <x:c r="F880" s="8"/>
      <x:c r="G880" s="8"/>
      <x:c r="H880" s="6"/>
      <x:c r="I880" s="27"/>
      <x:c r="J880" s="6"/>
      <x:c r="K880" s="6"/>
      <x:c r="L880" s="6"/>
      <x:c r="M880" s="6"/>
      <x:c r="N880" s="6"/>
      <x:c r="O880" s="6"/>
      <x:c r="P880" s="6"/>
      <x:c r="Q880" s="6"/>
      <x:c r="R880"/>
      <x:c r="S880"/>
      <x:c r="T880"/>
    </x:row>
    <x:row r="881" spans="1:20" ht="15.75" x14ac:dyDescent="0.25">
      <x:c r="A881"/>
      <x:c r="B881"/>
      <x:c r="C881"/>
      <x:c r="D881"/>
      <x:c r="E881" s="31"/>
      <x:c r="F881" s="8"/>
      <x:c r="G881" s="8"/>
      <x:c r="H881" s="6"/>
      <x:c r="I881" s="27"/>
      <x:c r="J881" s="6"/>
      <x:c r="K881" s="6"/>
      <x:c r="L881" s="6"/>
      <x:c r="M881" s="6"/>
      <x:c r="N881" s="6"/>
      <x:c r="O881" s="6"/>
      <x:c r="P881" s="6"/>
      <x:c r="Q881" s="6"/>
      <x:c r="R881"/>
      <x:c r="S881"/>
      <x:c r="T881"/>
    </x:row>
    <x:row r="882" spans="1:20" ht="15.75" x14ac:dyDescent="0.25">
      <x:c r="A882"/>
      <x:c r="B882"/>
      <x:c r="C882"/>
      <x:c r="D882"/>
      <x:c r="E882" s="31"/>
      <x:c r="F882" s="8"/>
      <x:c r="G882" s="8"/>
      <x:c r="H882" s="6"/>
      <x:c r="I882" s="27"/>
      <x:c r="J882" s="6"/>
      <x:c r="K882" s="6"/>
      <x:c r="L882" s="6"/>
      <x:c r="M882" s="6"/>
      <x:c r="N882" s="6"/>
      <x:c r="O882" s="6"/>
      <x:c r="P882" s="6"/>
      <x:c r="Q882" s="6"/>
      <x:c r="R882"/>
      <x:c r="S882"/>
      <x:c r="T882"/>
    </x:row>
    <x:row r="883" spans="1:20" ht="15.75" x14ac:dyDescent="0.25">
      <x:c r="A883"/>
      <x:c r="B883"/>
      <x:c r="C883"/>
      <x:c r="D883"/>
      <x:c r="E883" s="31"/>
      <x:c r="F883" s="8"/>
      <x:c r="G883" s="8"/>
      <x:c r="H883" s="6"/>
      <x:c r="I883" s="27"/>
      <x:c r="J883" s="6"/>
      <x:c r="K883" s="6"/>
      <x:c r="L883" s="6"/>
      <x:c r="M883" s="6"/>
      <x:c r="N883" s="6"/>
      <x:c r="O883" s="6"/>
      <x:c r="P883" s="6"/>
      <x:c r="Q883" s="6"/>
      <x:c r="R883"/>
      <x:c r="S883"/>
      <x:c r="T883"/>
    </x:row>
    <x:row r="884" spans="1:20" ht="15.75" x14ac:dyDescent="0.25">
      <x:c r="A884"/>
      <x:c r="B884"/>
      <x:c r="C884"/>
      <x:c r="D884"/>
      <x:c r="E884" s="31"/>
      <x:c r="F884" s="8"/>
      <x:c r="G884" s="8"/>
      <x:c r="H884" s="6"/>
      <x:c r="I884" s="27"/>
      <x:c r="J884" s="6"/>
      <x:c r="K884" s="6"/>
      <x:c r="L884" s="6"/>
      <x:c r="M884" s="6"/>
      <x:c r="N884" s="6"/>
      <x:c r="O884" s="6"/>
      <x:c r="P884" s="6"/>
      <x:c r="Q884" s="6"/>
      <x:c r="R884"/>
      <x:c r="S884"/>
      <x:c r="T884"/>
    </x:row>
    <x:row r="885" spans="1:20" ht="15.75" x14ac:dyDescent="0.25">
      <x:c r="A885"/>
      <x:c r="B885"/>
      <x:c r="C885"/>
      <x:c r="D885"/>
      <x:c r="E885" s="31"/>
      <x:c r="F885" s="8"/>
      <x:c r="G885" s="8"/>
      <x:c r="H885" s="6"/>
      <x:c r="I885" s="27"/>
      <x:c r="J885" s="6"/>
      <x:c r="K885" s="6"/>
      <x:c r="L885" s="6"/>
      <x:c r="M885" s="6"/>
      <x:c r="N885" s="6"/>
      <x:c r="O885" s="6"/>
      <x:c r="P885" s="6"/>
      <x:c r="Q885" s="6"/>
      <x:c r="R885"/>
      <x:c r="S885"/>
      <x:c r="T885"/>
    </x:row>
    <x:row r="886" spans="1:20" ht="15.75" x14ac:dyDescent="0.25">
      <x:c r="A886"/>
      <x:c r="B886"/>
      <x:c r="C886"/>
      <x:c r="D886"/>
      <x:c r="E886" s="31"/>
      <x:c r="F886" s="8"/>
      <x:c r="G886" s="8"/>
      <x:c r="H886" s="6"/>
      <x:c r="I886" s="27"/>
      <x:c r="J886" s="6"/>
      <x:c r="K886" s="6"/>
      <x:c r="L886" s="6"/>
      <x:c r="M886" s="6"/>
      <x:c r="N886" s="6"/>
      <x:c r="O886" s="6"/>
      <x:c r="P886" s="6"/>
      <x:c r="Q886" s="6"/>
      <x:c r="R886"/>
      <x:c r="S886"/>
      <x:c r="T886"/>
    </x:row>
    <x:row r="887" spans="1:20" ht="15.75" x14ac:dyDescent="0.25">
      <x:c r="A887"/>
      <x:c r="B887"/>
      <x:c r="C887"/>
      <x:c r="D887"/>
      <x:c r="E887" s="31"/>
      <x:c r="F887" s="8"/>
      <x:c r="G887" s="8"/>
      <x:c r="H887" s="6"/>
      <x:c r="I887" s="27"/>
      <x:c r="J887" s="6"/>
      <x:c r="K887" s="6"/>
      <x:c r="L887" s="6"/>
      <x:c r="M887" s="6"/>
      <x:c r="N887" s="6"/>
      <x:c r="O887" s="6"/>
      <x:c r="P887" s="6"/>
      <x:c r="Q887" s="6"/>
      <x:c r="R887"/>
      <x:c r="S887"/>
      <x:c r="T887"/>
    </x:row>
    <x:row r="888" spans="1:20" ht="15.75" x14ac:dyDescent="0.25">
      <x:c r="A888"/>
      <x:c r="B888"/>
      <x:c r="C888"/>
      <x:c r="D888"/>
      <x:c r="E888" s="31"/>
      <x:c r="F888" s="8"/>
      <x:c r="G888" s="8"/>
      <x:c r="H888" s="6"/>
      <x:c r="I888" s="27"/>
      <x:c r="J888" s="6"/>
      <x:c r="K888" s="6"/>
      <x:c r="L888" s="6"/>
      <x:c r="M888" s="6"/>
      <x:c r="N888" s="6"/>
      <x:c r="O888" s="6"/>
      <x:c r="P888" s="6"/>
      <x:c r="Q888" s="6"/>
      <x:c r="R888"/>
      <x:c r="S888"/>
      <x:c r="T888"/>
    </x:row>
    <x:row r="889" spans="1:20" ht="15.75" x14ac:dyDescent="0.25">
      <x:c r="A889"/>
      <x:c r="B889"/>
      <x:c r="C889"/>
      <x:c r="D889"/>
      <x:c r="E889" s="31"/>
      <x:c r="F889" s="8"/>
      <x:c r="G889" s="8"/>
      <x:c r="H889" s="6"/>
      <x:c r="I889" s="27"/>
      <x:c r="J889" s="6"/>
      <x:c r="K889" s="6"/>
      <x:c r="L889" s="6"/>
      <x:c r="M889" s="6"/>
      <x:c r="N889" s="6"/>
      <x:c r="O889" s="6"/>
      <x:c r="P889" s="6"/>
      <x:c r="Q889" s="6"/>
      <x:c r="R889"/>
      <x:c r="S889"/>
      <x:c r="T889"/>
    </x:row>
    <x:row r="890" spans="1:20" ht="15.75" x14ac:dyDescent="0.25">
      <x:c r="A890"/>
      <x:c r="B890"/>
      <x:c r="C890"/>
      <x:c r="D890"/>
      <x:c r="E890" s="31"/>
      <x:c r="F890" s="8"/>
      <x:c r="G890" s="8"/>
      <x:c r="H890" s="6"/>
      <x:c r="I890" s="27"/>
      <x:c r="J890" s="6"/>
      <x:c r="K890" s="6"/>
      <x:c r="L890" s="6"/>
      <x:c r="M890" s="6"/>
      <x:c r="N890" s="6"/>
      <x:c r="O890" s="6"/>
      <x:c r="P890" s="6"/>
      <x:c r="Q890" s="6"/>
      <x:c r="R890"/>
      <x:c r="S890"/>
      <x:c r="T890"/>
    </x:row>
    <x:row r="891" spans="1:20" ht="15.75" x14ac:dyDescent="0.25">
      <x:c r="A891"/>
      <x:c r="B891"/>
      <x:c r="C891"/>
      <x:c r="D891"/>
      <x:c r="E891" s="31"/>
      <x:c r="F891" s="8"/>
      <x:c r="G891" s="8"/>
      <x:c r="H891" s="6"/>
      <x:c r="I891" s="27"/>
      <x:c r="J891" s="6"/>
      <x:c r="K891" s="6"/>
      <x:c r="L891" s="6"/>
      <x:c r="M891" s="6"/>
      <x:c r="N891" s="6"/>
      <x:c r="O891" s="6"/>
      <x:c r="P891" s="6"/>
      <x:c r="Q891" s="6"/>
      <x:c r="R891"/>
      <x:c r="S891"/>
      <x:c r="T891"/>
    </x:row>
    <x:row r="892" spans="1:20" ht="15.75" x14ac:dyDescent="0.25">
      <x:c r="A892"/>
      <x:c r="B892"/>
      <x:c r="C892"/>
      <x:c r="D892"/>
      <x:c r="E892" s="31"/>
      <x:c r="F892" s="8"/>
      <x:c r="G892" s="8"/>
      <x:c r="H892" s="6"/>
      <x:c r="I892" s="27"/>
      <x:c r="J892" s="6"/>
      <x:c r="K892" s="6"/>
      <x:c r="L892" s="6"/>
      <x:c r="M892" s="6"/>
      <x:c r="N892" s="6"/>
      <x:c r="O892" s="6"/>
      <x:c r="P892" s="6"/>
      <x:c r="Q892" s="6"/>
      <x:c r="R892"/>
      <x:c r="S892"/>
      <x:c r="T892"/>
    </x:row>
    <x:row r="893" spans="1:20" ht="15.75" x14ac:dyDescent="0.25">
      <x:c r="A893"/>
      <x:c r="B893"/>
      <x:c r="C893"/>
      <x:c r="D893"/>
      <x:c r="E893" s="31"/>
      <x:c r="F893" s="8"/>
      <x:c r="G893" s="8"/>
      <x:c r="H893" s="6"/>
      <x:c r="I893" s="27"/>
      <x:c r="J893" s="6"/>
      <x:c r="K893" s="6"/>
      <x:c r="L893" s="6"/>
      <x:c r="M893" s="6"/>
      <x:c r="N893" s="6"/>
      <x:c r="O893" s="6"/>
      <x:c r="P893" s="6"/>
      <x:c r="Q893" s="6"/>
      <x:c r="R893"/>
      <x:c r="S893"/>
      <x:c r="T893"/>
    </x:row>
    <x:row r="894" spans="1:20" ht="15.75" x14ac:dyDescent="0.25">
      <x:c r="A894"/>
      <x:c r="B894"/>
      <x:c r="C894"/>
      <x:c r="D894"/>
      <x:c r="E894" s="31"/>
      <x:c r="F894" s="8"/>
      <x:c r="G894" s="8"/>
      <x:c r="H894" s="6"/>
      <x:c r="I894" s="27"/>
      <x:c r="J894" s="6"/>
      <x:c r="K894" s="6"/>
      <x:c r="L894" s="6"/>
      <x:c r="M894" s="6"/>
      <x:c r="N894" s="6"/>
      <x:c r="O894" s="6"/>
      <x:c r="P894" s="6"/>
      <x:c r="Q894" s="6"/>
      <x:c r="R894"/>
      <x:c r="S894"/>
      <x:c r="T894"/>
    </x:row>
    <x:row r="895" spans="1:20" ht="15.75" x14ac:dyDescent="0.25">
      <x:c r="A895"/>
      <x:c r="B895"/>
      <x:c r="C895"/>
      <x:c r="D895"/>
      <x:c r="E895" s="31"/>
      <x:c r="F895" s="8"/>
      <x:c r="G895" s="8"/>
      <x:c r="H895" s="6"/>
      <x:c r="I895" s="27"/>
      <x:c r="J895" s="6"/>
      <x:c r="K895" s="6"/>
      <x:c r="L895" s="6"/>
      <x:c r="M895" s="6"/>
      <x:c r="N895" s="6"/>
      <x:c r="O895" s="6"/>
      <x:c r="P895" s="6"/>
      <x:c r="Q895" s="6"/>
      <x:c r="R895"/>
      <x:c r="S895"/>
      <x:c r="T895"/>
    </x:row>
    <x:row r="896" spans="1:20" ht="15.75" x14ac:dyDescent="0.25">
      <x:c r="A896"/>
      <x:c r="B896"/>
      <x:c r="C896"/>
      <x:c r="D896"/>
      <x:c r="E896" s="31"/>
      <x:c r="F896" s="8"/>
      <x:c r="G896" s="8"/>
      <x:c r="H896" s="6"/>
      <x:c r="I896" s="27"/>
      <x:c r="J896" s="6"/>
      <x:c r="K896" s="6"/>
      <x:c r="L896" s="6"/>
      <x:c r="M896" s="6"/>
      <x:c r="N896" s="6"/>
      <x:c r="O896" s="6"/>
      <x:c r="P896" s="6"/>
      <x:c r="Q896" s="6"/>
      <x:c r="R896"/>
      <x:c r="S896"/>
      <x:c r="T896"/>
    </x:row>
    <x:row r="897" spans="1:20" ht="15.75" x14ac:dyDescent="0.25">
      <x:c r="A897"/>
      <x:c r="B897"/>
      <x:c r="C897"/>
      <x:c r="D897"/>
      <x:c r="E897" s="31"/>
      <x:c r="F897" s="8"/>
      <x:c r="G897" s="8"/>
      <x:c r="H897" s="6"/>
      <x:c r="I897" s="27"/>
      <x:c r="J897" s="6"/>
      <x:c r="K897" s="6"/>
      <x:c r="L897" s="6"/>
      <x:c r="M897" s="6"/>
      <x:c r="N897" s="6"/>
      <x:c r="O897" s="6"/>
      <x:c r="P897" s="6"/>
      <x:c r="Q897" s="6"/>
      <x:c r="R897"/>
      <x:c r="S897"/>
      <x:c r="T897"/>
    </x:row>
    <x:row r="898" spans="1:20" ht="15.75" x14ac:dyDescent="0.25">
      <x:c r="A898"/>
      <x:c r="B898"/>
      <x:c r="C898"/>
      <x:c r="D898"/>
      <x:c r="E898" s="31"/>
      <x:c r="F898" s="8"/>
      <x:c r="G898" s="8"/>
      <x:c r="H898" s="6"/>
      <x:c r="I898" s="27"/>
      <x:c r="J898" s="6"/>
      <x:c r="K898" s="6"/>
      <x:c r="L898" s="6"/>
      <x:c r="M898" s="6"/>
      <x:c r="N898" s="6"/>
      <x:c r="O898" s="6"/>
      <x:c r="P898" s="6"/>
      <x:c r="Q898" s="6"/>
      <x:c r="R898"/>
      <x:c r="S898"/>
      <x:c r="T898"/>
    </x:row>
    <x:row r="899" spans="1:20" ht="15.75" x14ac:dyDescent="0.25">
      <x:c r="A899"/>
      <x:c r="B899"/>
      <x:c r="C899"/>
      <x:c r="D899"/>
      <x:c r="E899" s="31"/>
      <x:c r="F899" s="8"/>
      <x:c r="G899" s="8"/>
      <x:c r="H899" s="6"/>
      <x:c r="I899" s="27"/>
      <x:c r="J899" s="6"/>
      <x:c r="K899" s="6"/>
      <x:c r="L899" s="6"/>
      <x:c r="M899" s="6"/>
      <x:c r="N899" s="6"/>
      <x:c r="O899" s="6"/>
      <x:c r="P899" s="6"/>
      <x:c r="Q899" s="6"/>
      <x:c r="R899"/>
      <x:c r="S899"/>
      <x:c r="T899"/>
    </x:row>
    <x:row r="900" spans="1:20" ht="15.75" x14ac:dyDescent="0.25">
      <x:c r="A900"/>
      <x:c r="B900"/>
      <x:c r="C900"/>
      <x:c r="D900"/>
      <x:c r="E900" s="31"/>
      <x:c r="F900" s="8"/>
      <x:c r="G900" s="8"/>
      <x:c r="H900" s="6"/>
      <x:c r="I900" s="27"/>
      <x:c r="J900" s="6"/>
      <x:c r="K900" s="6"/>
      <x:c r="L900" s="6"/>
      <x:c r="M900" s="6"/>
      <x:c r="N900" s="6"/>
      <x:c r="O900" s="6"/>
      <x:c r="P900" s="6"/>
      <x:c r="Q900" s="6"/>
      <x:c r="R900"/>
      <x:c r="S900"/>
      <x:c r="T900"/>
    </x:row>
    <x:row r="901" spans="1:20" ht="15.75" x14ac:dyDescent="0.25">
      <x:c r="A901"/>
      <x:c r="B901"/>
      <x:c r="C901"/>
      <x:c r="D901"/>
      <x:c r="E901" s="31"/>
      <x:c r="F901" s="8"/>
      <x:c r="G901" s="8"/>
      <x:c r="H901" s="6"/>
      <x:c r="I901" s="27"/>
      <x:c r="J901" s="6"/>
      <x:c r="K901" s="6"/>
      <x:c r="L901" s="6"/>
      <x:c r="M901" s="6"/>
      <x:c r="N901" s="6"/>
      <x:c r="O901" s="6"/>
      <x:c r="P901" s="6"/>
      <x:c r="Q901" s="6"/>
      <x:c r="R901"/>
      <x:c r="S901"/>
      <x:c r="T901"/>
    </x:row>
    <x:row r="902" spans="1:20" ht="15.75" x14ac:dyDescent="0.25">
      <x:c r="A902"/>
      <x:c r="B902"/>
      <x:c r="C902"/>
      <x:c r="D902"/>
      <x:c r="E902" s="31"/>
      <x:c r="F902" s="8"/>
      <x:c r="G902" s="8"/>
      <x:c r="H902" s="6"/>
      <x:c r="I902" s="27"/>
      <x:c r="J902" s="6"/>
      <x:c r="K902" s="6"/>
      <x:c r="L902" s="6"/>
      <x:c r="M902" s="6"/>
      <x:c r="N902" s="6"/>
      <x:c r="O902" s="6"/>
      <x:c r="P902" s="6"/>
      <x:c r="Q902" s="6"/>
      <x:c r="R902"/>
      <x:c r="S902"/>
      <x:c r="T902"/>
    </x:row>
    <x:row r="903" spans="1:20" ht="15.75" x14ac:dyDescent="0.25">
      <x:c r="A903"/>
      <x:c r="B903"/>
      <x:c r="C903"/>
      <x:c r="D903"/>
      <x:c r="E903" s="31"/>
      <x:c r="F903" s="8"/>
      <x:c r="G903" s="8"/>
      <x:c r="H903" s="6"/>
      <x:c r="I903" s="27"/>
      <x:c r="J903" s="6"/>
      <x:c r="K903" s="6"/>
      <x:c r="L903" s="6"/>
      <x:c r="M903" s="6"/>
      <x:c r="N903" s="6"/>
      <x:c r="O903" s="6"/>
      <x:c r="P903" s="6"/>
      <x:c r="Q903" s="6"/>
      <x:c r="R903"/>
      <x:c r="S903"/>
      <x:c r="T903"/>
    </x:row>
    <x:row r="904" spans="1:20" ht="15.75" x14ac:dyDescent="0.25">
      <x:c r="A904"/>
      <x:c r="B904"/>
      <x:c r="C904"/>
      <x:c r="D904"/>
      <x:c r="E904" s="31"/>
      <x:c r="F904" s="8"/>
      <x:c r="G904" s="8"/>
      <x:c r="H904" s="6"/>
      <x:c r="I904" s="27"/>
      <x:c r="J904" s="6"/>
      <x:c r="K904" s="6"/>
      <x:c r="L904" s="6"/>
      <x:c r="M904" s="6"/>
      <x:c r="N904" s="6"/>
      <x:c r="O904" s="6"/>
      <x:c r="P904" s="6"/>
      <x:c r="Q904" s="6"/>
      <x:c r="R904"/>
      <x:c r="S904"/>
      <x:c r="T904"/>
    </x:row>
    <x:row r="905" spans="1:20" ht="15.75" x14ac:dyDescent="0.25">
      <x:c r="A905"/>
      <x:c r="B905"/>
      <x:c r="C905"/>
      <x:c r="D905"/>
      <x:c r="E905" s="31"/>
      <x:c r="F905" s="8"/>
      <x:c r="G905" s="8"/>
      <x:c r="H905" s="6"/>
      <x:c r="I905" s="27"/>
      <x:c r="J905" s="6"/>
      <x:c r="K905" s="6"/>
      <x:c r="L905" s="6"/>
      <x:c r="M905" s="6"/>
      <x:c r="N905" s="6"/>
      <x:c r="O905" s="6"/>
      <x:c r="P905" s="6"/>
      <x:c r="Q905" s="6"/>
      <x:c r="R905"/>
      <x:c r="S905"/>
      <x:c r="T905"/>
    </x:row>
    <x:row r="906" spans="1:20" ht="15.75" x14ac:dyDescent="0.25">
      <x:c r="A906"/>
      <x:c r="B906"/>
      <x:c r="C906"/>
      <x:c r="D906"/>
      <x:c r="E906" s="31"/>
      <x:c r="F906" s="8"/>
      <x:c r="G906" s="8"/>
      <x:c r="H906" s="6"/>
      <x:c r="I906" s="27"/>
      <x:c r="J906" s="6"/>
      <x:c r="K906" s="6"/>
      <x:c r="L906" s="6"/>
      <x:c r="M906" s="6"/>
      <x:c r="N906" s="6"/>
      <x:c r="O906" s="6"/>
      <x:c r="P906" s="6"/>
      <x:c r="Q906" s="6"/>
      <x:c r="R906"/>
      <x:c r="S906"/>
      <x:c r="T906"/>
    </x:row>
    <x:row r="907" spans="1:20" ht="15.75" x14ac:dyDescent="0.25">
      <x:c r="A907"/>
      <x:c r="B907"/>
      <x:c r="C907"/>
      <x:c r="D907"/>
      <x:c r="E907" s="31"/>
      <x:c r="F907" s="8"/>
      <x:c r="G907" s="8"/>
      <x:c r="H907" s="6"/>
      <x:c r="I907" s="27"/>
      <x:c r="J907" s="6"/>
      <x:c r="K907" s="6"/>
      <x:c r="L907" s="6"/>
      <x:c r="M907" s="6"/>
      <x:c r="N907" s="6"/>
      <x:c r="O907" s="6"/>
      <x:c r="P907" s="6"/>
      <x:c r="Q907" s="6"/>
      <x:c r="R907"/>
      <x:c r="S907"/>
      <x:c r="T907"/>
    </x:row>
    <x:row r="908" spans="1:20" ht="15.75" x14ac:dyDescent="0.25">
      <x:c r="A908"/>
      <x:c r="B908"/>
      <x:c r="C908"/>
      <x:c r="D908"/>
      <x:c r="E908" s="31"/>
      <x:c r="F908" s="8"/>
      <x:c r="G908" s="8"/>
      <x:c r="H908" s="6"/>
      <x:c r="I908" s="27"/>
      <x:c r="J908" s="6"/>
      <x:c r="K908" s="6"/>
      <x:c r="L908" s="6"/>
      <x:c r="M908" s="6"/>
      <x:c r="N908" s="6"/>
      <x:c r="O908" s="6"/>
      <x:c r="P908" s="6"/>
      <x:c r="Q908" s="6"/>
      <x:c r="R908"/>
      <x:c r="S908"/>
      <x:c r="T908"/>
    </x:row>
    <x:row r="909" spans="1:20" ht="15.75" x14ac:dyDescent="0.25">
      <x:c r="A909"/>
      <x:c r="B909"/>
      <x:c r="C909"/>
      <x:c r="D909"/>
      <x:c r="E909" s="31"/>
      <x:c r="F909" s="8"/>
      <x:c r="G909" s="8"/>
      <x:c r="H909" s="6"/>
      <x:c r="I909" s="27"/>
      <x:c r="J909" s="6"/>
      <x:c r="K909" s="6"/>
      <x:c r="L909" s="6"/>
      <x:c r="M909" s="6"/>
      <x:c r="N909" s="6"/>
      <x:c r="O909" s="6"/>
      <x:c r="P909" s="6"/>
      <x:c r="Q909" s="6"/>
      <x:c r="R909"/>
      <x:c r="S909"/>
      <x:c r="T909"/>
    </x:row>
    <x:row r="910" spans="1:20" ht="15.75" x14ac:dyDescent="0.25">
      <x:c r="A910"/>
      <x:c r="B910"/>
      <x:c r="C910"/>
      <x:c r="D910"/>
      <x:c r="E910" s="31"/>
      <x:c r="F910" s="8"/>
      <x:c r="G910" s="8"/>
      <x:c r="H910" s="6"/>
      <x:c r="I910" s="27"/>
      <x:c r="J910" s="6"/>
      <x:c r="K910" s="6"/>
      <x:c r="L910" s="6"/>
      <x:c r="M910" s="6"/>
      <x:c r="N910" s="6"/>
      <x:c r="O910" s="6"/>
      <x:c r="P910" s="6"/>
      <x:c r="Q910" s="6"/>
      <x:c r="R910"/>
      <x:c r="S910"/>
      <x:c r="T910"/>
    </x:row>
    <x:row r="911" spans="1:20" ht="15.75" x14ac:dyDescent="0.25">
      <x:c r="A911"/>
      <x:c r="B911"/>
      <x:c r="C911"/>
      <x:c r="D911"/>
      <x:c r="E911" s="31"/>
      <x:c r="F911" s="8"/>
      <x:c r="G911" s="8"/>
      <x:c r="H911" s="6"/>
      <x:c r="I911" s="27"/>
      <x:c r="J911" s="6"/>
      <x:c r="K911" s="6"/>
      <x:c r="L911" s="6"/>
      <x:c r="M911" s="6"/>
      <x:c r="N911" s="6"/>
      <x:c r="O911" s="6"/>
      <x:c r="P911" s="6"/>
      <x:c r="Q911" s="6"/>
      <x:c r="R911"/>
      <x:c r="S911"/>
      <x:c r="T911"/>
    </x:row>
    <x:row r="912" spans="1:20" ht="15.75" x14ac:dyDescent="0.25">
      <x:c r="A912"/>
      <x:c r="B912"/>
      <x:c r="C912"/>
      <x:c r="D912"/>
      <x:c r="E912" s="31"/>
      <x:c r="F912" s="8"/>
      <x:c r="G912" s="8"/>
      <x:c r="H912" s="6"/>
      <x:c r="I912" s="27"/>
      <x:c r="J912" s="6"/>
      <x:c r="K912" s="6"/>
      <x:c r="L912" s="6"/>
      <x:c r="M912" s="6"/>
      <x:c r="N912" s="6"/>
      <x:c r="O912" s="6"/>
      <x:c r="P912" s="6"/>
      <x:c r="Q912" s="6"/>
      <x:c r="R912"/>
      <x:c r="S912"/>
      <x:c r="T912"/>
    </x:row>
    <x:row r="913" spans="1:20" ht="15.75" x14ac:dyDescent="0.25">
      <x:c r="A913"/>
      <x:c r="B913"/>
      <x:c r="C913"/>
      <x:c r="D913"/>
      <x:c r="E913" s="31"/>
      <x:c r="F913" s="8"/>
      <x:c r="G913" s="8"/>
      <x:c r="H913" s="6"/>
      <x:c r="I913" s="27"/>
      <x:c r="J913" s="6"/>
      <x:c r="K913" s="6"/>
      <x:c r="L913" s="6"/>
      <x:c r="M913" s="6"/>
      <x:c r="N913" s="6"/>
      <x:c r="O913" s="6"/>
      <x:c r="P913" s="6"/>
      <x:c r="Q913" s="6"/>
      <x:c r="R913"/>
      <x:c r="S913"/>
      <x:c r="T913"/>
    </x:row>
    <x:row r="914" spans="1:20" ht="15.75" x14ac:dyDescent="0.25">
      <x:c r="A914"/>
      <x:c r="B914"/>
      <x:c r="C914"/>
      <x:c r="D914"/>
      <x:c r="E914" s="31"/>
      <x:c r="F914" s="8"/>
      <x:c r="G914" s="8"/>
      <x:c r="H914" s="6"/>
      <x:c r="I914" s="27"/>
      <x:c r="J914" s="6"/>
      <x:c r="K914" s="6"/>
      <x:c r="L914" s="6"/>
      <x:c r="M914" s="6"/>
      <x:c r="N914" s="6"/>
      <x:c r="O914" s="6"/>
      <x:c r="P914" s="6"/>
      <x:c r="Q914" s="6"/>
      <x:c r="R914"/>
      <x:c r="S914"/>
      <x:c r="T914"/>
    </x:row>
    <x:row r="915" spans="1:20" ht="15.75" x14ac:dyDescent="0.25">
      <x:c r="A915"/>
      <x:c r="B915"/>
      <x:c r="C915"/>
      <x:c r="D915"/>
      <x:c r="E915" s="31"/>
      <x:c r="F915" s="8"/>
      <x:c r="G915" s="8"/>
      <x:c r="H915" s="6"/>
      <x:c r="I915" s="27"/>
      <x:c r="J915" s="6"/>
      <x:c r="K915" s="6"/>
      <x:c r="L915" s="6"/>
      <x:c r="M915" s="6"/>
      <x:c r="N915" s="6"/>
      <x:c r="O915" s="6"/>
      <x:c r="P915" s="6"/>
      <x:c r="Q915" s="6"/>
      <x:c r="R915"/>
      <x:c r="S915"/>
      <x:c r="T915"/>
    </x:row>
    <x:row r="916" spans="1:20" ht="15.75" x14ac:dyDescent="0.25">
      <x:c r="A916"/>
      <x:c r="B916"/>
      <x:c r="C916"/>
      <x:c r="D916"/>
      <x:c r="E916" s="31"/>
      <x:c r="F916" s="8"/>
      <x:c r="G916" s="8"/>
      <x:c r="H916" s="6"/>
      <x:c r="I916" s="27"/>
      <x:c r="J916" s="6"/>
      <x:c r="K916" s="6"/>
      <x:c r="L916" s="6"/>
      <x:c r="M916" s="6"/>
      <x:c r="N916" s="6"/>
      <x:c r="O916" s="6"/>
      <x:c r="P916" s="6"/>
      <x:c r="Q916" s="6"/>
      <x:c r="R916"/>
      <x:c r="S916"/>
      <x:c r="T916"/>
    </x:row>
    <x:row r="917" spans="1:20" ht="15.75" x14ac:dyDescent="0.25">
      <x:c r="A917"/>
      <x:c r="B917"/>
      <x:c r="C917"/>
      <x:c r="D917"/>
      <x:c r="E917" s="31"/>
      <x:c r="F917" s="8"/>
      <x:c r="G917" s="8"/>
      <x:c r="H917" s="6"/>
      <x:c r="I917" s="27"/>
      <x:c r="J917" s="6"/>
      <x:c r="K917" s="6"/>
      <x:c r="L917" s="6"/>
      <x:c r="M917" s="6"/>
      <x:c r="N917" s="6"/>
      <x:c r="O917" s="6"/>
      <x:c r="P917" s="6"/>
      <x:c r="Q917" s="6"/>
      <x:c r="R917"/>
      <x:c r="S917"/>
      <x:c r="T917"/>
    </x:row>
    <x:row r="918" spans="1:20" ht="15.75" x14ac:dyDescent="0.25">
      <x:c r="A918"/>
      <x:c r="B918"/>
      <x:c r="C918"/>
      <x:c r="D918"/>
      <x:c r="E918" s="31"/>
      <x:c r="F918" s="8"/>
      <x:c r="G918" s="8"/>
      <x:c r="H918" s="6"/>
      <x:c r="I918" s="27"/>
      <x:c r="J918" s="6"/>
      <x:c r="K918" s="6"/>
      <x:c r="L918" s="6"/>
      <x:c r="M918" s="6"/>
      <x:c r="N918" s="6"/>
      <x:c r="O918" s="6"/>
      <x:c r="P918" s="6"/>
      <x:c r="Q918" s="6"/>
      <x:c r="R918"/>
      <x:c r="S918"/>
      <x:c r="T918"/>
    </x:row>
    <x:row r="919" spans="1:20" ht="15.75" x14ac:dyDescent="0.25">
      <x:c r="A919"/>
      <x:c r="B919"/>
      <x:c r="C919"/>
      <x:c r="D919"/>
      <x:c r="E919" s="31"/>
      <x:c r="F919" s="8"/>
      <x:c r="G919" s="8"/>
      <x:c r="H919" s="6"/>
      <x:c r="I919" s="27"/>
      <x:c r="J919" s="6"/>
      <x:c r="K919" s="6"/>
      <x:c r="L919" s="6"/>
      <x:c r="M919" s="6"/>
      <x:c r="N919" s="6"/>
      <x:c r="O919" s="6"/>
      <x:c r="P919" s="6"/>
      <x:c r="Q919" s="6"/>
      <x:c r="R919"/>
      <x:c r="S919"/>
      <x:c r="T919"/>
    </x:row>
    <x:row r="920" spans="1:20" ht="15.75" x14ac:dyDescent="0.25">
      <x:c r="A920"/>
      <x:c r="B920"/>
      <x:c r="C920"/>
      <x:c r="D920"/>
      <x:c r="E920" s="31"/>
      <x:c r="F920" s="8"/>
      <x:c r="G920" s="8"/>
      <x:c r="H920" s="6"/>
      <x:c r="I920" s="27"/>
      <x:c r="J920" s="6"/>
      <x:c r="K920" s="6"/>
      <x:c r="L920" s="6"/>
      <x:c r="M920" s="6"/>
      <x:c r="N920" s="6"/>
      <x:c r="O920" s="6"/>
      <x:c r="P920" s="6"/>
      <x:c r="Q920" s="6"/>
      <x:c r="R920"/>
      <x:c r="S920"/>
      <x:c r="T920"/>
    </x:row>
    <x:row r="921" spans="1:20" ht="15.75" x14ac:dyDescent="0.25">
      <x:c r="A921"/>
      <x:c r="B921"/>
      <x:c r="C921"/>
      <x:c r="D921"/>
      <x:c r="E921" s="31"/>
      <x:c r="F921" s="8"/>
      <x:c r="G921" s="8"/>
      <x:c r="H921" s="6"/>
      <x:c r="I921" s="27"/>
      <x:c r="J921" s="6"/>
      <x:c r="K921" s="6"/>
      <x:c r="L921" s="6"/>
      <x:c r="M921" s="6"/>
      <x:c r="N921" s="6"/>
      <x:c r="O921" s="6"/>
      <x:c r="P921" s="6"/>
      <x:c r="Q921" s="6"/>
      <x:c r="R921"/>
      <x:c r="S921"/>
      <x:c r="T921"/>
    </x:row>
    <x:row r="922" spans="1:20" ht="15.75" x14ac:dyDescent="0.25">
      <x:c r="A922"/>
      <x:c r="B922"/>
      <x:c r="C922"/>
      <x:c r="D922"/>
      <x:c r="E922" s="31"/>
      <x:c r="F922" s="8"/>
      <x:c r="G922" s="8"/>
      <x:c r="H922" s="6"/>
      <x:c r="I922" s="27"/>
      <x:c r="J922" s="6"/>
      <x:c r="K922" s="6"/>
      <x:c r="L922" s="6"/>
      <x:c r="M922" s="6"/>
      <x:c r="N922" s="6"/>
      <x:c r="O922" s="6"/>
      <x:c r="P922" s="6"/>
      <x:c r="Q922" s="6"/>
      <x:c r="R922"/>
      <x:c r="S922"/>
      <x:c r="T922"/>
    </x:row>
    <x:row r="923" spans="1:20" ht="15.75" x14ac:dyDescent="0.25">
      <x:c r="A923"/>
      <x:c r="B923"/>
      <x:c r="C923"/>
      <x:c r="D923"/>
      <x:c r="E923" s="31"/>
      <x:c r="F923" s="8"/>
      <x:c r="G923" s="8"/>
      <x:c r="H923" s="6"/>
      <x:c r="I923" s="27"/>
      <x:c r="J923" s="6"/>
      <x:c r="K923" s="6"/>
      <x:c r="L923" s="6"/>
      <x:c r="M923" s="6"/>
      <x:c r="N923" s="6"/>
      <x:c r="O923" s="6"/>
      <x:c r="P923" s="6"/>
      <x:c r="Q923" s="6"/>
      <x:c r="R923"/>
      <x:c r="S923"/>
      <x:c r="T923"/>
    </x:row>
    <x:row r="924" spans="1:20" ht="15.75" x14ac:dyDescent="0.25">
      <x:c r="A924"/>
      <x:c r="B924"/>
      <x:c r="C924"/>
      <x:c r="D924"/>
      <x:c r="E924" s="31"/>
      <x:c r="F924" s="8"/>
      <x:c r="G924" s="8"/>
      <x:c r="H924" s="6"/>
      <x:c r="I924" s="27"/>
      <x:c r="J924" s="6"/>
      <x:c r="K924" s="6"/>
      <x:c r="L924" s="6"/>
      <x:c r="M924" s="6"/>
      <x:c r="N924" s="6"/>
      <x:c r="O924" s="6"/>
      <x:c r="P924" s="6"/>
      <x:c r="Q924" s="6"/>
      <x:c r="R924"/>
      <x:c r="S924"/>
      <x:c r="T924"/>
    </x:row>
    <x:row r="925" spans="1:20" ht="15.75" x14ac:dyDescent="0.25">
      <x:c r="A925"/>
      <x:c r="B925"/>
      <x:c r="C925"/>
      <x:c r="D925"/>
      <x:c r="E925" s="31"/>
      <x:c r="F925" s="8"/>
      <x:c r="G925" s="8"/>
      <x:c r="H925" s="6"/>
      <x:c r="I925" s="27"/>
      <x:c r="J925" s="6"/>
      <x:c r="K925" s="6"/>
      <x:c r="L925" s="6"/>
      <x:c r="M925" s="6"/>
      <x:c r="N925" s="6"/>
      <x:c r="O925" s="6"/>
      <x:c r="P925" s="6"/>
      <x:c r="Q925" s="6"/>
      <x:c r="R925"/>
      <x:c r="S925"/>
      <x:c r="T925"/>
    </x:row>
    <x:row r="926" spans="1:20" ht="15.75" x14ac:dyDescent="0.25">
      <x:c r="A926"/>
      <x:c r="B926"/>
      <x:c r="C926"/>
      <x:c r="D926"/>
      <x:c r="E926" s="31"/>
      <x:c r="F926" s="8"/>
      <x:c r="G926" s="8"/>
      <x:c r="H926" s="6"/>
      <x:c r="I926" s="27"/>
      <x:c r="J926" s="6"/>
      <x:c r="K926" s="6"/>
      <x:c r="L926" s="6"/>
      <x:c r="M926" s="6"/>
      <x:c r="N926" s="6"/>
      <x:c r="O926" s="6"/>
      <x:c r="P926" s="6"/>
      <x:c r="Q926" s="6"/>
      <x:c r="R926"/>
      <x:c r="S926"/>
      <x:c r="T926"/>
    </x:row>
    <x:row r="927" spans="1:20" ht="15.75" x14ac:dyDescent="0.25">
      <x:c r="A927"/>
      <x:c r="B927"/>
      <x:c r="C927"/>
      <x:c r="D927"/>
      <x:c r="E927" s="31"/>
      <x:c r="F927" s="8"/>
      <x:c r="G927" s="8"/>
      <x:c r="H927" s="6"/>
      <x:c r="I927" s="27"/>
      <x:c r="J927" s="6"/>
      <x:c r="K927" s="6"/>
      <x:c r="L927" s="6"/>
      <x:c r="M927" s="6"/>
      <x:c r="N927" s="6"/>
      <x:c r="O927" s="6"/>
      <x:c r="P927" s="6"/>
      <x:c r="Q927" s="6"/>
      <x:c r="R927"/>
      <x:c r="S927"/>
      <x:c r="T927"/>
    </x:row>
    <x:row r="928" spans="1:20" ht="15.75" x14ac:dyDescent="0.25">
      <x:c r="A928"/>
      <x:c r="B928"/>
      <x:c r="C928"/>
      <x:c r="D928"/>
      <x:c r="E928" s="31"/>
      <x:c r="F928" s="8"/>
      <x:c r="G928" s="8"/>
      <x:c r="H928" s="6"/>
      <x:c r="I928" s="27"/>
      <x:c r="J928" s="6"/>
      <x:c r="K928" s="6"/>
      <x:c r="L928" s="6"/>
      <x:c r="M928" s="6"/>
      <x:c r="N928" s="6"/>
      <x:c r="O928" s="6"/>
      <x:c r="P928" s="6"/>
      <x:c r="Q928" s="6"/>
      <x:c r="R928"/>
      <x:c r="S928"/>
      <x:c r="T928"/>
    </x:row>
    <x:row r="929" spans="1:20" ht="15.75" x14ac:dyDescent="0.25">
      <x:c r="A929"/>
      <x:c r="B929"/>
      <x:c r="C929"/>
      <x:c r="D929"/>
      <x:c r="E929" s="31"/>
      <x:c r="F929" s="8"/>
      <x:c r="G929" s="8"/>
      <x:c r="H929" s="6"/>
      <x:c r="I929" s="27"/>
      <x:c r="J929" s="6"/>
      <x:c r="K929" s="6"/>
      <x:c r="L929" s="6"/>
      <x:c r="M929" s="6"/>
      <x:c r="N929" s="6"/>
      <x:c r="O929" s="6"/>
      <x:c r="P929" s="6"/>
      <x:c r="Q929" s="6"/>
      <x:c r="R929"/>
      <x:c r="S929"/>
      <x:c r="T929"/>
    </x:row>
    <x:row r="930" spans="1:20" ht="15.75" x14ac:dyDescent="0.25">
      <x:c r="A930"/>
      <x:c r="B930"/>
      <x:c r="C930"/>
      <x:c r="D930"/>
      <x:c r="E930" s="31"/>
      <x:c r="F930" s="8"/>
      <x:c r="G930" s="8"/>
      <x:c r="H930" s="6"/>
      <x:c r="I930" s="27"/>
      <x:c r="J930" s="6"/>
      <x:c r="K930" s="6"/>
      <x:c r="L930" s="6"/>
      <x:c r="M930" s="6"/>
      <x:c r="N930" s="6"/>
      <x:c r="O930" s="6"/>
      <x:c r="P930" s="6"/>
      <x:c r="Q930" s="6"/>
      <x:c r="R930"/>
      <x:c r="S930"/>
      <x:c r="T930"/>
    </x:row>
    <x:row r="931" spans="1:20" ht="15.75" x14ac:dyDescent="0.25">
      <x:c r="A931"/>
      <x:c r="B931"/>
      <x:c r="C931"/>
      <x:c r="D931"/>
      <x:c r="E931" s="31"/>
      <x:c r="F931" s="8"/>
      <x:c r="G931" s="8"/>
      <x:c r="H931" s="6"/>
      <x:c r="I931" s="27"/>
      <x:c r="J931" s="6"/>
      <x:c r="K931" s="6"/>
      <x:c r="L931" s="6"/>
      <x:c r="M931" s="6"/>
      <x:c r="N931" s="6"/>
      <x:c r="O931" s="6"/>
      <x:c r="P931" s="6"/>
      <x:c r="Q931" s="6"/>
      <x:c r="R931"/>
      <x:c r="S931"/>
      <x:c r="T931"/>
    </x:row>
    <x:row r="932" spans="1:20" ht="15.75" x14ac:dyDescent="0.25">
      <x:c r="A932"/>
      <x:c r="B932"/>
      <x:c r="C932"/>
      <x:c r="D932"/>
      <x:c r="E932" s="31"/>
      <x:c r="F932" s="8"/>
      <x:c r="G932" s="8"/>
      <x:c r="H932" s="6"/>
      <x:c r="I932" s="27"/>
      <x:c r="J932" s="6"/>
      <x:c r="K932" s="6"/>
      <x:c r="L932" s="6"/>
      <x:c r="M932" s="6"/>
      <x:c r="N932" s="6"/>
      <x:c r="O932" s="6"/>
      <x:c r="P932" s="6"/>
      <x:c r="Q932" s="6"/>
      <x:c r="R932"/>
      <x:c r="S932"/>
      <x:c r="T932"/>
    </x:row>
    <x:row r="933" spans="1:20" ht="15.75" x14ac:dyDescent="0.25">
      <x:c r="A933"/>
      <x:c r="B933"/>
      <x:c r="C933"/>
      <x:c r="D933"/>
      <x:c r="E933" s="31"/>
      <x:c r="F933" s="8"/>
      <x:c r="G933" s="8"/>
      <x:c r="H933" s="6"/>
      <x:c r="I933" s="27"/>
      <x:c r="J933" s="6"/>
      <x:c r="K933" s="6"/>
      <x:c r="L933" s="6"/>
      <x:c r="M933" s="6"/>
      <x:c r="N933" s="6"/>
      <x:c r="O933" s="6"/>
      <x:c r="P933" s="6"/>
      <x:c r="Q933" s="6"/>
      <x:c r="R933"/>
      <x:c r="S933"/>
      <x:c r="T933"/>
    </x:row>
    <x:row r="934" spans="1:20" ht="15.75" x14ac:dyDescent="0.25">
      <x:c r="A934"/>
      <x:c r="B934"/>
      <x:c r="C934"/>
      <x:c r="D934"/>
      <x:c r="E934" s="31"/>
      <x:c r="F934" s="8"/>
      <x:c r="G934" s="8"/>
      <x:c r="H934" s="6"/>
      <x:c r="I934" s="27"/>
      <x:c r="J934" s="6"/>
      <x:c r="K934" s="6"/>
      <x:c r="L934" s="6"/>
      <x:c r="M934" s="6"/>
      <x:c r="N934" s="6"/>
      <x:c r="O934" s="6"/>
      <x:c r="P934" s="6"/>
      <x:c r="Q934" s="6"/>
      <x:c r="R934"/>
      <x:c r="S934"/>
      <x:c r="T934"/>
    </x:row>
    <x:row r="935" spans="1:20" ht="15.75" x14ac:dyDescent="0.25">
      <x:c r="A935"/>
      <x:c r="B935"/>
      <x:c r="C935"/>
      <x:c r="D935"/>
      <x:c r="E935" s="31"/>
      <x:c r="F935" s="8"/>
      <x:c r="G935" s="8"/>
      <x:c r="H935" s="6"/>
      <x:c r="I935" s="27"/>
      <x:c r="J935" s="6"/>
      <x:c r="K935" s="6"/>
      <x:c r="L935" s="6"/>
      <x:c r="M935" s="6"/>
      <x:c r="N935" s="6"/>
      <x:c r="O935" s="6"/>
      <x:c r="P935" s="6"/>
      <x:c r="Q935" s="6"/>
      <x:c r="R935"/>
      <x:c r="S935"/>
      <x:c r="T935"/>
    </x:row>
    <x:row r="936" spans="1:20" ht="15.75" x14ac:dyDescent="0.25">
      <x:c r="A936"/>
      <x:c r="B936"/>
      <x:c r="C936"/>
      <x:c r="D936"/>
      <x:c r="E936" s="31"/>
      <x:c r="F936" s="8"/>
      <x:c r="G936" s="8"/>
      <x:c r="H936" s="6"/>
      <x:c r="I936" s="27"/>
      <x:c r="J936" s="6"/>
      <x:c r="K936" s="6"/>
      <x:c r="L936" s="6"/>
      <x:c r="M936" s="6"/>
      <x:c r="N936" s="6"/>
      <x:c r="O936" s="6"/>
      <x:c r="P936" s="6"/>
      <x:c r="Q936" s="6"/>
      <x:c r="R936"/>
      <x:c r="S936"/>
      <x:c r="T936"/>
    </x:row>
    <x:row r="937" spans="1:20" ht="15.75" x14ac:dyDescent="0.25">
      <x:c r="A937"/>
      <x:c r="B937"/>
      <x:c r="C937"/>
      <x:c r="D937"/>
      <x:c r="E937" s="31"/>
      <x:c r="F937" s="8"/>
      <x:c r="G937" s="8"/>
      <x:c r="H937" s="6"/>
      <x:c r="I937" s="27"/>
      <x:c r="J937" s="6"/>
      <x:c r="K937" s="6"/>
      <x:c r="L937" s="6"/>
      <x:c r="M937" s="6"/>
      <x:c r="N937" s="6"/>
      <x:c r="O937" s="6"/>
      <x:c r="P937" s="6"/>
      <x:c r="Q937" s="6"/>
      <x:c r="R937"/>
      <x:c r="S937"/>
      <x:c r="T937"/>
    </x:row>
    <x:row r="938" spans="1:20" ht="15.75" x14ac:dyDescent="0.25">
      <x:c r="A938"/>
      <x:c r="B938"/>
      <x:c r="C938"/>
      <x:c r="D938"/>
      <x:c r="E938" s="31"/>
      <x:c r="F938" s="8"/>
      <x:c r="G938" s="8"/>
      <x:c r="H938" s="6"/>
      <x:c r="I938" s="27"/>
      <x:c r="J938" s="6"/>
      <x:c r="K938" s="6"/>
      <x:c r="L938" s="6"/>
      <x:c r="M938" s="6"/>
      <x:c r="N938" s="6"/>
      <x:c r="O938" s="6"/>
      <x:c r="P938" s="6"/>
      <x:c r="Q938" s="6"/>
      <x:c r="R938"/>
      <x:c r="S938"/>
      <x:c r="T938"/>
    </x:row>
    <x:row r="939" spans="1:20" ht="15.75" x14ac:dyDescent="0.25">
      <x:c r="A939"/>
      <x:c r="B939"/>
      <x:c r="C939"/>
      <x:c r="D939"/>
      <x:c r="E939" s="31"/>
      <x:c r="F939" s="8"/>
      <x:c r="G939" s="8"/>
      <x:c r="H939" s="6"/>
      <x:c r="I939" s="27"/>
      <x:c r="J939" s="6"/>
      <x:c r="K939" s="6"/>
      <x:c r="L939" s="6"/>
      <x:c r="M939" s="6"/>
      <x:c r="N939" s="6"/>
      <x:c r="O939" s="6"/>
      <x:c r="P939" s="6"/>
      <x:c r="Q939" s="6"/>
      <x:c r="R939"/>
      <x:c r="S939"/>
      <x:c r="T939"/>
    </x:row>
    <x:row r="940" spans="1:20" ht="15.75" x14ac:dyDescent="0.25">
      <x:c r="A940"/>
      <x:c r="B940"/>
      <x:c r="C940"/>
      <x:c r="D940"/>
      <x:c r="E940" s="31"/>
      <x:c r="F940" s="8"/>
      <x:c r="G940" s="8"/>
      <x:c r="H940" s="6"/>
      <x:c r="I940" s="27"/>
      <x:c r="J940" s="6"/>
      <x:c r="K940" s="6"/>
      <x:c r="L940" s="6"/>
      <x:c r="M940" s="6"/>
      <x:c r="N940" s="6"/>
      <x:c r="O940" s="6"/>
      <x:c r="P940" s="6"/>
      <x:c r="Q940" s="6"/>
      <x:c r="R940"/>
      <x:c r="S940"/>
      <x:c r="T940"/>
    </x:row>
    <x:row r="941" spans="1:20" ht="15.75" x14ac:dyDescent="0.25">
      <x:c r="A941"/>
      <x:c r="B941"/>
      <x:c r="C941"/>
      <x:c r="D941"/>
      <x:c r="E941" s="31"/>
      <x:c r="F941" s="8"/>
      <x:c r="G941" s="8"/>
      <x:c r="H941" s="6"/>
      <x:c r="I941" s="27"/>
      <x:c r="J941" s="6"/>
      <x:c r="K941" s="6"/>
      <x:c r="L941" s="6"/>
      <x:c r="M941" s="6"/>
      <x:c r="N941" s="6"/>
      <x:c r="O941" s="6"/>
      <x:c r="P941" s="6"/>
      <x:c r="Q941" s="6"/>
      <x:c r="R941"/>
      <x:c r="S941"/>
      <x:c r="T941"/>
    </x:row>
    <x:row r="942" spans="1:20" ht="15.75" x14ac:dyDescent="0.25">
      <x:c r="A942"/>
      <x:c r="B942"/>
      <x:c r="C942"/>
      <x:c r="D942"/>
      <x:c r="E942" s="31"/>
      <x:c r="F942" s="8"/>
      <x:c r="G942" s="8"/>
      <x:c r="H942" s="6"/>
      <x:c r="I942" s="27"/>
      <x:c r="J942" s="6"/>
      <x:c r="K942" s="6"/>
      <x:c r="L942" s="6"/>
      <x:c r="M942" s="6"/>
      <x:c r="N942" s="6"/>
      <x:c r="O942" s="6"/>
      <x:c r="P942" s="6"/>
      <x:c r="Q942" s="6"/>
      <x:c r="R942"/>
      <x:c r="S942"/>
      <x:c r="T942"/>
    </x:row>
    <x:row r="943" spans="1:20" ht="15.75" x14ac:dyDescent="0.25">
      <x:c r="A943"/>
      <x:c r="B943"/>
      <x:c r="C943"/>
      <x:c r="D943"/>
      <x:c r="E943" s="31"/>
      <x:c r="F943" s="8"/>
      <x:c r="G943" s="8"/>
      <x:c r="H943" s="6"/>
      <x:c r="I943" s="27"/>
      <x:c r="J943" s="6"/>
      <x:c r="K943" s="6"/>
      <x:c r="L943" s="6"/>
      <x:c r="M943" s="6"/>
      <x:c r="N943" s="6"/>
      <x:c r="O943" s="6"/>
      <x:c r="P943" s="6"/>
      <x:c r="Q943" s="6"/>
      <x:c r="R943"/>
      <x:c r="S943"/>
      <x:c r="T943"/>
    </x:row>
    <x:row r="944" spans="1:20" ht="15.75" x14ac:dyDescent="0.25">
      <x:c r="A944"/>
      <x:c r="B944"/>
      <x:c r="C944"/>
      <x:c r="D944"/>
      <x:c r="E944" s="31"/>
      <x:c r="F944" s="8"/>
      <x:c r="G944" s="8"/>
      <x:c r="H944" s="6"/>
      <x:c r="I944" s="27"/>
      <x:c r="J944" s="6"/>
      <x:c r="K944" s="6"/>
      <x:c r="L944" s="6"/>
      <x:c r="M944" s="6"/>
      <x:c r="N944" s="6"/>
      <x:c r="O944" s="6"/>
      <x:c r="P944" s="6"/>
      <x:c r="Q944" s="6"/>
      <x:c r="R944"/>
      <x:c r="S944"/>
      <x:c r="T944"/>
    </x:row>
    <x:row r="945" spans="1:20" ht="15.75" x14ac:dyDescent="0.25">
      <x:c r="A945"/>
      <x:c r="B945"/>
      <x:c r="C945"/>
      <x:c r="D945"/>
      <x:c r="E945" s="31"/>
      <x:c r="F945" s="8"/>
      <x:c r="G945" s="8"/>
      <x:c r="H945" s="6"/>
      <x:c r="I945" s="27"/>
      <x:c r="J945" s="6"/>
      <x:c r="K945" s="6"/>
      <x:c r="L945" s="6"/>
      <x:c r="M945" s="6"/>
      <x:c r="N945" s="6"/>
      <x:c r="O945" s="6"/>
      <x:c r="P945" s="6"/>
      <x:c r="Q945" s="6"/>
      <x:c r="R945"/>
      <x:c r="S945"/>
      <x:c r="T945"/>
    </x:row>
    <x:row r="946" spans="1:20" ht="15.75" x14ac:dyDescent="0.25">
      <x:c r="A946"/>
      <x:c r="B946"/>
      <x:c r="C946"/>
      <x:c r="D946"/>
      <x:c r="E946" s="31"/>
      <x:c r="F946" s="8"/>
      <x:c r="G946" s="8"/>
      <x:c r="H946" s="6"/>
      <x:c r="I946" s="27"/>
      <x:c r="J946" s="6"/>
      <x:c r="K946" s="6"/>
      <x:c r="L946" s="6"/>
      <x:c r="M946" s="6"/>
      <x:c r="N946" s="6"/>
      <x:c r="O946" s="6"/>
      <x:c r="P946" s="6"/>
      <x:c r="Q946" s="6"/>
      <x:c r="R946"/>
      <x:c r="S946"/>
      <x:c r="T946"/>
    </x:row>
    <x:row r="947" spans="1:20" ht="15.75" x14ac:dyDescent="0.25">
      <x:c r="A947"/>
      <x:c r="B947"/>
      <x:c r="C947"/>
      <x:c r="D947"/>
      <x:c r="E947" s="31"/>
      <x:c r="F947" s="8"/>
      <x:c r="G947" s="8"/>
      <x:c r="H947" s="6"/>
      <x:c r="I947" s="27"/>
      <x:c r="J947" s="6"/>
      <x:c r="K947" s="6"/>
      <x:c r="L947" s="6"/>
      <x:c r="M947" s="6"/>
      <x:c r="N947" s="6"/>
      <x:c r="O947" s="6"/>
      <x:c r="P947" s="6"/>
      <x:c r="Q947" s="6"/>
      <x:c r="R947"/>
      <x:c r="S947"/>
      <x:c r="T947"/>
    </x:row>
    <x:row r="948" spans="1:20" ht="15.75" x14ac:dyDescent="0.25">
      <x:c r="A948"/>
      <x:c r="B948"/>
      <x:c r="C948"/>
      <x:c r="D948"/>
      <x:c r="E948" s="31"/>
      <x:c r="F948" s="8"/>
      <x:c r="G948" s="8"/>
      <x:c r="H948" s="6"/>
      <x:c r="I948" s="27"/>
      <x:c r="J948" s="6"/>
      <x:c r="K948" s="6"/>
      <x:c r="L948" s="6"/>
      <x:c r="M948" s="6"/>
      <x:c r="N948" s="6"/>
      <x:c r="O948" s="6"/>
      <x:c r="P948" s="6"/>
      <x:c r="Q948" s="6"/>
      <x:c r="R948"/>
      <x:c r="S948"/>
      <x:c r="T948"/>
    </x:row>
    <x:row r="949" spans="1:20" ht="15.75" x14ac:dyDescent="0.25">
      <x:c r="A949"/>
      <x:c r="B949"/>
      <x:c r="C949"/>
      <x:c r="D949"/>
      <x:c r="E949" s="31"/>
      <x:c r="F949" s="8"/>
      <x:c r="G949" s="8"/>
      <x:c r="H949" s="6"/>
      <x:c r="I949" s="27"/>
      <x:c r="J949" s="6"/>
      <x:c r="K949" s="6"/>
      <x:c r="L949" s="6"/>
      <x:c r="M949" s="6"/>
      <x:c r="N949" s="6"/>
      <x:c r="O949" s="6"/>
      <x:c r="P949" s="6"/>
      <x:c r="Q949" s="6"/>
      <x:c r="R949"/>
      <x:c r="S949"/>
      <x:c r="T949"/>
    </x:row>
    <x:row r="950" spans="1:20" ht="15.75" x14ac:dyDescent="0.25">
      <x:c r="A950"/>
      <x:c r="B950"/>
      <x:c r="C950"/>
      <x:c r="D950"/>
      <x:c r="E950" s="31"/>
      <x:c r="F950" s="8"/>
      <x:c r="G950" s="8"/>
      <x:c r="H950" s="6"/>
      <x:c r="I950" s="27"/>
      <x:c r="J950" s="6"/>
      <x:c r="K950" s="6"/>
      <x:c r="L950" s="6"/>
      <x:c r="M950" s="6"/>
      <x:c r="N950" s="6"/>
      <x:c r="O950" s="6"/>
      <x:c r="P950" s="6"/>
      <x:c r="Q950" s="6"/>
      <x:c r="R950"/>
      <x:c r="S950"/>
      <x:c r="T950"/>
    </x:row>
    <x:row r="951" spans="1:20" ht="15.75" x14ac:dyDescent="0.25">
      <x:c r="A951"/>
      <x:c r="B951"/>
      <x:c r="C951"/>
      <x:c r="D951"/>
      <x:c r="E951" s="31"/>
      <x:c r="F951" s="8"/>
      <x:c r="G951" s="8"/>
      <x:c r="H951" s="6"/>
      <x:c r="I951" s="27"/>
      <x:c r="J951" s="6"/>
      <x:c r="K951" s="6"/>
      <x:c r="L951" s="6"/>
      <x:c r="M951" s="6"/>
      <x:c r="N951" s="6"/>
      <x:c r="O951" s="6"/>
      <x:c r="P951" s="6"/>
      <x:c r="Q951" s="6"/>
      <x:c r="R951"/>
      <x:c r="S951"/>
      <x:c r="T951"/>
    </x:row>
    <x:row r="952" spans="1:20" ht="15.75" x14ac:dyDescent="0.25">
      <x:c r="A952"/>
      <x:c r="B952"/>
      <x:c r="C952"/>
      <x:c r="D952"/>
      <x:c r="E952" s="31"/>
      <x:c r="F952" s="8"/>
      <x:c r="G952" s="8"/>
      <x:c r="H952" s="6"/>
      <x:c r="I952" s="27"/>
      <x:c r="J952" s="6"/>
      <x:c r="K952" s="6"/>
      <x:c r="L952" s="6"/>
      <x:c r="M952" s="6"/>
      <x:c r="N952" s="6"/>
      <x:c r="O952" s="6"/>
      <x:c r="P952" s="6"/>
      <x:c r="Q952" s="6"/>
      <x:c r="R952"/>
      <x:c r="S952"/>
      <x:c r="T952"/>
    </x:row>
    <x:row r="953" spans="1:20" ht="15.75" x14ac:dyDescent="0.25">
      <x:c r="A953"/>
      <x:c r="B953"/>
      <x:c r="C953"/>
      <x:c r="D953"/>
      <x:c r="E953" s="31"/>
      <x:c r="F953" s="8"/>
      <x:c r="G953" s="8"/>
      <x:c r="H953" s="6"/>
      <x:c r="I953" s="27"/>
      <x:c r="J953" s="6"/>
      <x:c r="K953" s="6"/>
      <x:c r="L953" s="6"/>
      <x:c r="M953" s="6"/>
      <x:c r="N953" s="6"/>
      <x:c r="O953" s="6"/>
      <x:c r="P953" s="6"/>
      <x:c r="Q953" s="6"/>
      <x:c r="R953"/>
      <x:c r="S953"/>
      <x:c r="T953"/>
    </x:row>
    <x:row r="954" spans="1:20" ht="15.75" x14ac:dyDescent="0.25">
      <x:c r="A954"/>
      <x:c r="B954"/>
      <x:c r="C954"/>
      <x:c r="D954"/>
      <x:c r="E954" s="31"/>
      <x:c r="F954" s="8"/>
      <x:c r="G954" s="8"/>
      <x:c r="H954" s="6"/>
      <x:c r="I954" s="27"/>
      <x:c r="J954" s="6"/>
      <x:c r="K954" s="6"/>
      <x:c r="L954" s="6"/>
      <x:c r="M954" s="6"/>
      <x:c r="N954" s="6"/>
      <x:c r="O954" s="6"/>
      <x:c r="P954" s="6"/>
      <x:c r="Q954" s="6"/>
      <x:c r="R954"/>
      <x:c r="S954"/>
      <x:c r="T954"/>
    </x:row>
    <x:row r="955" spans="1:20" ht="15.75" x14ac:dyDescent="0.25">
      <x:c r="A955"/>
      <x:c r="B955"/>
      <x:c r="C955"/>
      <x:c r="D955"/>
      <x:c r="E955" s="31"/>
      <x:c r="F955" s="8"/>
      <x:c r="G955" s="8"/>
      <x:c r="H955" s="6"/>
      <x:c r="I955" s="27"/>
      <x:c r="J955" s="6"/>
      <x:c r="K955" s="6"/>
      <x:c r="L955" s="6"/>
      <x:c r="M955" s="6"/>
      <x:c r="N955" s="6"/>
      <x:c r="O955" s="6"/>
      <x:c r="P955" s="6"/>
      <x:c r="Q955" s="6"/>
      <x:c r="R955"/>
      <x:c r="S955"/>
      <x:c r="T955"/>
    </x:row>
    <x:row r="956" spans="1:20" ht="15.75" x14ac:dyDescent="0.25">
      <x:c r="A956"/>
      <x:c r="B956"/>
      <x:c r="C956"/>
      <x:c r="D956"/>
      <x:c r="E956" s="31"/>
      <x:c r="F956" s="8"/>
      <x:c r="G956" s="8"/>
      <x:c r="H956" s="6"/>
      <x:c r="I956" s="27"/>
      <x:c r="J956" s="6"/>
      <x:c r="K956" s="6"/>
      <x:c r="L956" s="6"/>
      <x:c r="M956" s="6"/>
      <x:c r="N956" s="6"/>
      <x:c r="O956" s="6"/>
      <x:c r="P956" s="6"/>
      <x:c r="Q956" s="6"/>
      <x:c r="R956"/>
      <x:c r="S956"/>
      <x:c r="T956"/>
    </x:row>
    <x:row r="957" spans="1:20" ht="15.75" x14ac:dyDescent="0.25">
      <x:c r="A957"/>
      <x:c r="B957"/>
      <x:c r="C957"/>
      <x:c r="D957"/>
      <x:c r="E957" s="31"/>
      <x:c r="F957" s="8"/>
      <x:c r="G957" s="8"/>
      <x:c r="H957" s="6"/>
      <x:c r="I957" s="27"/>
      <x:c r="J957" s="6"/>
      <x:c r="K957" s="6"/>
      <x:c r="L957" s="6"/>
      <x:c r="M957" s="6"/>
      <x:c r="N957" s="6"/>
      <x:c r="O957" s="6"/>
      <x:c r="P957" s="6"/>
      <x:c r="Q957" s="6"/>
      <x:c r="R957"/>
      <x:c r="S957"/>
      <x:c r="T957"/>
    </x:row>
    <x:row r="958" spans="1:20" ht="15.75" x14ac:dyDescent="0.25">
      <x:c r="A958"/>
      <x:c r="B958"/>
      <x:c r="C958"/>
      <x:c r="D958"/>
      <x:c r="E958" s="31"/>
      <x:c r="F958" s="8"/>
      <x:c r="G958" s="8"/>
      <x:c r="H958" s="6"/>
      <x:c r="I958" s="27"/>
      <x:c r="J958" s="6"/>
      <x:c r="K958" s="6"/>
      <x:c r="L958" s="6"/>
      <x:c r="M958" s="6"/>
      <x:c r="N958" s="6"/>
      <x:c r="O958" s="6"/>
      <x:c r="P958" s="6"/>
      <x:c r="Q958" s="6"/>
      <x:c r="R958"/>
      <x:c r="S958"/>
      <x:c r="T958"/>
    </x:row>
    <x:row r="959" spans="1:20" ht="15.75" x14ac:dyDescent="0.25">
      <x:c r="A959"/>
      <x:c r="B959"/>
      <x:c r="C959"/>
      <x:c r="D959"/>
      <x:c r="E959" s="31"/>
      <x:c r="F959" s="8"/>
      <x:c r="G959" s="8"/>
      <x:c r="H959" s="6"/>
      <x:c r="I959" s="27"/>
      <x:c r="J959" s="6"/>
      <x:c r="K959" s="6"/>
      <x:c r="L959" s="6"/>
      <x:c r="M959" s="6"/>
      <x:c r="N959" s="6"/>
      <x:c r="O959" s="6"/>
      <x:c r="P959" s="6"/>
      <x:c r="Q959" s="6"/>
      <x:c r="R959"/>
      <x:c r="S959"/>
      <x:c r="T959"/>
    </x:row>
    <x:row r="960" spans="1:20" ht="15.75" x14ac:dyDescent="0.25">
      <x:c r="A960"/>
      <x:c r="B960"/>
      <x:c r="C960"/>
      <x:c r="D960"/>
      <x:c r="E960" s="31"/>
      <x:c r="F960" s="8"/>
      <x:c r="G960" s="8"/>
      <x:c r="H960" s="6"/>
      <x:c r="I960" s="27"/>
      <x:c r="J960" s="6"/>
      <x:c r="K960" s="6"/>
      <x:c r="L960" s="6"/>
      <x:c r="M960" s="6"/>
      <x:c r="N960" s="6"/>
      <x:c r="O960" s="6"/>
      <x:c r="P960" s="6"/>
      <x:c r="Q960" s="6"/>
      <x:c r="R960"/>
      <x:c r="S960"/>
      <x:c r="T960"/>
    </x:row>
    <x:row r="961" spans="1:20" ht="15.75" x14ac:dyDescent="0.25">
      <x:c r="A961"/>
      <x:c r="B961"/>
      <x:c r="C961"/>
      <x:c r="D961"/>
      <x:c r="E961" s="31"/>
      <x:c r="F961" s="8"/>
      <x:c r="G961" s="8"/>
      <x:c r="H961" s="6"/>
      <x:c r="I961" s="27"/>
      <x:c r="J961" s="6"/>
      <x:c r="K961" s="6"/>
      <x:c r="L961" s="6"/>
      <x:c r="M961" s="6"/>
      <x:c r="N961" s="6"/>
      <x:c r="O961" s="6"/>
      <x:c r="P961" s="6"/>
      <x:c r="Q961" s="6"/>
      <x:c r="R961"/>
      <x:c r="S961"/>
      <x:c r="T961"/>
    </x:row>
    <x:row r="962" spans="1:20" ht="15.75" x14ac:dyDescent="0.25">
      <x:c r="A962"/>
      <x:c r="B962"/>
      <x:c r="C962"/>
      <x:c r="D962"/>
      <x:c r="E962" s="31"/>
      <x:c r="F962" s="8"/>
      <x:c r="G962" s="8"/>
      <x:c r="H962" s="6"/>
      <x:c r="I962" s="27"/>
      <x:c r="J962" s="6"/>
      <x:c r="K962" s="6"/>
      <x:c r="L962" s="6"/>
      <x:c r="M962" s="6"/>
      <x:c r="N962" s="6"/>
      <x:c r="O962" s="6"/>
      <x:c r="P962" s="6"/>
      <x:c r="Q962" s="6"/>
      <x:c r="R962"/>
      <x:c r="S962"/>
      <x:c r="T962"/>
    </x:row>
    <x:row r="963" spans="1:20" ht="15.75" x14ac:dyDescent="0.25">
      <x:c r="A963"/>
      <x:c r="B963"/>
      <x:c r="C963"/>
      <x:c r="D963"/>
      <x:c r="E963" s="31"/>
      <x:c r="F963" s="8"/>
      <x:c r="G963" s="8"/>
      <x:c r="H963" s="6"/>
      <x:c r="I963" s="27"/>
      <x:c r="J963" s="6"/>
      <x:c r="K963" s="6"/>
      <x:c r="L963" s="6"/>
      <x:c r="M963" s="6"/>
      <x:c r="N963" s="6"/>
      <x:c r="O963" s="6"/>
      <x:c r="P963" s="6"/>
      <x:c r="Q963" s="6"/>
      <x:c r="R963"/>
      <x:c r="S963"/>
      <x:c r="T963"/>
    </x:row>
    <x:row r="964" spans="1:20" ht="15.75" x14ac:dyDescent="0.25">
      <x:c r="A964"/>
      <x:c r="B964"/>
      <x:c r="C964"/>
      <x:c r="D964"/>
      <x:c r="E964" s="31"/>
      <x:c r="F964" s="8"/>
      <x:c r="G964" s="8"/>
      <x:c r="H964" s="6"/>
      <x:c r="I964" s="27"/>
      <x:c r="J964" s="6"/>
      <x:c r="K964" s="6"/>
      <x:c r="L964" s="6"/>
      <x:c r="M964" s="6"/>
      <x:c r="N964" s="6"/>
      <x:c r="O964" s="6"/>
      <x:c r="P964" s="6"/>
      <x:c r="Q964" s="6"/>
      <x:c r="R964"/>
      <x:c r="S964"/>
      <x:c r="T964"/>
    </x:row>
    <x:row r="965" spans="1:20" ht="15.75" x14ac:dyDescent="0.25">
      <x:c r="A965"/>
      <x:c r="B965"/>
      <x:c r="C965"/>
      <x:c r="D965"/>
      <x:c r="E965" s="31"/>
      <x:c r="F965" s="8"/>
      <x:c r="G965" s="8"/>
      <x:c r="H965" s="6"/>
      <x:c r="I965" s="27"/>
      <x:c r="J965" s="6"/>
      <x:c r="K965" s="6"/>
      <x:c r="L965" s="6"/>
      <x:c r="M965" s="6"/>
      <x:c r="N965" s="6"/>
      <x:c r="O965" s="6"/>
      <x:c r="P965" s="6"/>
      <x:c r="Q965" s="6"/>
      <x:c r="R965"/>
      <x:c r="S965"/>
      <x:c r="T965"/>
    </x:row>
    <x:row r="966" spans="1:20" ht="15.75" x14ac:dyDescent="0.25">
      <x:c r="A966"/>
      <x:c r="B966"/>
      <x:c r="C966"/>
      <x:c r="D966"/>
      <x:c r="E966" s="31"/>
      <x:c r="F966" s="8"/>
      <x:c r="G966" s="8"/>
      <x:c r="H966" s="6"/>
      <x:c r="I966" s="27"/>
      <x:c r="J966" s="6"/>
      <x:c r="K966" s="6"/>
      <x:c r="L966" s="6"/>
      <x:c r="M966" s="6"/>
      <x:c r="N966" s="6"/>
      <x:c r="O966" s="6"/>
      <x:c r="P966" s="6"/>
      <x:c r="Q966" s="6"/>
      <x:c r="R966"/>
      <x:c r="S966"/>
      <x:c r="T966"/>
    </x:row>
    <x:row r="967" spans="1:20" ht="15.75" x14ac:dyDescent="0.25">
      <x:c r="A967"/>
      <x:c r="B967"/>
      <x:c r="C967"/>
      <x:c r="D967"/>
      <x:c r="E967" s="31"/>
      <x:c r="F967" s="8"/>
      <x:c r="G967" s="8"/>
      <x:c r="H967" s="6"/>
      <x:c r="I967" s="27"/>
      <x:c r="J967" s="6"/>
      <x:c r="K967" s="6"/>
      <x:c r="L967" s="6"/>
      <x:c r="M967" s="6"/>
      <x:c r="N967" s="6"/>
      <x:c r="O967" s="6"/>
      <x:c r="P967" s="6"/>
      <x:c r="Q967" s="6"/>
      <x:c r="R967"/>
      <x:c r="S967"/>
      <x:c r="T967"/>
    </x:row>
    <x:row r="968" spans="1:20" ht="15.75" x14ac:dyDescent="0.25">
      <x:c r="A968"/>
      <x:c r="B968"/>
      <x:c r="C968"/>
      <x:c r="D968"/>
      <x:c r="E968" s="31"/>
      <x:c r="F968" s="8"/>
      <x:c r="G968" s="8"/>
      <x:c r="H968" s="6"/>
      <x:c r="I968" s="27"/>
      <x:c r="J968" s="6"/>
      <x:c r="K968" s="6"/>
      <x:c r="L968" s="6"/>
      <x:c r="M968" s="6"/>
      <x:c r="N968" s="6"/>
      <x:c r="O968" s="6"/>
      <x:c r="P968" s="6"/>
      <x:c r="Q968" s="6"/>
      <x:c r="R968"/>
      <x:c r="S968"/>
      <x:c r="T968"/>
    </x:row>
    <x:row r="969" spans="1:20" ht="15.75" x14ac:dyDescent="0.25">
      <x:c r="A969"/>
      <x:c r="B969"/>
      <x:c r="C969"/>
      <x:c r="D969"/>
      <x:c r="E969" s="31"/>
      <x:c r="F969" s="8"/>
      <x:c r="G969" s="8"/>
      <x:c r="H969" s="6"/>
      <x:c r="I969" s="27"/>
      <x:c r="J969" s="6"/>
      <x:c r="K969" s="6"/>
      <x:c r="L969" s="6"/>
      <x:c r="M969" s="6"/>
      <x:c r="N969" s="6"/>
      <x:c r="O969" s="6"/>
      <x:c r="P969" s="6"/>
      <x:c r="Q969" s="6"/>
      <x:c r="R969"/>
      <x:c r="S969"/>
      <x:c r="T969"/>
    </x:row>
    <x:row r="970" spans="1:20" ht="15.75" x14ac:dyDescent="0.25">
      <x:c r="A970"/>
      <x:c r="B970"/>
      <x:c r="C970"/>
      <x:c r="D970"/>
      <x:c r="E970" s="31"/>
      <x:c r="F970" s="8"/>
      <x:c r="G970" s="8"/>
      <x:c r="H970" s="6"/>
      <x:c r="I970" s="27"/>
      <x:c r="J970" s="6"/>
      <x:c r="K970" s="6"/>
      <x:c r="L970" s="6"/>
      <x:c r="M970" s="6"/>
      <x:c r="N970" s="6"/>
      <x:c r="O970" s="6"/>
      <x:c r="P970" s="6"/>
      <x:c r="Q970" s="6"/>
      <x:c r="R970"/>
      <x:c r="S970"/>
      <x:c r="T970"/>
    </x:row>
    <x:row r="971" spans="1:20" ht="15.75" x14ac:dyDescent="0.25">
      <x:c r="A971"/>
      <x:c r="B971"/>
      <x:c r="C971"/>
      <x:c r="D971"/>
      <x:c r="E971" s="31"/>
      <x:c r="F971" s="8"/>
      <x:c r="G971" s="8"/>
      <x:c r="H971" s="6"/>
      <x:c r="I971" s="27"/>
      <x:c r="J971" s="6"/>
      <x:c r="K971" s="6"/>
      <x:c r="L971" s="6"/>
      <x:c r="M971" s="6"/>
      <x:c r="N971" s="6"/>
      <x:c r="O971" s="6"/>
      <x:c r="P971" s="6"/>
      <x:c r="Q971" s="6"/>
      <x:c r="R971"/>
      <x:c r="S971"/>
      <x:c r="T971"/>
    </x:row>
    <x:row r="972" spans="1:20" ht="15.75" x14ac:dyDescent="0.25">
      <x:c r="A972"/>
      <x:c r="B972"/>
      <x:c r="C972"/>
      <x:c r="D972"/>
      <x:c r="E972" s="31"/>
      <x:c r="F972" s="8"/>
      <x:c r="G972" s="8"/>
      <x:c r="H972" s="6"/>
      <x:c r="I972" s="27"/>
      <x:c r="J972" s="6"/>
      <x:c r="K972" s="6"/>
      <x:c r="L972" s="6"/>
      <x:c r="M972" s="6"/>
      <x:c r="N972" s="6"/>
      <x:c r="O972" s="6"/>
      <x:c r="P972" s="6"/>
      <x:c r="Q972" s="6"/>
      <x:c r="R972"/>
      <x:c r="S972"/>
      <x:c r="T972"/>
    </x:row>
    <x:row r="973" spans="1:20" ht="15.75" x14ac:dyDescent="0.25">
      <x:c r="A973"/>
      <x:c r="B973"/>
      <x:c r="C973"/>
      <x:c r="D973"/>
      <x:c r="E973" s="31"/>
      <x:c r="F973" s="8"/>
      <x:c r="G973" s="8"/>
      <x:c r="H973" s="6"/>
      <x:c r="I973" s="27"/>
      <x:c r="J973" s="6"/>
      <x:c r="K973" s="6"/>
      <x:c r="L973" s="6"/>
      <x:c r="M973" s="6"/>
      <x:c r="N973" s="6"/>
      <x:c r="O973" s="6"/>
      <x:c r="P973" s="6"/>
      <x:c r="Q973" s="6"/>
      <x:c r="R973"/>
      <x:c r="S973"/>
      <x:c r="T973"/>
    </x:row>
    <x:row r="974" spans="1:20" ht="15.75" x14ac:dyDescent="0.25">
      <x:c r="A974"/>
      <x:c r="B974"/>
      <x:c r="C974"/>
      <x:c r="D974"/>
      <x:c r="E974" s="31"/>
      <x:c r="F974" s="8"/>
      <x:c r="G974" s="8"/>
      <x:c r="H974" s="6"/>
      <x:c r="I974" s="27"/>
      <x:c r="J974" s="6"/>
      <x:c r="K974" s="6"/>
      <x:c r="L974" s="6"/>
      <x:c r="M974" s="6"/>
      <x:c r="N974" s="6"/>
      <x:c r="O974" s="6"/>
      <x:c r="P974" s="6"/>
      <x:c r="Q974" s="6"/>
      <x:c r="R974"/>
      <x:c r="S974"/>
      <x:c r="T974"/>
    </x:row>
    <x:row r="975" spans="1:20" ht="15.75" x14ac:dyDescent="0.25">
      <x:c r="A975"/>
      <x:c r="B975"/>
      <x:c r="C975"/>
      <x:c r="D975"/>
      <x:c r="E975" s="31"/>
      <x:c r="F975" s="8"/>
      <x:c r="G975" s="8"/>
      <x:c r="H975" s="6"/>
      <x:c r="I975" s="27"/>
      <x:c r="J975" s="6"/>
      <x:c r="K975" s="6"/>
      <x:c r="L975" s="6"/>
      <x:c r="M975" s="6"/>
      <x:c r="N975" s="6"/>
      <x:c r="O975" s="6"/>
      <x:c r="P975" s="6"/>
      <x:c r="Q975" s="6"/>
      <x:c r="R975"/>
      <x:c r="S975"/>
      <x:c r="T975"/>
    </x:row>
    <x:row r="976" spans="1:20" ht="15.75" x14ac:dyDescent="0.25">
      <x:c r="A976"/>
      <x:c r="B976"/>
      <x:c r="C976"/>
      <x:c r="D976"/>
      <x:c r="E976" s="31"/>
      <x:c r="F976" s="8"/>
      <x:c r="G976" s="8"/>
      <x:c r="H976" s="6"/>
      <x:c r="I976" s="27"/>
      <x:c r="J976" s="6"/>
      <x:c r="K976" s="6"/>
      <x:c r="L976" s="6"/>
      <x:c r="M976" s="6"/>
      <x:c r="N976" s="6"/>
      <x:c r="O976" s="6"/>
      <x:c r="P976" s="6"/>
      <x:c r="Q976" s="6"/>
      <x:c r="R976"/>
      <x:c r="S976"/>
      <x:c r="T976"/>
    </x:row>
    <x:row r="977" spans="1:20" ht="15.75" x14ac:dyDescent="0.25">
      <x:c r="A977"/>
      <x:c r="B977"/>
      <x:c r="C977"/>
      <x:c r="D977"/>
      <x:c r="E977" s="31"/>
      <x:c r="F977" s="8"/>
      <x:c r="G977" s="8"/>
      <x:c r="H977" s="6"/>
      <x:c r="I977" s="27"/>
      <x:c r="J977" s="6"/>
      <x:c r="K977" s="6"/>
      <x:c r="L977" s="6"/>
      <x:c r="M977" s="6"/>
      <x:c r="N977" s="6"/>
      <x:c r="O977" s="6"/>
      <x:c r="P977" s="6"/>
      <x:c r="Q977" s="6"/>
      <x:c r="R977"/>
      <x:c r="S977"/>
      <x:c r="T977"/>
    </x:row>
    <x:row r="978" spans="1:20" ht="15.75" x14ac:dyDescent="0.25">
      <x:c r="A978"/>
      <x:c r="B978"/>
      <x:c r="C978"/>
      <x:c r="D978"/>
      <x:c r="E978" s="31"/>
      <x:c r="F978" s="8"/>
      <x:c r="G978" s="8"/>
      <x:c r="H978" s="6"/>
      <x:c r="I978" s="27"/>
      <x:c r="J978" s="6"/>
      <x:c r="K978" s="6"/>
      <x:c r="L978" s="6"/>
      <x:c r="M978" s="6"/>
      <x:c r="N978" s="6"/>
      <x:c r="O978" s="6"/>
      <x:c r="P978" s="6"/>
      <x:c r="Q978" s="6"/>
      <x:c r="R978"/>
      <x:c r="S978"/>
      <x:c r="T978"/>
    </x:row>
    <x:row r="979" spans="1:20" ht="15.75" x14ac:dyDescent="0.25">
      <x:c r="A979"/>
      <x:c r="B979"/>
      <x:c r="C979"/>
      <x:c r="D979"/>
      <x:c r="E979" s="31"/>
      <x:c r="F979" s="8"/>
      <x:c r="G979" s="8"/>
      <x:c r="H979" s="6"/>
      <x:c r="I979" s="27"/>
      <x:c r="J979" s="6"/>
      <x:c r="K979" s="6"/>
      <x:c r="L979" s="6"/>
      <x:c r="M979" s="6"/>
      <x:c r="N979" s="6"/>
      <x:c r="O979" s="6"/>
      <x:c r="P979" s="6"/>
      <x:c r="Q979" s="6"/>
      <x:c r="R979"/>
      <x:c r="S979"/>
      <x:c r="T979"/>
    </x:row>
    <x:row r="980" spans="1:20" ht="15.75" x14ac:dyDescent="0.25">
      <x:c r="A980"/>
      <x:c r="B980"/>
      <x:c r="C980"/>
      <x:c r="D980"/>
      <x:c r="E980" s="31"/>
      <x:c r="F980" s="8"/>
      <x:c r="G980" s="8"/>
      <x:c r="H980" s="6"/>
      <x:c r="I980" s="27"/>
      <x:c r="J980" s="6"/>
      <x:c r="K980" s="6"/>
      <x:c r="L980" s="6"/>
      <x:c r="M980" s="6"/>
      <x:c r="N980" s="6"/>
      <x:c r="O980" s="6"/>
      <x:c r="P980" s="6"/>
      <x:c r="Q980" s="6"/>
      <x:c r="R980"/>
      <x:c r="S980"/>
      <x:c r="T980"/>
    </x:row>
    <x:row r="981" spans="1:20" ht="15.75" x14ac:dyDescent="0.25">
      <x:c r="A981"/>
      <x:c r="B981"/>
      <x:c r="C981"/>
      <x:c r="D981"/>
      <x:c r="E981" s="31"/>
      <x:c r="F981" s="8"/>
      <x:c r="G981" s="8"/>
      <x:c r="H981" s="6"/>
      <x:c r="I981" s="27"/>
      <x:c r="J981" s="6"/>
      <x:c r="K981" s="6"/>
      <x:c r="L981" s="6"/>
      <x:c r="M981" s="6"/>
      <x:c r="N981" s="6"/>
      <x:c r="O981" s="6"/>
      <x:c r="P981" s="6"/>
      <x:c r="Q981" s="6"/>
      <x:c r="R981"/>
      <x:c r="S981"/>
      <x:c r="T981"/>
    </x:row>
    <x:row r="982" spans="1:20" ht="15.75" x14ac:dyDescent="0.25">
      <x:c r="A982"/>
      <x:c r="B982"/>
      <x:c r="C982"/>
      <x:c r="D982"/>
      <x:c r="E982" s="31"/>
      <x:c r="F982" s="8"/>
      <x:c r="G982" s="8"/>
      <x:c r="H982" s="6"/>
      <x:c r="I982" s="27"/>
      <x:c r="J982" s="6"/>
      <x:c r="K982" s="6"/>
      <x:c r="L982" s="6"/>
      <x:c r="M982" s="6"/>
      <x:c r="N982" s="6"/>
      <x:c r="O982" s="6"/>
      <x:c r="P982" s="6"/>
      <x:c r="Q982" s="6"/>
      <x:c r="R982"/>
      <x:c r="S982"/>
      <x:c r="T982"/>
    </x:row>
    <x:row r="983" spans="1:20" ht="15.75" x14ac:dyDescent="0.25">
      <x:c r="A983"/>
      <x:c r="B983"/>
      <x:c r="C983"/>
      <x:c r="D983"/>
      <x:c r="E983" s="31"/>
      <x:c r="F983" s="8"/>
      <x:c r="G983" s="8"/>
      <x:c r="H983" s="6"/>
      <x:c r="I983" s="27"/>
      <x:c r="J983" s="6"/>
      <x:c r="K983" s="6"/>
      <x:c r="L983" s="6"/>
      <x:c r="M983" s="6"/>
      <x:c r="N983" s="6"/>
      <x:c r="O983" s="6"/>
      <x:c r="P983" s="6"/>
      <x:c r="Q983" s="6"/>
      <x:c r="R983"/>
      <x:c r="S983"/>
      <x:c r="T983"/>
    </x:row>
    <x:row r="984" spans="1:20" ht="15.75" x14ac:dyDescent="0.25">
      <x:c r="A984"/>
      <x:c r="B984"/>
      <x:c r="C984"/>
      <x:c r="D984"/>
      <x:c r="E984" s="31"/>
      <x:c r="F984" s="8"/>
      <x:c r="G984" s="8"/>
      <x:c r="H984" s="6"/>
      <x:c r="I984" s="27"/>
      <x:c r="J984" s="6"/>
      <x:c r="K984" s="6"/>
      <x:c r="L984" s="6"/>
      <x:c r="M984" s="6"/>
      <x:c r="N984" s="6"/>
      <x:c r="O984" s="6"/>
      <x:c r="P984" s="6"/>
      <x:c r="Q984" s="6"/>
      <x:c r="R984"/>
      <x:c r="S984"/>
      <x:c r="T984"/>
    </x:row>
    <x:row r="985" spans="1:20" ht="15.75" x14ac:dyDescent="0.25">
      <x:c r="A985"/>
      <x:c r="B985"/>
      <x:c r="C985"/>
      <x:c r="D985"/>
      <x:c r="E985" s="31"/>
      <x:c r="F985" s="8"/>
      <x:c r="G985" s="8"/>
      <x:c r="H985" s="6"/>
      <x:c r="I985" s="27"/>
      <x:c r="J985" s="6"/>
      <x:c r="K985" s="6"/>
      <x:c r="L985" s="6"/>
      <x:c r="M985" s="6"/>
      <x:c r="N985" s="6"/>
      <x:c r="O985" s="6"/>
      <x:c r="P985" s="6"/>
      <x:c r="Q985" s="6"/>
      <x:c r="R985"/>
      <x:c r="S985"/>
      <x:c r="T985"/>
    </x:row>
    <x:row r="986" spans="1:20" ht="15.75" x14ac:dyDescent="0.25">
      <x:c r="A986"/>
      <x:c r="B986"/>
      <x:c r="C986"/>
      <x:c r="D986"/>
      <x:c r="E986" s="31"/>
      <x:c r="F986" s="8"/>
      <x:c r="G986" s="8"/>
      <x:c r="H986" s="6"/>
      <x:c r="I986" s="27"/>
      <x:c r="J986" s="6"/>
      <x:c r="K986" s="6"/>
      <x:c r="L986" s="6"/>
      <x:c r="M986" s="6"/>
      <x:c r="N986" s="6"/>
      <x:c r="O986" s="6"/>
      <x:c r="P986" s="6"/>
      <x:c r="Q986" s="6"/>
      <x:c r="R986"/>
      <x:c r="S986"/>
      <x:c r="T986"/>
    </x:row>
    <x:row r="987" spans="1:20" ht="15.75" x14ac:dyDescent="0.25">
      <x:c r="A987"/>
      <x:c r="B987"/>
      <x:c r="C987"/>
      <x:c r="D987"/>
      <x:c r="E987" s="31"/>
      <x:c r="F987" s="8"/>
      <x:c r="G987" s="8"/>
      <x:c r="H987" s="6"/>
      <x:c r="I987" s="27"/>
      <x:c r="J987" s="6"/>
      <x:c r="K987" s="6"/>
      <x:c r="L987" s="6"/>
      <x:c r="M987" s="6"/>
      <x:c r="N987" s="6"/>
      <x:c r="O987" s="6"/>
      <x:c r="P987" s="6"/>
      <x:c r="Q987" s="6"/>
      <x:c r="R987"/>
      <x:c r="S987"/>
      <x:c r="T987"/>
    </x:row>
    <x:row r="988" spans="1:20" ht="15.75" x14ac:dyDescent="0.25">
      <x:c r="A988"/>
      <x:c r="B988"/>
      <x:c r="C988"/>
      <x:c r="D988"/>
      <x:c r="E988" s="31"/>
      <x:c r="F988" s="8"/>
      <x:c r="G988" s="8"/>
      <x:c r="H988" s="6"/>
      <x:c r="I988" s="27"/>
      <x:c r="J988" s="6"/>
      <x:c r="K988" s="6"/>
      <x:c r="L988" s="6"/>
      <x:c r="M988" s="6"/>
      <x:c r="N988" s="6"/>
      <x:c r="O988" s="6"/>
      <x:c r="P988" s="6"/>
      <x:c r="Q988" s="6"/>
      <x:c r="R988"/>
      <x:c r="S988"/>
      <x:c r="T988"/>
    </x:row>
    <x:row r="989" spans="1:20" ht="15.75" x14ac:dyDescent="0.25">
      <x:c r="A989"/>
      <x:c r="B989"/>
      <x:c r="C989"/>
      <x:c r="D989"/>
      <x:c r="E989" s="31"/>
      <x:c r="F989" s="8"/>
      <x:c r="G989" s="8"/>
      <x:c r="H989" s="6"/>
      <x:c r="I989" s="27"/>
      <x:c r="J989" s="6"/>
      <x:c r="K989" s="6"/>
      <x:c r="L989" s="6"/>
      <x:c r="M989" s="6"/>
      <x:c r="N989" s="6"/>
      <x:c r="O989" s="6"/>
      <x:c r="P989" s="6"/>
      <x:c r="Q989" s="6"/>
      <x:c r="R989"/>
      <x:c r="S989"/>
      <x:c r="T989"/>
    </x:row>
    <x:row r="990" spans="1:20" ht="15.75" x14ac:dyDescent="0.25">
      <x:c r="A990"/>
      <x:c r="B990"/>
      <x:c r="C990"/>
      <x:c r="D990"/>
      <x:c r="E990" s="31"/>
      <x:c r="F990" s="8"/>
      <x:c r="G990" s="8"/>
      <x:c r="H990" s="6"/>
      <x:c r="I990" s="27"/>
      <x:c r="J990" s="6"/>
      <x:c r="K990" s="6"/>
      <x:c r="L990" s="6"/>
      <x:c r="M990" s="6"/>
      <x:c r="N990" s="6"/>
      <x:c r="O990" s="6"/>
      <x:c r="P990" s="6"/>
      <x:c r="Q990" s="6"/>
      <x:c r="R990"/>
      <x:c r="S990"/>
      <x:c r="T990"/>
    </x:row>
    <x:row r="991" spans="1:20" ht="15.75" x14ac:dyDescent="0.25">
      <x:c r="A991"/>
      <x:c r="B991"/>
      <x:c r="C991"/>
      <x:c r="D991"/>
      <x:c r="E991" s="31"/>
      <x:c r="F991" s="8"/>
      <x:c r="G991" s="8"/>
      <x:c r="H991" s="6"/>
      <x:c r="I991" s="27"/>
      <x:c r="J991" s="6"/>
      <x:c r="K991" s="6"/>
      <x:c r="L991" s="6"/>
      <x:c r="M991" s="6"/>
      <x:c r="N991" s="6"/>
      <x:c r="O991" s="6"/>
      <x:c r="P991" s="6"/>
      <x:c r="Q991" s="6"/>
      <x:c r="R991"/>
      <x:c r="S991"/>
      <x:c r="T991"/>
    </x:row>
    <x:row r="992" spans="1:20" ht="15.75" x14ac:dyDescent="0.25">
      <x:c r="A992"/>
      <x:c r="B992"/>
      <x:c r="C992"/>
      <x:c r="D992"/>
      <x:c r="E992" s="31"/>
      <x:c r="F992" s="8"/>
      <x:c r="G992" s="8"/>
      <x:c r="H992" s="6"/>
      <x:c r="I992" s="27"/>
      <x:c r="J992" s="6"/>
      <x:c r="K992" s="6"/>
      <x:c r="L992" s="6"/>
      <x:c r="M992" s="6"/>
      <x:c r="N992" s="6"/>
      <x:c r="O992" s="6"/>
      <x:c r="P992" s="6"/>
      <x:c r="Q992" s="6"/>
      <x:c r="R992"/>
      <x:c r="S992"/>
      <x:c r="T992"/>
    </x:row>
    <x:row r="993" spans="1:20" ht="15.75" x14ac:dyDescent="0.25">
      <x:c r="A993"/>
      <x:c r="B993"/>
      <x:c r="C993"/>
      <x:c r="D993"/>
      <x:c r="E993" s="31"/>
      <x:c r="F993" s="8"/>
      <x:c r="G993" s="8"/>
      <x:c r="H993" s="6"/>
      <x:c r="I993" s="27"/>
      <x:c r="J993" s="6"/>
      <x:c r="K993" s="6"/>
      <x:c r="L993" s="6"/>
      <x:c r="M993" s="6"/>
      <x:c r="N993" s="6"/>
      <x:c r="O993" s="6"/>
      <x:c r="P993" s="6"/>
      <x:c r="Q993" s="6"/>
      <x:c r="R993"/>
      <x:c r="S993"/>
      <x:c r="T993"/>
    </x:row>
    <x:row r="994" spans="1:20" ht="15.75" x14ac:dyDescent="0.25">
      <x:c r="A994"/>
      <x:c r="B994"/>
      <x:c r="C994"/>
      <x:c r="D994"/>
      <x:c r="E994" s="31"/>
      <x:c r="F994" s="8"/>
      <x:c r="G994" s="8"/>
      <x:c r="H994" s="6"/>
      <x:c r="I994" s="27"/>
      <x:c r="J994" s="6"/>
      <x:c r="K994" s="6"/>
      <x:c r="L994" s="6"/>
      <x:c r="M994" s="6"/>
      <x:c r="N994" s="6"/>
      <x:c r="O994" s="6"/>
      <x:c r="P994" s="6"/>
      <x:c r="Q994" s="6"/>
      <x:c r="R994"/>
      <x:c r="S994"/>
      <x:c r="T994"/>
    </x:row>
    <x:row r="995" spans="1:20" ht="15.75" x14ac:dyDescent="0.25">
      <x:c r="A995"/>
      <x:c r="B995"/>
      <x:c r="C995"/>
      <x:c r="D995"/>
      <x:c r="E995" s="31"/>
      <x:c r="F995" s="8"/>
      <x:c r="G995" s="8"/>
      <x:c r="H995" s="6"/>
      <x:c r="I995" s="27"/>
      <x:c r="J995" s="6"/>
      <x:c r="K995" s="6"/>
      <x:c r="L995" s="6"/>
      <x:c r="M995" s="6"/>
      <x:c r="N995" s="6"/>
      <x:c r="O995" s="6"/>
      <x:c r="P995" s="6"/>
      <x:c r="Q995" s="6"/>
      <x:c r="R995"/>
      <x:c r="S995"/>
      <x:c r="T995"/>
    </x:row>
    <x:row r="996" spans="1:20" ht="15.75" x14ac:dyDescent="0.25">
      <x:c r="A996"/>
      <x:c r="B996"/>
      <x:c r="C996"/>
      <x:c r="D996"/>
      <x:c r="E996" s="31"/>
      <x:c r="F996" s="8"/>
      <x:c r="G996" s="8"/>
      <x:c r="H996" s="6"/>
      <x:c r="I996" s="27"/>
      <x:c r="J996" s="6"/>
      <x:c r="K996" s="6"/>
      <x:c r="L996" s="6"/>
      <x:c r="M996" s="6"/>
      <x:c r="N996" s="6"/>
      <x:c r="O996" s="6"/>
      <x:c r="P996" s="6"/>
      <x:c r="Q996" s="6"/>
      <x:c r="R996"/>
      <x:c r="S996"/>
      <x:c r="T996"/>
    </x:row>
    <x:row r="997" spans="1:20" ht="15.75" x14ac:dyDescent="0.25">
      <x:c r="A997"/>
      <x:c r="B997"/>
      <x:c r="C997"/>
      <x:c r="D997"/>
      <x:c r="E997" s="31"/>
      <x:c r="F997" s="8"/>
      <x:c r="G997" s="8"/>
      <x:c r="H997" s="6"/>
      <x:c r="I997" s="27"/>
      <x:c r="J997" s="6"/>
      <x:c r="K997" s="6"/>
      <x:c r="L997" s="6"/>
      <x:c r="M997" s="6"/>
      <x:c r="N997" s="6"/>
      <x:c r="O997" s="6"/>
      <x:c r="P997" s="6"/>
      <x:c r="Q997" s="6"/>
      <x:c r="R997"/>
      <x:c r="S997"/>
      <x:c r="T997"/>
    </x:row>
    <x:row r="998" spans="1:20" ht="15.75" x14ac:dyDescent="0.25">
      <x:c r="A998"/>
      <x:c r="B998"/>
      <x:c r="C998"/>
      <x:c r="D998"/>
      <x:c r="E998" s="31"/>
      <x:c r="F998" s="8"/>
      <x:c r="G998" s="8"/>
      <x:c r="H998" s="6"/>
      <x:c r="I998" s="27"/>
      <x:c r="J998" s="6"/>
      <x:c r="K998" s="6"/>
      <x:c r="L998" s="6"/>
      <x:c r="M998" s="6"/>
      <x:c r="N998" s="6"/>
      <x:c r="O998" s="6"/>
      <x:c r="P998" s="6"/>
      <x:c r="Q998" s="6"/>
      <x:c r="R998"/>
      <x:c r="S998"/>
      <x:c r="T998"/>
    </x:row>
    <x:row r="999" spans="1:20" ht="15.75" x14ac:dyDescent="0.25">
      <x:c r="A999"/>
      <x:c r="B999"/>
      <x:c r="C999"/>
      <x:c r="D999"/>
      <x:c r="E999" s="31"/>
      <x:c r="F999" s="8"/>
      <x:c r="G999" s="8"/>
      <x:c r="H999" s="6"/>
      <x:c r="I999" s="27"/>
      <x:c r="J999" s="6"/>
      <x:c r="K999" s="6"/>
      <x:c r="L999" s="6"/>
      <x:c r="M999" s="6"/>
      <x:c r="N999" s="6"/>
      <x:c r="O999" s="6"/>
      <x:c r="P999" s="6"/>
      <x:c r="Q999" s="6"/>
      <x:c r="R999"/>
      <x:c r="S999"/>
      <x:c r="T999"/>
    </x:row>
    <x:row r="1000" spans="1:20" ht="15.75" x14ac:dyDescent="0.25">
      <x:c r="A1000"/>
      <x:c r="B1000"/>
      <x:c r="C1000"/>
      <x:c r="D1000"/>
      <x:c r="E1000" s="31"/>
      <x:c r="F1000" s="8"/>
      <x:c r="G1000" s="8"/>
      <x:c r="H1000" s="6"/>
      <x:c r="I1000" s="27"/>
      <x:c r="J1000" s="6"/>
      <x:c r="K1000" s="6"/>
      <x:c r="L1000" s="6"/>
      <x:c r="M1000" s="6"/>
      <x:c r="N1000" s="6"/>
      <x:c r="O1000" s="6"/>
      <x:c r="P1000" s="6"/>
      <x:c r="Q1000" s="6"/>
      <x:c r="R1000"/>
      <x:c r="S1000"/>
      <x:c r="T1000"/>
    </x:row>
    <x:row r="1001" spans="1:20" ht="15.75" x14ac:dyDescent="0.25">
      <x:c r="A1001"/>
      <x:c r="B1001"/>
      <x:c r="C1001"/>
      <x:c r="D1001"/>
      <x:c r="E1001" s="31"/>
      <x:c r="F1001" s="8"/>
      <x:c r="G1001" s="8"/>
      <x:c r="H1001" s="6"/>
      <x:c r="I1001" s="27"/>
      <x:c r="J1001" s="6"/>
      <x:c r="K1001" s="6"/>
      <x:c r="L1001" s="6"/>
      <x:c r="M1001" s="6"/>
      <x:c r="N1001" s="6"/>
      <x:c r="O1001" s="6"/>
      <x:c r="P1001" s="6"/>
      <x:c r="Q1001" s="6"/>
      <x:c r="R1001"/>
      <x:c r="S1001"/>
      <x:c r="T1001"/>
    </x:row>
    <x:row r="1002" spans="1:20" ht="15.75" x14ac:dyDescent="0.25">
      <x:c r="A1002"/>
      <x:c r="B1002"/>
      <x:c r="C1002"/>
      <x:c r="D1002"/>
      <x:c r="E1002" s="31"/>
      <x:c r="F1002" s="8"/>
      <x:c r="G1002" s="8"/>
      <x:c r="H1002" s="6"/>
      <x:c r="I1002" s="27"/>
      <x:c r="J1002" s="6"/>
      <x:c r="K1002" s="6"/>
      <x:c r="L1002" s="6"/>
      <x:c r="M1002" s="6"/>
      <x:c r="N1002" s="6"/>
      <x:c r="O1002" s="6"/>
      <x:c r="P1002" s="6"/>
      <x:c r="Q1002" s="6"/>
      <x:c r="R1002"/>
      <x:c r="S1002"/>
      <x:c r="T1002"/>
    </x:row>
    <x:row r="1003" spans="1:20" ht="15.75" x14ac:dyDescent="0.25">
      <x:c r="A1003"/>
      <x:c r="B1003"/>
      <x:c r="C1003"/>
      <x:c r="D1003"/>
      <x:c r="E1003" s="31"/>
      <x:c r="F1003" s="8"/>
      <x:c r="G1003" s="8"/>
      <x:c r="H1003" s="6"/>
      <x:c r="I1003" s="27"/>
      <x:c r="J1003" s="6"/>
      <x:c r="K1003" s="6"/>
      <x:c r="L1003" s="6"/>
      <x:c r="M1003" s="6"/>
      <x:c r="N1003" s="6"/>
      <x:c r="O1003" s="6"/>
      <x:c r="P1003" s="6"/>
      <x:c r="Q1003" s="6"/>
      <x:c r="R1003"/>
      <x:c r="S1003"/>
      <x:c r="T1003"/>
    </x:row>
    <x:row r="1004" spans="1:20" ht="15.75" x14ac:dyDescent="0.25">
      <x:c r="A1004"/>
      <x:c r="B1004"/>
      <x:c r="C1004"/>
      <x:c r="D1004"/>
      <x:c r="E1004" s="31"/>
      <x:c r="F1004" s="8"/>
      <x:c r="G1004" s="8"/>
      <x:c r="H1004" s="6"/>
      <x:c r="I1004" s="27"/>
      <x:c r="J1004" s="6"/>
      <x:c r="K1004" s="6"/>
      <x:c r="L1004" s="6"/>
      <x:c r="M1004" s="6"/>
      <x:c r="N1004" s="6"/>
      <x:c r="O1004" s="6"/>
      <x:c r="P1004" s="6"/>
      <x:c r="Q1004" s="6"/>
      <x:c r="R1004"/>
      <x:c r="S1004"/>
      <x:c r="T1004"/>
    </x:row>
    <x:row r="1005" spans="1:20" ht="15.75" x14ac:dyDescent="0.25">
      <x:c r="A1005"/>
      <x:c r="B1005"/>
      <x:c r="C1005"/>
      <x:c r="D1005"/>
      <x:c r="E1005" s="31"/>
      <x:c r="F1005" s="8"/>
      <x:c r="G1005" s="8"/>
      <x:c r="H1005" s="6"/>
      <x:c r="I1005" s="27"/>
      <x:c r="J1005" s="6"/>
      <x:c r="K1005" s="6"/>
      <x:c r="L1005" s="6"/>
      <x:c r="M1005" s="6"/>
      <x:c r="N1005" s="6"/>
      <x:c r="O1005" s="6"/>
      <x:c r="P1005" s="6"/>
      <x:c r="Q1005" s="6"/>
      <x:c r="R1005"/>
      <x:c r="S1005"/>
      <x:c r="T1005"/>
    </x:row>
    <x:row r="1006" spans="1:20" ht="15.75" x14ac:dyDescent="0.25">
      <x:c r="A1006"/>
      <x:c r="B1006"/>
      <x:c r="C1006"/>
      <x:c r="D1006"/>
      <x:c r="E1006" s="31"/>
      <x:c r="F1006" s="8"/>
      <x:c r="G1006" s="8"/>
      <x:c r="H1006" s="6"/>
      <x:c r="I1006" s="27"/>
      <x:c r="J1006" s="6"/>
      <x:c r="K1006" s="6"/>
      <x:c r="L1006" s="6"/>
      <x:c r="M1006" s="6"/>
      <x:c r="N1006" s="6"/>
      <x:c r="O1006" s="6"/>
      <x:c r="P1006" s="6"/>
      <x:c r="Q1006" s="6"/>
      <x:c r="R1006"/>
      <x:c r="S1006"/>
      <x:c r="T1006"/>
    </x:row>
    <x:row r="1007" spans="1:20" ht="15.75" x14ac:dyDescent="0.25">
      <x:c r="A1007"/>
      <x:c r="B1007"/>
      <x:c r="C1007"/>
      <x:c r="D1007"/>
      <x:c r="E1007" s="31"/>
      <x:c r="F1007" s="8"/>
      <x:c r="G1007" s="8"/>
      <x:c r="H1007" s="6"/>
      <x:c r="I1007" s="27"/>
      <x:c r="J1007" s="6"/>
      <x:c r="K1007" s="6"/>
      <x:c r="L1007" s="6"/>
      <x:c r="M1007" s="6"/>
      <x:c r="N1007" s="6"/>
      <x:c r="O1007" s="6"/>
      <x:c r="P1007" s="6"/>
      <x:c r="Q1007" s="6"/>
      <x:c r="R1007"/>
      <x:c r="S1007"/>
      <x:c r="T1007"/>
    </x:row>
    <x:row r="1008" spans="1:20" ht="15.75" x14ac:dyDescent="0.25">
      <x:c r="A1008"/>
      <x:c r="B1008"/>
      <x:c r="C1008"/>
      <x:c r="D1008"/>
      <x:c r="E1008" s="31"/>
      <x:c r="F1008" s="8"/>
      <x:c r="G1008" s="8"/>
      <x:c r="H1008" s="6"/>
      <x:c r="I1008" s="27"/>
      <x:c r="J1008" s="6"/>
      <x:c r="K1008" s="6"/>
      <x:c r="L1008" s="6"/>
      <x:c r="M1008" s="6"/>
      <x:c r="N1008" s="6"/>
      <x:c r="O1008" s="6"/>
      <x:c r="P1008" s="6"/>
      <x:c r="Q1008" s="6"/>
      <x:c r="R1008"/>
      <x:c r="S1008"/>
      <x:c r="T1008"/>
    </x:row>
    <x:row r="1009" spans="1:20" ht="15.75" x14ac:dyDescent="0.25">
      <x:c r="A1009"/>
      <x:c r="B1009"/>
      <x:c r="C1009"/>
      <x:c r="D1009"/>
      <x:c r="E1009" s="31"/>
      <x:c r="F1009" s="8"/>
      <x:c r="G1009" s="8"/>
      <x:c r="H1009" s="6"/>
      <x:c r="I1009" s="27"/>
      <x:c r="J1009" s="6"/>
      <x:c r="K1009" s="6"/>
      <x:c r="L1009" s="6"/>
      <x:c r="M1009" s="6"/>
      <x:c r="N1009" s="6"/>
      <x:c r="O1009" s="6"/>
      <x:c r="P1009" s="6"/>
      <x:c r="Q1009" s="6"/>
      <x:c r="R1009"/>
      <x:c r="S1009"/>
      <x:c r="T1009"/>
    </x:row>
    <x:row r="1010" spans="1:20" ht="15.75" x14ac:dyDescent="0.25">
      <x:c r="A1010"/>
      <x:c r="B1010"/>
      <x:c r="C1010"/>
      <x:c r="D1010"/>
      <x:c r="E1010" s="31"/>
      <x:c r="F1010" s="8"/>
      <x:c r="G1010" s="8"/>
      <x:c r="H1010" s="6"/>
      <x:c r="I1010" s="27"/>
      <x:c r="J1010" s="6"/>
      <x:c r="K1010" s="6"/>
      <x:c r="L1010" s="6"/>
      <x:c r="M1010" s="6"/>
      <x:c r="N1010" s="6"/>
      <x:c r="O1010" s="6"/>
      <x:c r="P1010" s="6"/>
      <x:c r="Q1010" s="6"/>
      <x:c r="R1010"/>
      <x:c r="S1010"/>
      <x:c r="T1010"/>
    </x:row>
    <x:row r="1011" spans="1:20" ht="15.75" x14ac:dyDescent="0.25">
      <x:c r="A1011"/>
      <x:c r="B1011"/>
      <x:c r="C1011"/>
      <x:c r="D1011"/>
      <x:c r="E1011" s="31"/>
      <x:c r="F1011" s="8"/>
      <x:c r="G1011" s="8"/>
      <x:c r="H1011" s="6"/>
      <x:c r="I1011" s="27"/>
      <x:c r="J1011" s="6"/>
      <x:c r="K1011" s="6"/>
      <x:c r="L1011" s="6"/>
      <x:c r="M1011" s="6"/>
      <x:c r="N1011" s="6"/>
      <x:c r="O1011" s="6"/>
      <x:c r="P1011" s="6"/>
      <x:c r="Q1011" s="6"/>
      <x:c r="R1011"/>
      <x:c r="S1011"/>
      <x:c r="T1011"/>
    </x:row>
    <x:row r="1012" spans="1:20" ht="15.75" x14ac:dyDescent="0.25">
      <x:c r="A1012"/>
      <x:c r="B1012"/>
      <x:c r="C1012"/>
      <x:c r="D1012"/>
      <x:c r="E1012" s="31"/>
      <x:c r="F1012" s="8"/>
      <x:c r="G1012" s="8"/>
      <x:c r="H1012" s="6"/>
      <x:c r="I1012" s="27"/>
      <x:c r="J1012" s="6"/>
      <x:c r="K1012" s="6"/>
      <x:c r="L1012" s="6"/>
      <x:c r="M1012" s="6"/>
      <x:c r="N1012" s="6"/>
      <x:c r="O1012" s="6"/>
      <x:c r="P1012" s="6"/>
      <x:c r="Q1012" s="6"/>
      <x:c r="R1012"/>
      <x:c r="S1012"/>
      <x:c r="T1012"/>
    </x:row>
    <x:row r="1013" spans="1:20" ht="15.75" x14ac:dyDescent="0.25">
      <x:c r="A1013"/>
      <x:c r="B1013"/>
      <x:c r="C1013"/>
      <x:c r="D1013"/>
      <x:c r="E1013" s="31"/>
      <x:c r="F1013" s="8"/>
      <x:c r="G1013" s="8"/>
      <x:c r="H1013" s="6"/>
      <x:c r="I1013" s="27"/>
      <x:c r="J1013" s="6"/>
      <x:c r="K1013" s="6"/>
      <x:c r="L1013" s="6"/>
      <x:c r="M1013" s="6"/>
      <x:c r="N1013" s="6"/>
      <x:c r="O1013" s="6"/>
      <x:c r="P1013" s="6"/>
      <x:c r="Q1013" s="6"/>
      <x:c r="R1013"/>
      <x:c r="S1013"/>
      <x:c r="T1013"/>
    </x:row>
    <x:row r="1014" spans="1:20" ht="15.75" x14ac:dyDescent="0.25">
      <x:c r="A1014"/>
      <x:c r="B1014"/>
      <x:c r="C1014"/>
      <x:c r="D1014"/>
      <x:c r="E1014" s="31"/>
      <x:c r="F1014" s="8"/>
      <x:c r="G1014" s="8"/>
      <x:c r="H1014" s="6"/>
      <x:c r="I1014" s="27"/>
      <x:c r="J1014" s="6"/>
      <x:c r="K1014" s="6"/>
      <x:c r="L1014" s="6"/>
      <x:c r="M1014" s="6"/>
      <x:c r="N1014" s="6"/>
      <x:c r="O1014" s="6"/>
      <x:c r="P1014" s="6"/>
      <x:c r="Q1014" s="6"/>
      <x:c r="R1014"/>
      <x:c r="S1014"/>
      <x:c r="T1014"/>
    </x:row>
    <x:row r="1015" spans="1:20" ht="15.75" x14ac:dyDescent="0.25">
      <x:c r="A1015"/>
      <x:c r="B1015"/>
      <x:c r="C1015"/>
      <x:c r="D1015"/>
      <x:c r="E1015" s="31"/>
      <x:c r="F1015" s="8"/>
      <x:c r="G1015" s="8"/>
      <x:c r="H1015" s="6"/>
      <x:c r="I1015" s="27"/>
      <x:c r="J1015" s="6"/>
      <x:c r="K1015" s="6"/>
      <x:c r="L1015" s="6"/>
      <x:c r="M1015" s="6"/>
      <x:c r="N1015" s="6"/>
      <x:c r="O1015" s="6"/>
      <x:c r="P1015" s="6"/>
      <x:c r="Q1015" s="6"/>
      <x:c r="R1015"/>
      <x:c r="S1015"/>
      <x:c r="T1015"/>
    </x:row>
    <x:row r="1016" spans="1:20" ht="15.75" x14ac:dyDescent="0.25">
      <x:c r="A1016"/>
      <x:c r="B1016"/>
      <x:c r="C1016"/>
      <x:c r="D1016"/>
      <x:c r="E1016" s="31"/>
      <x:c r="F1016" s="8"/>
      <x:c r="G1016" s="8"/>
      <x:c r="H1016" s="6"/>
      <x:c r="I1016" s="27"/>
      <x:c r="J1016" s="6"/>
      <x:c r="K1016" s="6"/>
      <x:c r="L1016" s="6"/>
      <x:c r="M1016" s="6"/>
      <x:c r="N1016" s="6"/>
      <x:c r="O1016" s="6"/>
      <x:c r="P1016" s="6"/>
      <x:c r="Q1016" s="6"/>
      <x:c r="R1016"/>
      <x:c r="S1016"/>
      <x:c r="T1016"/>
    </x:row>
    <x:row r="1017" spans="1:20" ht="15.75" x14ac:dyDescent="0.25">
      <x:c r="A1017"/>
      <x:c r="B1017"/>
      <x:c r="C1017"/>
      <x:c r="D1017"/>
      <x:c r="E1017" s="31"/>
      <x:c r="F1017" s="8"/>
      <x:c r="G1017" s="8"/>
      <x:c r="H1017" s="6"/>
      <x:c r="I1017" s="27"/>
      <x:c r="J1017" s="6"/>
      <x:c r="K1017" s="6"/>
      <x:c r="L1017" s="6"/>
      <x:c r="M1017" s="6"/>
      <x:c r="N1017" s="6"/>
      <x:c r="O1017" s="6"/>
      <x:c r="P1017" s="6"/>
      <x:c r="Q1017" s="6"/>
      <x:c r="R1017"/>
      <x:c r="S1017"/>
      <x:c r="T1017"/>
    </x:row>
    <x:row r="1018" spans="1:20" ht="15.75" x14ac:dyDescent="0.25">
      <x:c r="A1018"/>
      <x:c r="B1018"/>
      <x:c r="C1018"/>
      <x:c r="D1018"/>
      <x:c r="E1018" s="31"/>
      <x:c r="F1018" s="8"/>
      <x:c r="G1018" s="8"/>
      <x:c r="H1018" s="6"/>
      <x:c r="I1018" s="27"/>
      <x:c r="J1018" s="6"/>
      <x:c r="K1018" s="6"/>
      <x:c r="L1018" s="6"/>
      <x:c r="M1018" s="6"/>
      <x:c r="N1018" s="6"/>
      <x:c r="O1018" s="6"/>
      <x:c r="P1018" s="6"/>
      <x:c r="Q1018" s="6"/>
      <x:c r="R1018"/>
      <x:c r="S1018"/>
      <x:c r="T1018"/>
    </x:row>
    <x:row r="1019" spans="1:20" ht="15.75" x14ac:dyDescent="0.25">
      <x:c r="A1019"/>
      <x:c r="B1019"/>
      <x:c r="C1019"/>
      <x:c r="D1019"/>
      <x:c r="E1019" s="31"/>
      <x:c r="F1019" s="8"/>
      <x:c r="G1019" s="8"/>
      <x:c r="H1019" s="6"/>
      <x:c r="I1019" s="27"/>
      <x:c r="J1019" s="6"/>
      <x:c r="K1019" s="6"/>
      <x:c r="L1019" s="6"/>
      <x:c r="M1019" s="6"/>
      <x:c r="N1019" s="6"/>
      <x:c r="O1019" s="6"/>
      <x:c r="P1019" s="6"/>
      <x:c r="Q1019" s="6"/>
      <x:c r="R1019"/>
      <x:c r="S1019"/>
      <x:c r="T1019"/>
    </x:row>
    <x:row r="1020" spans="1:20" ht="15.75" x14ac:dyDescent="0.25">
      <x:c r="A1020"/>
      <x:c r="B1020"/>
      <x:c r="C1020"/>
      <x:c r="D1020"/>
      <x:c r="E1020" s="31"/>
      <x:c r="F1020" s="8"/>
      <x:c r="G1020" s="8"/>
      <x:c r="H1020" s="6"/>
      <x:c r="I1020" s="27"/>
      <x:c r="J1020" s="6"/>
      <x:c r="K1020" s="6"/>
      <x:c r="L1020" s="6"/>
      <x:c r="M1020" s="6"/>
      <x:c r="N1020" s="6"/>
      <x:c r="O1020" s="6"/>
      <x:c r="P1020" s="6"/>
      <x:c r="Q1020" s="6"/>
      <x:c r="R1020"/>
      <x:c r="S1020"/>
      <x:c r="T1020"/>
    </x:row>
    <x:row r="1021" spans="1:20" ht="15.75" x14ac:dyDescent="0.25">
      <x:c r="A1021"/>
      <x:c r="B1021"/>
      <x:c r="C1021"/>
      <x:c r="D1021"/>
      <x:c r="E1021" s="31"/>
      <x:c r="F1021" s="8"/>
      <x:c r="G1021" s="8"/>
      <x:c r="H1021" s="6"/>
      <x:c r="I1021" s="27"/>
      <x:c r="J1021" s="6"/>
      <x:c r="K1021" s="6"/>
      <x:c r="L1021" s="6"/>
      <x:c r="M1021" s="6"/>
      <x:c r="N1021" s="6"/>
      <x:c r="O1021" s="6"/>
      <x:c r="P1021" s="6"/>
      <x:c r="Q1021" s="6"/>
      <x:c r="R1021"/>
      <x:c r="S1021"/>
      <x:c r="T1021"/>
    </x:row>
    <x:row r="1022" spans="1:20" ht="15.75" x14ac:dyDescent="0.25">
      <x:c r="A1022"/>
      <x:c r="B1022"/>
      <x:c r="C1022"/>
      <x:c r="D1022"/>
      <x:c r="E1022" s="31"/>
      <x:c r="F1022" s="8"/>
      <x:c r="G1022" s="8"/>
      <x:c r="H1022" s="6"/>
      <x:c r="I1022" s="27"/>
      <x:c r="J1022" s="6"/>
      <x:c r="K1022" s="6"/>
      <x:c r="L1022" s="6"/>
      <x:c r="M1022" s="6"/>
      <x:c r="N1022" s="6"/>
      <x:c r="O1022" s="6"/>
      <x:c r="P1022" s="6"/>
      <x:c r="Q1022" s="6"/>
      <x:c r="R1022"/>
      <x:c r="S1022"/>
      <x:c r="T1022"/>
    </x:row>
    <x:row r="1023" spans="1:20" ht="15.75" x14ac:dyDescent="0.25">
      <x:c r="A1023"/>
      <x:c r="B1023"/>
      <x:c r="C1023"/>
      <x:c r="D1023"/>
      <x:c r="E1023" s="31"/>
      <x:c r="F1023" s="8"/>
      <x:c r="G1023" s="8"/>
      <x:c r="H1023" s="6"/>
      <x:c r="I1023" s="27"/>
      <x:c r="J1023" s="6"/>
      <x:c r="K1023" s="6"/>
      <x:c r="L1023" s="6"/>
      <x:c r="M1023" s="6"/>
      <x:c r="N1023" s="6"/>
      <x:c r="O1023" s="6"/>
      <x:c r="P1023" s="6"/>
      <x:c r="Q1023" s="6"/>
      <x:c r="R1023"/>
      <x:c r="S1023"/>
      <x:c r="T1023"/>
    </x:row>
    <x:row r="1024" spans="1:20" ht="15.75" x14ac:dyDescent="0.25">
      <x:c r="A1024"/>
      <x:c r="B1024"/>
      <x:c r="C1024"/>
      <x:c r="D1024"/>
      <x:c r="E1024" s="31"/>
      <x:c r="F1024" s="8"/>
      <x:c r="G1024" s="8"/>
      <x:c r="H1024" s="6"/>
      <x:c r="I1024" s="27"/>
      <x:c r="J1024" s="6"/>
      <x:c r="K1024" s="6"/>
      <x:c r="L1024" s="6"/>
      <x:c r="M1024" s="6"/>
      <x:c r="N1024" s="6"/>
      <x:c r="O1024" s="6"/>
      <x:c r="P1024" s="6"/>
      <x:c r="Q1024" s="6"/>
      <x:c r="R1024"/>
      <x:c r="S1024"/>
      <x:c r="T1024"/>
    </x:row>
    <x:row r="1025" spans="1:20" ht="15.75" x14ac:dyDescent="0.25">
      <x:c r="A1025"/>
      <x:c r="B1025"/>
      <x:c r="C1025"/>
      <x:c r="D1025"/>
      <x:c r="E1025" s="31"/>
      <x:c r="F1025" s="8"/>
      <x:c r="G1025" s="8"/>
      <x:c r="H1025" s="6"/>
      <x:c r="I1025" s="27"/>
      <x:c r="J1025" s="6"/>
      <x:c r="K1025" s="6"/>
      <x:c r="L1025" s="6"/>
      <x:c r="M1025" s="6"/>
      <x:c r="N1025" s="6"/>
      <x:c r="O1025" s="6"/>
      <x:c r="P1025" s="6"/>
      <x:c r="Q1025" s="6"/>
      <x:c r="R1025"/>
      <x:c r="S1025"/>
      <x:c r="T1025"/>
    </x:row>
    <x:row r="1026" spans="1:20" ht="15.75" x14ac:dyDescent="0.25">
      <x:c r="A1026"/>
      <x:c r="B1026"/>
      <x:c r="C1026"/>
      <x:c r="D1026"/>
      <x:c r="E1026" s="31"/>
      <x:c r="F1026" s="8"/>
      <x:c r="G1026" s="8"/>
      <x:c r="H1026" s="6"/>
      <x:c r="I1026" s="27"/>
      <x:c r="J1026" s="6"/>
      <x:c r="K1026" s="6"/>
      <x:c r="L1026" s="6"/>
      <x:c r="M1026" s="6"/>
      <x:c r="N1026" s="6"/>
      <x:c r="O1026" s="6"/>
      <x:c r="P1026" s="6"/>
      <x:c r="Q1026" s="6"/>
      <x:c r="R1026"/>
      <x:c r="S1026"/>
      <x:c r="T1026"/>
    </x:row>
    <x:row r="1027" spans="1:20" ht="15.75" x14ac:dyDescent="0.25">
      <x:c r="A1027"/>
      <x:c r="B1027"/>
      <x:c r="C1027"/>
      <x:c r="D1027"/>
      <x:c r="E1027" s="31"/>
      <x:c r="F1027" s="8"/>
      <x:c r="G1027" s="8"/>
      <x:c r="H1027" s="6"/>
      <x:c r="I1027" s="27"/>
      <x:c r="J1027" s="6"/>
      <x:c r="K1027" s="6"/>
      <x:c r="L1027" s="6"/>
      <x:c r="M1027" s="6"/>
      <x:c r="N1027" s="6"/>
      <x:c r="O1027" s="6"/>
      <x:c r="P1027" s="6"/>
      <x:c r="Q1027" s="6"/>
      <x:c r="R1027"/>
      <x:c r="S1027"/>
      <x:c r="T1027"/>
    </x:row>
    <x:row r="1028" spans="1:20" ht="15.75" x14ac:dyDescent="0.25">
      <x:c r="A1028"/>
      <x:c r="B1028"/>
      <x:c r="C1028"/>
      <x:c r="D1028"/>
      <x:c r="E1028" s="31"/>
      <x:c r="F1028" s="8"/>
      <x:c r="G1028" s="8"/>
      <x:c r="H1028" s="6"/>
      <x:c r="I1028" s="27"/>
      <x:c r="J1028" s="6"/>
      <x:c r="K1028" s="6"/>
      <x:c r="L1028" s="6"/>
      <x:c r="M1028" s="6"/>
      <x:c r="N1028" s="6"/>
      <x:c r="O1028" s="6"/>
      <x:c r="P1028" s="6"/>
      <x:c r="Q1028" s="6"/>
      <x:c r="R1028"/>
      <x:c r="S1028"/>
      <x:c r="T1028"/>
    </x:row>
    <x:row r="1029" spans="1:20" ht="15.75" x14ac:dyDescent="0.25">
      <x:c r="A1029"/>
      <x:c r="B1029"/>
      <x:c r="C1029"/>
      <x:c r="D1029"/>
      <x:c r="E1029" s="31"/>
      <x:c r="F1029" s="8"/>
      <x:c r="G1029" s="8"/>
      <x:c r="H1029" s="6"/>
      <x:c r="I1029" s="27"/>
      <x:c r="J1029" s="6"/>
      <x:c r="K1029" s="6"/>
      <x:c r="L1029" s="6"/>
      <x:c r="M1029" s="6"/>
      <x:c r="N1029" s="6"/>
      <x:c r="O1029" s="6"/>
      <x:c r="P1029" s="6"/>
      <x:c r="Q1029" s="6"/>
      <x:c r="R1029"/>
      <x:c r="S1029"/>
      <x:c r="T1029"/>
    </x:row>
    <x:row r="1030" spans="1:20" ht="15.75" x14ac:dyDescent="0.25">
      <x:c r="A1030"/>
      <x:c r="B1030"/>
      <x:c r="C1030"/>
      <x:c r="D1030"/>
      <x:c r="E1030" s="31"/>
      <x:c r="F1030" s="8"/>
      <x:c r="G1030" s="8"/>
      <x:c r="H1030" s="6"/>
      <x:c r="I1030" s="27"/>
      <x:c r="J1030" s="6"/>
      <x:c r="K1030" s="6"/>
      <x:c r="L1030" s="6"/>
      <x:c r="M1030" s="6"/>
      <x:c r="N1030" s="6"/>
      <x:c r="O1030" s="6"/>
      <x:c r="P1030" s="6"/>
      <x:c r="Q1030" s="6"/>
      <x:c r="R1030"/>
      <x:c r="S1030"/>
      <x:c r="T1030"/>
    </x:row>
    <x:row r="1031" spans="1:20" ht="15.75" x14ac:dyDescent="0.25">
      <x:c r="A1031"/>
      <x:c r="B1031"/>
      <x:c r="C1031"/>
      <x:c r="D1031"/>
      <x:c r="E1031" s="31"/>
      <x:c r="F1031" s="8"/>
      <x:c r="G1031" s="8"/>
      <x:c r="H1031" s="6"/>
      <x:c r="I1031" s="27"/>
      <x:c r="J1031" s="6"/>
      <x:c r="K1031" s="6"/>
      <x:c r="L1031" s="6"/>
      <x:c r="M1031" s="6"/>
      <x:c r="N1031" s="6"/>
      <x:c r="O1031" s="6"/>
      <x:c r="P1031" s="6"/>
      <x:c r="Q1031" s="6"/>
      <x:c r="R1031"/>
      <x:c r="S1031"/>
      <x:c r="T1031"/>
    </x:row>
    <x:row r="1032" spans="1:20" ht="15.75" x14ac:dyDescent="0.25">
      <x:c r="A1032"/>
      <x:c r="B1032"/>
      <x:c r="C1032"/>
      <x:c r="D1032"/>
      <x:c r="E1032" s="31"/>
      <x:c r="F1032" s="8"/>
      <x:c r="G1032" s="8"/>
      <x:c r="H1032" s="6"/>
      <x:c r="I1032" s="27"/>
      <x:c r="J1032" s="6"/>
      <x:c r="K1032" s="6"/>
      <x:c r="L1032" s="6"/>
      <x:c r="M1032" s="6"/>
      <x:c r="N1032" s="6"/>
      <x:c r="O1032" s="6"/>
      <x:c r="P1032" s="6"/>
      <x:c r="Q1032" s="6"/>
      <x:c r="R1032"/>
      <x:c r="S1032"/>
      <x:c r="T1032"/>
    </x:row>
    <x:row r="1033" spans="1:20" ht="15.75" x14ac:dyDescent="0.25">
      <x:c r="A1033"/>
      <x:c r="B1033"/>
      <x:c r="C1033"/>
      <x:c r="D1033"/>
      <x:c r="E1033" s="31"/>
      <x:c r="F1033" s="8"/>
      <x:c r="G1033" s="8"/>
      <x:c r="H1033" s="6"/>
      <x:c r="I1033" s="27"/>
      <x:c r="J1033" s="6"/>
      <x:c r="K1033" s="6"/>
      <x:c r="L1033" s="6"/>
      <x:c r="M1033" s="6"/>
      <x:c r="N1033" s="6"/>
      <x:c r="O1033" s="6"/>
      <x:c r="P1033" s="6"/>
      <x:c r="Q1033" s="6"/>
      <x:c r="R1033"/>
      <x:c r="S1033"/>
      <x:c r="T1033"/>
    </x:row>
    <x:row r="1034" spans="1:20" ht="15.75" x14ac:dyDescent="0.25">
      <x:c r="A1034"/>
      <x:c r="B1034"/>
      <x:c r="C1034"/>
      <x:c r="D1034"/>
      <x:c r="E1034" s="31"/>
      <x:c r="F1034" s="8"/>
      <x:c r="G1034" s="8"/>
      <x:c r="H1034" s="6"/>
      <x:c r="I1034" s="27"/>
      <x:c r="J1034" s="6"/>
      <x:c r="K1034" s="6"/>
      <x:c r="L1034" s="6"/>
      <x:c r="M1034" s="6"/>
      <x:c r="N1034" s="6"/>
      <x:c r="O1034" s="6"/>
      <x:c r="P1034" s="6"/>
      <x:c r="Q1034" s="6"/>
      <x:c r="R1034"/>
      <x:c r="S1034"/>
      <x:c r="T1034"/>
    </x:row>
    <x:row r="1035" spans="1:20" ht="15.75" x14ac:dyDescent="0.25">
      <x:c r="A1035"/>
      <x:c r="B1035"/>
      <x:c r="C1035"/>
      <x:c r="D1035"/>
      <x:c r="E1035" s="31"/>
      <x:c r="F1035" s="8"/>
      <x:c r="G1035" s="8"/>
      <x:c r="H1035" s="6"/>
      <x:c r="I1035" s="27"/>
      <x:c r="J1035" s="6"/>
      <x:c r="K1035" s="6"/>
      <x:c r="L1035" s="6"/>
      <x:c r="M1035" s="6"/>
      <x:c r="N1035" s="6"/>
      <x:c r="O1035" s="6"/>
      <x:c r="P1035" s="6"/>
      <x:c r="Q1035" s="6"/>
      <x:c r="R1035"/>
      <x:c r="S1035"/>
      <x:c r="T1035"/>
    </x:row>
    <x:row r="1036" spans="1:20" ht="15.75" x14ac:dyDescent="0.25">
      <x:c r="A1036"/>
      <x:c r="B1036"/>
      <x:c r="C1036"/>
      <x:c r="D1036"/>
      <x:c r="E1036" s="31"/>
      <x:c r="F1036" s="8"/>
      <x:c r="G1036" s="8"/>
      <x:c r="H1036" s="6"/>
      <x:c r="I1036" s="27"/>
      <x:c r="J1036" s="6"/>
      <x:c r="K1036" s="6"/>
      <x:c r="L1036" s="6"/>
      <x:c r="M1036" s="6"/>
      <x:c r="N1036" s="6"/>
      <x:c r="O1036" s="6"/>
      <x:c r="P1036" s="6"/>
      <x:c r="Q1036" s="6"/>
      <x:c r="R1036"/>
      <x:c r="S1036"/>
      <x:c r="T1036"/>
    </x:row>
    <x:row r="1037" spans="1:20" ht="15.75" x14ac:dyDescent="0.25">
      <x:c r="A1037"/>
      <x:c r="B1037"/>
      <x:c r="C1037"/>
      <x:c r="D1037"/>
      <x:c r="E1037" s="31"/>
      <x:c r="F1037" s="8"/>
      <x:c r="G1037" s="8"/>
      <x:c r="H1037" s="6"/>
      <x:c r="I1037" s="27"/>
      <x:c r="J1037" s="6"/>
      <x:c r="K1037" s="6"/>
      <x:c r="L1037" s="6"/>
      <x:c r="M1037" s="6"/>
      <x:c r="N1037" s="6"/>
      <x:c r="O1037" s="6"/>
      <x:c r="P1037" s="6"/>
      <x:c r="Q1037" s="6"/>
      <x:c r="R1037"/>
      <x:c r="S1037"/>
      <x:c r="T1037"/>
    </x:row>
    <x:row r="1038" spans="1:20" ht="15.75" x14ac:dyDescent="0.25">
      <x:c r="A1038"/>
      <x:c r="B1038"/>
      <x:c r="C1038"/>
      <x:c r="D1038"/>
      <x:c r="E1038" s="31"/>
      <x:c r="F1038" s="8"/>
      <x:c r="G1038" s="8"/>
      <x:c r="H1038" s="6"/>
      <x:c r="I1038" s="27"/>
      <x:c r="J1038" s="6"/>
      <x:c r="K1038" s="6"/>
      <x:c r="L1038" s="6"/>
      <x:c r="M1038" s="6"/>
      <x:c r="N1038" s="6"/>
      <x:c r="O1038" s="6"/>
      <x:c r="P1038" s="6"/>
      <x:c r="Q1038" s="6"/>
      <x:c r="R1038"/>
      <x:c r="S1038"/>
      <x:c r="T1038"/>
    </x:row>
    <x:row r="1039" spans="1:20" ht="15.75" x14ac:dyDescent="0.25">
      <x:c r="A1039"/>
      <x:c r="B1039"/>
      <x:c r="C1039"/>
      <x:c r="D1039"/>
      <x:c r="E1039" s="31"/>
      <x:c r="F1039" s="8"/>
      <x:c r="G1039" s="8"/>
      <x:c r="H1039" s="6"/>
      <x:c r="I1039" s="27"/>
      <x:c r="J1039" s="6"/>
      <x:c r="K1039" s="6"/>
      <x:c r="L1039" s="6"/>
      <x:c r="M1039" s="6"/>
      <x:c r="N1039" s="6"/>
      <x:c r="O1039" s="6"/>
      <x:c r="P1039" s="6"/>
      <x:c r="Q1039" s="6"/>
      <x:c r="R1039"/>
      <x:c r="S1039"/>
      <x:c r="T1039"/>
    </x:row>
    <x:row r="1040" spans="1:20" ht="15.75" x14ac:dyDescent="0.25">
      <x:c r="A1040"/>
      <x:c r="B1040"/>
      <x:c r="C1040"/>
      <x:c r="D1040"/>
      <x:c r="E1040" s="31"/>
      <x:c r="F1040" s="8"/>
      <x:c r="G1040" s="8"/>
      <x:c r="H1040" s="6"/>
      <x:c r="I1040" s="27"/>
      <x:c r="J1040" s="6"/>
      <x:c r="K1040" s="6"/>
      <x:c r="L1040" s="6"/>
      <x:c r="M1040" s="6"/>
      <x:c r="N1040" s="6"/>
      <x:c r="O1040" s="6"/>
      <x:c r="P1040" s="6"/>
      <x:c r="Q1040" s="6"/>
      <x:c r="R1040"/>
      <x:c r="S1040"/>
      <x:c r="T1040"/>
    </x:row>
    <x:row r="1041" spans="1:20" ht="15.75" x14ac:dyDescent="0.25">
      <x:c r="A1041"/>
      <x:c r="B1041"/>
      <x:c r="C1041"/>
      <x:c r="D1041"/>
      <x:c r="E1041" s="31"/>
      <x:c r="F1041" s="8"/>
      <x:c r="G1041" s="8"/>
      <x:c r="H1041" s="6"/>
      <x:c r="I1041" s="27"/>
      <x:c r="J1041" s="6"/>
      <x:c r="K1041" s="6"/>
      <x:c r="L1041" s="6"/>
      <x:c r="M1041" s="6"/>
      <x:c r="N1041" s="6"/>
      <x:c r="O1041" s="6"/>
      <x:c r="P1041" s="6"/>
      <x:c r="Q1041" s="6"/>
      <x:c r="R1041"/>
      <x:c r="S1041"/>
      <x:c r="T1041"/>
    </x:row>
    <x:row r="1042" spans="1:20" ht="15.75" x14ac:dyDescent="0.25">
      <x:c r="A1042"/>
      <x:c r="B1042"/>
      <x:c r="C1042"/>
      <x:c r="D1042"/>
      <x:c r="E1042" s="31"/>
      <x:c r="F1042" s="8"/>
      <x:c r="G1042" s="8"/>
      <x:c r="H1042" s="6"/>
      <x:c r="I1042" s="27"/>
      <x:c r="J1042" s="6"/>
      <x:c r="K1042" s="6"/>
      <x:c r="L1042" s="6"/>
      <x:c r="M1042" s="6"/>
      <x:c r="N1042" s="6"/>
      <x:c r="O1042" s="6"/>
      <x:c r="P1042" s="6"/>
      <x:c r="Q1042" s="6"/>
      <x:c r="R1042"/>
      <x:c r="S1042"/>
      <x:c r="T1042"/>
    </x:row>
    <x:row r="1043" spans="1:20" ht="15.75" x14ac:dyDescent="0.25">
      <x:c r="A1043"/>
      <x:c r="B1043"/>
      <x:c r="C1043"/>
      <x:c r="D1043"/>
      <x:c r="E1043" s="31"/>
      <x:c r="F1043" s="8"/>
      <x:c r="G1043" s="8"/>
      <x:c r="H1043" s="6"/>
      <x:c r="I1043" s="27"/>
      <x:c r="J1043" s="6"/>
      <x:c r="K1043" s="6"/>
      <x:c r="L1043" s="6"/>
      <x:c r="M1043" s="6"/>
      <x:c r="N1043" s="6"/>
      <x:c r="O1043" s="6"/>
      <x:c r="P1043" s="6"/>
      <x:c r="Q1043" s="6"/>
      <x:c r="R1043"/>
      <x:c r="S1043"/>
      <x:c r="T1043"/>
    </x:row>
    <x:row r="1044" spans="1:20" ht="15.75" x14ac:dyDescent="0.25">
      <x:c r="A1044"/>
      <x:c r="B1044"/>
      <x:c r="C1044"/>
      <x:c r="D1044"/>
      <x:c r="E1044" s="31"/>
      <x:c r="F1044" s="8"/>
      <x:c r="G1044" s="8"/>
      <x:c r="H1044" s="6"/>
      <x:c r="I1044" s="27"/>
      <x:c r="J1044" s="6"/>
      <x:c r="K1044" s="6"/>
      <x:c r="L1044" s="6"/>
      <x:c r="M1044" s="6"/>
      <x:c r="N1044" s="6"/>
      <x:c r="O1044" s="6"/>
      <x:c r="P1044" s="6"/>
      <x:c r="Q1044" s="6"/>
      <x:c r="R1044"/>
      <x:c r="S1044"/>
      <x:c r="T1044"/>
    </x:row>
    <x:row r="1045" spans="1:20" ht="15.75" x14ac:dyDescent="0.25">
      <x:c r="A1045"/>
      <x:c r="B1045"/>
      <x:c r="C1045"/>
      <x:c r="D1045"/>
      <x:c r="E1045" s="31"/>
      <x:c r="F1045" s="8"/>
      <x:c r="G1045" s="8"/>
      <x:c r="H1045" s="6"/>
      <x:c r="I1045" s="27"/>
      <x:c r="J1045" s="6"/>
      <x:c r="K1045" s="6"/>
      <x:c r="L1045" s="6"/>
      <x:c r="M1045" s="6"/>
      <x:c r="N1045" s="6"/>
      <x:c r="O1045" s="6"/>
      <x:c r="P1045" s="6"/>
      <x:c r="Q1045" s="6"/>
      <x:c r="R1045"/>
      <x:c r="S1045"/>
      <x:c r="T1045"/>
    </x:row>
    <x:row r="1046" spans="1:20" ht="15.75" x14ac:dyDescent="0.25">
      <x:c r="A1046"/>
      <x:c r="B1046"/>
      <x:c r="C1046"/>
      <x:c r="D1046"/>
      <x:c r="E1046" s="31"/>
      <x:c r="F1046" s="8"/>
      <x:c r="G1046" s="8"/>
      <x:c r="H1046" s="6"/>
      <x:c r="I1046" s="27"/>
      <x:c r="J1046" s="6"/>
      <x:c r="K1046" s="6"/>
      <x:c r="L1046" s="6"/>
      <x:c r="M1046" s="6"/>
      <x:c r="N1046" s="6"/>
      <x:c r="O1046" s="6"/>
      <x:c r="P1046" s="6"/>
      <x:c r="Q1046" s="6"/>
      <x:c r="R1046"/>
      <x:c r="S1046"/>
      <x:c r="T1046"/>
    </x:row>
    <x:row r="1047" spans="1:20" ht="15.75" x14ac:dyDescent="0.25">
      <x:c r="A1047"/>
      <x:c r="B1047"/>
      <x:c r="C1047"/>
      <x:c r="D1047"/>
      <x:c r="E1047" s="31"/>
      <x:c r="F1047" s="8"/>
      <x:c r="G1047" s="8"/>
      <x:c r="H1047" s="6"/>
      <x:c r="I1047" s="27"/>
      <x:c r="J1047" s="6"/>
      <x:c r="K1047" s="6"/>
      <x:c r="L1047" s="6"/>
      <x:c r="M1047" s="6"/>
      <x:c r="N1047" s="6"/>
      <x:c r="O1047" s="6"/>
      <x:c r="P1047" s="6"/>
      <x:c r="Q1047" s="6"/>
      <x:c r="R1047"/>
      <x:c r="S1047"/>
      <x:c r="T1047"/>
    </x:row>
    <x:row r="1048" spans="1:20" ht="15.75" x14ac:dyDescent="0.25">
      <x:c r="A1048"/>
      <x:c r="B1048"/>
      <x:c r="C1048"/>
      <x:c r="D1048"/>
      <x:c r="E1048" s="31"/>
      <x:c r="F1048" s="8"/>
      <x:c r="G1048" s="8"/>
      <x:c r="H1048" s="6"/>
      <x:c r="I1048" s="27"/>
      <x:c r="J1048" s="6"/>
      <x:c r="K1048" s="6"/>
      <x:c r="L1048" s="6"/>
      <x:c r="M1048" s="6"/>
      <x:c r="N1048" s="6"/>
      <x:c r="O1048" s="6"/>
      <x:c r="P1048" s="6"/>
      <x:c r="Q1048" s="6"/>
      <x:c r="R1048"/>
      <x:c r="S1048"/>
      <x:c r="T1048"/>
    </x:row>
    <x:row r="1049" spans="1:20" ht="15.75" x14ac:dyDescent="0.25">
      <x:c r="A1049"/>
      <x:c r="B1049"/>
      <x:c r="C1049"/>
      <x:c r="D1049"/>
      <x:c r="E1049" s="31"/>
      <x:c r="F1049" s="8"/>
      <x:c r="G1049" s="8"/>
      <x:c r="H1049" s="6"/>
      <x:c r="I1049" s="27"/>
      <x:c r="J1049" s="6"/>
      <x:c r="K1049" s="6"/>
      <x:c r="L1049" s="6"/>
      <x:c r="M1049" s="6"/>
      <x:c r="N1049" s="6"/>
      <x:c r="O1049" s="6"/>
      <x:c r="P1049" s="6"/>
      <x:c r="Q1049" s="6"/>
      <x:c r="R1049"/>
      <x:c r="S1049"/>
      <x:c r="T1049"/>
    </x:row>
    <x:row r="1050" spans="1:20" ht="15.75" x14ac:dyDescent="0.25">
      <x:c r="A1050"/>
      <x:c r="B1050"/>
      <x:c r="C1050"/>
      <x:c r="D1050"/>
      <x:c r="E1050" s="31"/>
      <x:c r="F1050" s="8"/>
      <x:c r="G1050" s="8"/>
      <x:c r="H1050" s="6"/>
      <x:c r="I1050" s="27"/>
      <x:c r="J1050" s="6"/>
      <x:c r="K1050" s="6"/>
      <x:c r="L1050" s="6"/>
      <x:c r="M1050" s="6"/>
      <x:c r="N1050" s="6"/>
      <x:c r="O1050" s="6"/>
      <x:c r="P1050" s="6"/>
      <x:c r="Q1050" s="6"/>
      <x:c r="R1050"/>
      <x:c r="S1050"/>
      <x:c r="T1050"/>
    </x:row>
    <x:row r="1051" spans="1:20" ht="15.75" x14ac:dyDescent="0.25">
      <x:c r="A1051"/>
      <x:c r="B1051"/>
      <x:c r="C1051"/>
      <x:c r="D1051"/>
      <x:c r="E1051" s="31"/>
      <x:c r="F1051" s="8"/>
      <x:c r="G1051" s="8"/>
      <x:c r="H1051" s="6"/>
      <x:c r="I1051" s="27"/>
      <x:c r="J1051" s="6"/>
      <x:c r="K1051" s="6"/>
      <x:c r="L1051" s="6"/>
      <x:c r="M1051" s="6"/>
      <x:c r="N1051" s="6"/>
      <x:c r="O1051" s="6"/>
      <x:c r="P1051" s="6"/>
      <x:c r="Q1051" s="6"/>
      <x:c r="R1051"/>
      <x:c r="S1051"/>
      <x:c r="T1051"/>
    </x:row>
    <x:row r="1052" spans="1:20" ht="15.75" x14ac:dyDescent="0.25">
      <x:c r="A1052"/>
      <x:c r="B1052"/>
      <x:c r="C1052"/>
      <x:c r="D1052"/>
      <x:c r="E1052" s="31"/>
      <x:c r="F1052" s="8"/>
      <x:c r="G1052" s="8"/>
      <x:c r="H1052" s="6"/>
      <x:c r="I1052" s="27"/>
      <x:c r="J1052" s="6"/>
      <x:c r="K1052" s="6"/>
      <x:c r="L1052" s="6"/>
      <x:c r="M1052" s="6"/>
      <x:c r="N1052" s="6"/>
      <x:c r="O1052" s="6"/>
      <x:c r="P1052" s="6"/>
      <x:c r="Q1052" s="6"/>
      <x:c r="R1052"/>
      <x:c r="S1052"/>
      <x:c r="T1052"/>
    </x:row>
    <x:row r="1053" spans="1:20" ht="15.75" x14ac:dyDescent="0.25">
      <x:c r="A1053"/>
      <x:c r="B1053"/>
      <x:c r="C1053"/>
      <x:c r="D1053"/>
      <x:c r="E1053" s="31"/>
      <x:c r="F1053" s="8"/>
      <x:c r="G1053" s="8"/>
      <x:c r="H1053" s="6"/>
      <x:c r="I1053" s="27"/>
      <x:c r="J1053" s="6"/>
      <x:c r="K1053" s="6"/>
      <x:c r="L1053" s="6"/>
      <x:c r="M1053" s="6"/>
      <x:c r="N1053" s="6"/>
      <x:c r="O1053" s="6"/>
      <x:c r="P1053" s="6"/>
      <x:c r="Q1053" s="6"/>
      <x:c r="R1053"/>
      <x:c r="S1053"/>
      <x:c r="T1053"/>
    </x:row>
    <x:row r="1054" spans="1:20" ht="15.75" x14ac:dyDescent="0.25">
      <x:c r="A1054"/>
      <x:c r="B1054"/>
      <x:c r="C1054"/>
      <x:c r="D1054"/>
      <x:c r="E1054" s="31"/>
      <x:c r="F1054" s="8"/>
      <x:c r="G1054" s="8"/>
      <x:c r="H1054" s="6"/>
      <x:c r="I1054" s="27"/>
      <x:c r="J1054" s="6"/>
      <x:c r="K1054" s="6"/>
      <x:c r="L1054" s="6"/>
      <x:c r="M1054" s="6"/>
      <x:c r="N1054" s="6"/>
      <x:c r="O1054" s="6"/>
      <x:c r="P1054" s="6"/>
      <x:c r="Q1054" s="6"/>
      <x:c r="R1054"/>
      <x:c r="S1054"/>
      <x:c r="T1054"/>
    </x:row>
    <x:row r="1055" spans="1:20" ht="15.75" x14ac:dyDescent="0.25">
      <x:c r="A1055"/>
      <x:c r="B1055"/>
      <x:c r="C1055"/>
      <x:c r="D1055"/>
      <x:c r="E1055" s="31"/>
      <x:c r="F1055" s="8"/>
      <x:c r="G1055" s="8"/>
      <x:c r="H1055" s="6"/>
      <x:c r="I1055" s="27"/>
      <x:c r="J1055" s="6"/>
      <x:c r="K1055" s="6"/>
      <x:c r="L1055" s="6"/>
      <x:c r="M1055" s="6"/>
      <x:c r="N1055" s="6"/>
      <x:c r="O1055" s="6"/>
      <x:c r="P1055" s="6"/>
      <x:c r="Q1055" s="6"/>
      <x:c r="R1055"/>
      <x:c r="S1055"/>
      <x:c r="T1055"/>
    </x:row>
    <x:row r="1056" spans="1:20" ht="15.75" x14ac:dyDescent="0.25">
      <x:c r="A1056"/>
      <x:c r="B1056"/>
      <x:c r="C1056"/>
      <x:c r="D1056"/>
      <x:c r="E1056" s="31"/>
      <x:c r="F1056" s="8"/>
      <x:c r="G1056" s="8"/>
      <x:c r="H1056" s="6"/>
      <x:c r="I1056" s="27"/>
      <x:c r="J1056" s="6"/>
      <x:c r="K1056" s="6"/>
      <x:c r="L1056" s="6"/>
      <x:c r="M1056" s="6"/>
      <x:c r="N1056" s="6"/>
      <x:c r="O1056" s="6"/>
      <x:c r="P1056" s="6"/>
      <x:c r="Q1056" s="6"/>
      <x:c r="R1056"/>
      <x:c r="S1056"/>
      <x:c r="T1056"/>
    </x:row>
    <x:row r="1057" spans="1:20" ht="15.75" x14ac:dyDescent="0.25">
      <x:c r="A1057"/>
      <x:c r="B1057"/>
      <x:c r="C1057"/>
      <x:c r="D1057"/>
      <x:c r="E1057" s="31"/>
      <x:c r="F1057" s="8"/>
      <x:c r="G1057" s="8"/>
      <x:c r="H1057" s="6"/>
      <x:c r="I1057" s="27"/>
      <x:c r="J1057" s="6"/>
      <x:c r="K1057" s="6"/>
      <x:c r="L1057" s="6"/>
      <x:c r="M1057" s="6"/>
      <x:c r="N1057" s="6"/>
      <x:c r="O1057" s="6"/>
      <x:c r="P1057" s="6"/>
      <x:c r="Q1057" s="6"/>
      <x:c r="R1057"/>
      <x:c r="S1057"/>
      <x:c r="T1057"/>
    </x:row>
    <x:row r="1058" spans="1:20" ht="15.75" x14ac:dyDescent="0.25">
      <x:c r="A1058"/>
      <x:c r="B1058"/>
      <x:c r="C1058"/>
      <x:c r="D1058"/>
      <x:c r="E1058" s="31"/>
      <x:c r="F1058" s="8"/>
      <x:c r="G1058" s="8"/>
      <x:c r="H1058" s="6"/>
      <x:c r="I1058" s="27"/>
      <x:c r="J1058" s="6"/>
      <x:c r="K1058" s="6"/>
      <x:c r="L1058" s="6"/>
      <x:c r="M1058" s="6"/>
      <x:c r="N1058" s="6"/>
      <x:c r="O1058" s="6"/>
      <x:c r="P1058" s="6"/>
      <x:c r="Q1058" s="6"/>
      <x:c r="R1058"/>
      <x:c r="S1058"/>
      <x:c r="T1058"/>
    </x:row>
    <x:row r="1059" spans="1:20" ht="15.75" x14ac:dyDescent="0.25">
      <x:c r="A1059"/>
      <x:c r="B1059"/>
      <x:c r="C1059"/>
      <x:c r="D1059"/>
      <x:c r="E1059" s="31"/>
      <x:c r="F1059" s="8"/>
      <x:c r="G1059" s="8"/>
      <x:c r="H1059" s="6"/>
      <x:c r="I1059" s="27"/>
      <x:c r="J1059" s="6"/>
      <x:c r="K1059" s="6"/>
      <x:c r="L1059" s="6"/>
      <x:c r="M1059" s="6"/>
      <x:c r="N1059" s="6"/>
      <x:c r="O1059" s="6"/>
      <x:c r="P1059" s="6"/>
      <x:c r="Q1059" s="6"/>
      <x:c r="R1059"/>
      <x:c r="S1059"/>
      <x:c r="T1059"/>
    </x:row>
    <x:row r="1060" spans="1:20" ht="15.75" x14ac:dyDescent="0.25">
      <x:c r="A1060"/>
      <x:c r="B1060"/>
      <x:c r="C1060"/>
      <x:c r="D1060"/>
      <x:c r="E1060" s="31"/>
      <x:c r="F1060" s="8"/>
      <x:c r="G1060" s="8"/>
      <x:c r="H1060" s="6"/>
      <x:c r="I1060" s="27"/>
      <x:c r="J1060" s="6"/>
      <x:c r="K1060" s="6"/>
      <x:c r="L1060" s="6"/>
      <x:c r="M1060" s="6"/>
      <x:c r="N1060" s="6"/>
      <x:c r="O1060" s="6"/>
      <x:c r="P1060" s="6"/>
      <x:c r="Q1060" s="6"/>
      <x:c r="R1060"/>
      <x:c r="S1060"/>
      <x:c r="T1060"/>
    </x:row>
    <x:row r="1061" spans="1:20" ht="15.75" x14ac:dyDescent="0.25">
      <x:c r="A1061"/>
      <x:c r="B1061"/>
      <x:c r="C1061"/>
      <x:c r="D1061"/>
      <x:c r="E1061" s="31"/>
      <x:c r="F1061" s="8"/>
      <x:c r="G1061" s="8"/>
      <x:c r="H1061" s="6"/>
      <x:c r="I1061" s="27"/>
      <x:c r="J1061" s="6"/>
      <x:c r="K1061" s="6"/>
      <x:c r="L1061" s="6"/>
      <x:c r="M1061" s="6"/>
      <x:c r="N1061" s="6"/>
      <x:c r="O1061" s="6"/>
      <x:c r="P1061" s="6"/>
      <x:c r="Q1061" s="6"/>
      <x:c r="R1061"/>
      <x:c r="S1061"/>
      <x:c r="T1061"/>
    </x:row>
    <x:row r="1062" spans="1:20" ht="15.75" x14ac:dyDescent="0.25">
      <x:c r="A1062"/>
      <x:c r="B1062"/>
      <x:c r="C1062"/>
      <x:c r="D1062"/>
      <x:c r="E1062" s="31"/>
      <x:c r="F1062" s="8"/>
      <x:c r="G1062" s="8"/>
      <x:c r="H1062" s="6"/>
      <x:c r="I1062" s="27"/>
      <x:c r="J1062" s="6"/>
      <x:c r="K1062" s="6"/>
      <x:c r="L1062" s="6"/>
      <x:c r="M1062" s="6"/>
      <x:c r="N1062" s="6"/>
      <x:c r="O1062" s="6"/>
      <x:c r="P1062" s="6"/>
      <x:c r="Q1062" s="6"/>
      <x:c r="R1062"/>
      <x:c r="S1062"/>
      <x:c r="T1062"/>
    </x:row>
    <x:row r="1063" spans="1:20" ht="15.75" x14ac:dyDescent="0.25">
      <x:c r="A1063"/>
      <x:c r="B1063"/>
      <x:c r="C1063"/>
      <x:c r="D1063"/>
      <x:c r="E1063" s="31"/>
      <x:c r="F1063" s="8"/>
      <x:c r="G1063" s="8"/>
      <x:c r="H1063" s="6"/>
      <x:c r="I1063" s="27"/>
      <x:c r="J1063" s="6"/>
      <x:c r="K1063" s="6"/>
      <x:c r="L1063" s="6"/>
      <x:c r="M1063" s="6"/>
      <x:c r="N1063" s="6"/>
      <x:c r="O1063" s="6"/>
      <x:c r="P1063" s="6"/>
      <x:c r="Q1063" s="6"/>
      <x:c r="R1063"/>
      <x:c r="S1063"/>
      <x:c r="T1063"/>
    </x:row>
    <x:row r="1064" spans="1:20" ht="15.75" x14ac:dyDescent="0.25">
      <x:c r="A1064"/>
      <x:c r="B1064"/>
      <x:c r="C1064"/>
      <x:c r="D1064"/>
      <x:c r="E1064" s="31"/>
      <x:c r="F1064" s="8"/>
      <x:c r="G1064" s="8"/>
      <x:c r="H1064" s="6"/>
      <x:c r="I1064" s="27"/>
      <x:c r="J1064" s="6"/>
      <x:c r="K1064" s="6"/>
      <x:c r="L1064" s="6"/>
      <x:c r="M1064" s="6"/>
      <x:c r="N1064" s="6"/>
      <x:c r="O1064" s="6"/>
      <x:c r="P1064" s="6"/>
      <x:c r="Q1064" s="6"/>
      <x:c r="R1064"/>
      <x:c r="S1064"/>
      <x:c r="T1064"/>
    </x:row>
    <x:row r="1065" spans="1:20" ht="15.75" x14ac:dyDescent="0.25">
      <x:c r="A1065"/>
      <x:c r="B1065"/>
      <x:c r="C1065"/>
      <x:c r="D1065"/>
      <x:c r="E1065" s="31"/>
      <x:c r="F1065" s="8"/>
      <x:c r="G1065" s="8"/>
      <x:c r="H1065" s="6"/>
      <x:c r="I1065" s="27"/>
      <x:c r="J1065" s="6"/>
      <x:c r="K1065" s="6"/>
      <x:c r="L1065" s="6"/>
      <x:c r="M1065" s="6"/>
      <x:c r="N1065" s="6"/>
      <x:c r="O1065" s="6"/>
      <x:c r="P1065" s="6"/>
      <x:c r="Q1065" s="6"/>
      <x:c r="R1065"/>
      <x:c r="S1065"/>
      <x:c r="T1065"/>
    </x:row>
    <x:row r="1066" spans="1:20" ht="15.75" x14ac:dyDescent="0.25">
      <x:c r="A1066"/>
      <x:c r="B1066"/>
      <x:c r="C1066"/>
      <x:c r="D1066"/>
      <x:c r="E1066" s="31"/>
      <x:c r="F1066" s="8"/>
      <x:c r="G1066" s="8"/>
      <x:c r="H1066" s="6"/>
      <x:c r="I1066" s="27"/>
      <x:c r="J1066" s="6"/>
      <x:c r="K1066" s="6"/>
      <x:c r="L1066" s="6"/>
      <x:c r="M1066" s="6"/>
      <x:c r="N1066" s="6"/>
      <x:c r="O1066" s="6"/>
      <x:c r="P1066" s="6"/>
      <x:c r="Q1066" s="6"/>
      <x:c r="R1066"/>
      <x:c r="S1066"/>
      <x:c r="T1066"/>
    </x:row>
    <x:row r="1067" spans="1:20" ht="15.75" x14ac:dyDescent="0.25">
      <x:c r="A1067"/>
      <x:c r="B1067"/>
      <x:c r="C1067"/>
      <x:c r="D1067"/>
      <x:c r="E1067" s="31"/>
      <x:c r="F1067" s="8"/>
      <x:c r="G1067" s="8"/>
      <x:c r="H1067" s="6"/>
      <x:c r="I1067" s="27"/>
      <x:c r="J1067" s="6"/>
      <x:c r="K1067" s="6"/>
      <x:c r="L1067" s="6"/>
      <x:c r="M1067" s="6"/>
      <x:c r="N1067" s="6"/>
      <x:c r="O1067" s="6"/>
      <x:c r="P1067" s="6"/>
      <x:c r="Q1067" s="6"/>
      <x:c r="R1067"/>
      <x:c r="S1067"/>
      <x:c r="T1067"/>
    </x:row>
    <x:row r="1068" spans="1:20" ht="15.75" x14ac:dyDescent="0.25">
      <x:c r="A1068"/>
      <x:c r="B1068"/>
      <x:c r="C1068"/>
      <x:c r="D1068"/>
      <x:c r="E1068" s="31"/>
      <x:c r="F1068" s="8"/>
      <x:c r="G1068" s="8"/>
      <x:c r="H1068" s="6"/>
      <x:c r="I1068" s="27"/>
      <x:c r="J1068" s="6"/>
      <x:c r="K1068" s="6"/>
      <x:c r="L1068" s="6"/>
      <x:c r="M1068" s="6"/>
      <x:c r="N1068" s="6"/>
      <x:c r="O1068" s="6"/>
      <x:c r="P1068" s="6"/>
      <x:c r="Q1068" s="6"/>
      <x:c r="R1068"/>
      <x:c r="S1068"/>
      <x:c r="T1068"/>
    </x:row>
    <x:row r="1069" spans="1:20" ht="15.75" x14ac:dyDescent="0.25">
      <x:c r="A1069"/>
      <x:c r="B1069"/>
      <x:c r="C1069"/>
      <x:c r="D1069"/>
      <x:c r="E1069" s="31"/>
      <x:c r="F1069" s="8"/>
      <x:c r="G1069" s="8"/>
      <x:c r="H1069" s="6"/>
      <x:c r="I1069" s="27"/>
      <x:c r="J1069" s="6"/>
      <x:c r="K1069" s="6"/>
      <x:c r="L1069" s="6"/>
      <x:c r="M1069" s="6"/>
      <x:c r="N1069" s="6"/>
      <x:c r="O1069" s="6"/>
      <x:c r="P1069" s="6"/>
      <x:c r="Q1069" s="6"/>
      <x:c r="R1069"/>
      <x:c r="S1069"/>
      <x:c r="T1069"/>
    </x:row>
    <x:row r="1070" spans="1:20" ht="15.75" x14ac:dyDescent="0.25">
      <x:c r="A1070"/>
      <x:c r="B1070"/>
      <x:c r="C1070"/>
      <x:c r="D1070"/>
      <x:c r="E1070" s="31"/>
      <x:c r="F1070" s="8"/>
      <x:c r="G1070" s="8"/>
      <x:c r="H1070" s="6"/>
      <x:c r="I1070" s="27"/>
      <x:c r="J1070" s="6"/>
      <x:c r="K1070" s="6"/>
      <x:c r="L1070" s="6"/>
      <x:c r="M1070" s="6"/>
      <x:c r="N1070" s="6"/>
      <x:c r="O1070" s="6"/>
      <x:c r="P1070" s="6"/>
      <x:c r="Q1070" s="6"/>
      <x:c r="R1070"/>
      <x:c r="S1070"/>
      <x:c r="T1070"/>
    </x:row>
    <x:row r="1071" spans="1:20" ht="15.75" x14ac:dyDescent="0.25">
      <x:c r="A1071"/>
      <x:c r="B1071"/>
      <x:c r="C1071"/>
      <x:c r="D1071"/>
      <x:c r="E1071" s="31"/>
      <x:c r="F1071" s="8"/>
      <x:c r="G1071" s="8"/>
      <x:c r="H1071" s="6"/>
      <x:c r="I1071" s="27"/>
      <x:c r="J1071" s="6"/>
      <x:c r="K1071" s="6"/>
      <x:c r="L1071" s="6"/>
      <x:c r="M1071" s="6"/>
      <x:c r="N1071" s="6"/>
      <x:c r="O1071" s="6"/>
      <x:c r="P1071" s="6"/>
      <x:c r="Q1071" s="6"/>
      <x:c r="R1071"/>
      <x:c r="S1071"/>
      <x:c r="T1071"/>
    </x:row>
    <x:row r="1072" spans="1:20" ht="15.75" x14ac:dyDescent="0.25">
      <x:c r="A1072"/>
      <x:c r="B1072"/>
      <x:c r="C1072"/>
      <x:c r="D1072"/>
      <x:c r="E1072" s="31"/>
      <x:c r="F1072" s="8"/>
      <x:c r="G1072" s="8"/>
      <x:c r="H1072" s="6"/>
      <x:c r="I1072" s="27"/>
      <x:c r="J1072" s="6"/>
      <x:c r="K1072" s="6"/>
      <x:c r="L1072" s="6"/>
      <x:c r="M1072" s="6"/>
      <x:c r="N1072" s="6"/>
      <x:c r="O1072" s="6"/>
      <x:c r="P1072" s="6"/>
      <x:c r="Q1072" s="6"/>
      <x:c r="R1072"/>
      <x:c r="S1072"/>
      <x:c r="T1072"/>
    </x:row>
    <x:row r="1073" spans="1:20" ht="15.75" x14ac:dyDescent="0.25">
      <x:c r="A1073"/>
      <x:c r="B1073"/>
      <x:c r="C1073"/>
      <x:c r="D1073"/>
      <x:c r="E1073" s="31"/>
      <x:c r="F1073" s="8"/>
      <x:c r="G1073" s="8"/>
      <x:c r="H1073" s="6"/>
      <x:c r="I1073" s="27"/>
      <x:c r="J1073" s="6"/>
      <x:c r="K1073" s="6"/>
      <x:c r="L1073" s="6"/>
      <x:c r="M1073" s="6"/>
      <x:c r="N1073" s="6"/>
      <x:c r="O1073" s="6"/>
      <x:c r="P1073" s="6"/>
      <x:c r="Q1073" s="6"/>
      <x:c r="R1073"/>
      <x:c r="S1073"/>
      <x:c r="T1073"/>
    </x:row>
    <x:row r="1074" spans="1:20" ht="15.75" x14ac:dyDescent="0.25">
      <x:c r="A1074"/>
      <x:c r="B1074"/>
      <x:c r="C1074"/>
      <x:c r="D1074"/>
      <x:c r="E1074" s="31"/>
      <x:c r="F1074" s="8"/>
      <x:c r="G1074" s="8"/>
      <x:c r="H1074" s="6"/>
      <x:c r="I1074" s="27"/>
      <x:c r="J1074" s="6"/>
      <x:c r="K1074" s="6"/>
      <x:c r="L1074" s="6"/>
      <x:c r="M1074" s="6"/>
      <x:c r="N1074" s="6"/>
      <x:c r="O1074" s="6"/>
      <x:c r="P1074" s="6"/>
      <x:c r="Q1074" s="6"/>
      <x:c r="R1074"/>
      <x:c r="S1074"/>
      <x:c r="T1074"/>
    </x:row>
    <x:row r="1075" spans="1:20" ht="15.75" x14ac:dyDescent="0.25">
      <x:c r="A1075"/>
      <x:c r="B1075"/>
      <x:c r="C1075"/>
      <x:c r="D1075"/>
      <x:c r="E1075" s="31"/>
      <x:c r="F1075" s="8"/>
      <x:c r="G1075" s="8"/>
      <x:c r="H1075" s="6"/>
      <x:c r="I1075" s="27"/>
      <x:c r="J1075" s="6"/>
      <x:c r="K1075" s="6"/>
      <x:c r="L1075" s="6"/>
      <x:c r="M1075" s="6"/>
      <x:c r="N1075" s="6"/>
      <x:c r="O1075" s="6"/>
      <x:c r="P1075" s="6"/>
      <x:c r="Q1075" s="6"/>
      <x:c r="R1075"/>
      <x:c r="S1075"/>
      <x:c r="T1075"/>
    </x:row>
    <x:row r="1076" spans="1:20" ht="15.75" x14ac:dyDescent="0.25">
      <x:c r="A1076"/>
      <x:c r="B1076"/>
      <x:c r="C1076"/>
      <x:c r="D1076"/>
      <x:c r="E1076" s="31"/>
      <x:c r="F1076" s="8"/>
      <x:c r="G1076" s="8"/>
      <x:c r="H1076" s="6"/>
      <x:c r="I1076" s="27"/>
      <x:c r="J1076" s="6"/>
      <x:c r="K1076" s="6"/>
      <x:c r="L1076" s="6"/>
      <x:c r="M1076" s="6"/>
      <x:c r="N1076" s="6"/>
      <x:c r="O1076" s="6"/>
      <x:c r="P1076" s="6"/>
      <x:c r="Q1076" s="6"/>
      <x:c r="R1076"/>
      <x:c r="S1076"/>
      <x:c r="T1076"/>
    </x:row>
    <x:row r="1077" spans="1:20" ht="15.75" x14ac:dyDescent="0.25">
      <x:c r="A1077"/>
      <x:c r="B1077"/>
      <x:c r="C1077"/>
      <x:c r="D1077"/>
      <x:c r="E1077" s="31"/>
      <x:c r="F1077" s="8"/>
      <x:c r="G1077" s="8"/>
      <x:c r="H1077" s="6"/>
      <x:c r="I1077" s="27"/>
      <x:c r="J1077" s="6"/>
      <x:c r="K1077" s="6"/>
      <x:c r="L1077" s="6"/>
      <x:c r="M1077" s="6"/>
      <x:c r="N1077" s="6"/>
      <x:c r="O1077" s="6"/>
      <x:c r="P1077" s="6"/>
      <x:c r="Q1077" s="6"/>
      <x:c r="R1077"/>
      <x:c r="S1077"/>
      <x:c r="T1077"/>
    </x:row>
    <x:row r="1078" spans="1:20" ht="15.75" x14ac:dyDescent="0.25">
      <x:c r="A1078"/>
      <x:c r="B1078"/>
      <x:c r="C1078"/>
      <x:c r="D1078"/>
      <x:c r="E1078" s="31"/>
      <x:c r="F1078" s="8"/>
      <x:c r="G1078" s="8"/>
      <x:c r="H1078" s="6"/>
      <x:c r="I1078" s="27"/>
      <x:c r="J1078" s="6"/>
      <x:c r="K1078" s="6"/>
      <x:c r="L1078" s="6"/>
      <x:c r="M1078" s="6"/>
      <x:c r="N1078" s="6"/>
      <x:c r="O1078" s="6"/>
      <x:c r="P1078" s="6"/>
      <x:c r="Q1078" s="6"/>
      <x:c r="R1078"/>
      <x:c r="S1078"/>
      <x:c r="T1078"/>
    </x:row>
    <x:row r="1079" spans="1:20" ht="15.75" x14ac:dyDescent="0.25">
      <x:c r="A1079"/>
      <x:c r="B1079"/>
      <x:c r="C1079"/>
      <x:c r="D1079"/>
      <x:c r="E1079" s="31"/>
      <x:c r="F1079" s="8"/>
      <x:c r="G1079" s="8"/>
      <x:c r="H1079" s="6"/>
      <x:c r="I1079" s="27"/>
      <x:c r="J1079" s="6"/>
      <x:c r="K1079" s="6"/>
      <x:c r="L1079" s="6"/>
      <x:c r="M1079" s="6"/>
      <x:c r="N1079" s="6"/>
      <x:c r="O1079" s="6"/>
      <x:c r="P1079" s="6"/>
      <x:c r="Q1079" s="6"/>
      <x:c r="R1079"/>
      <x:c r="S1079"/>
      <x:c r="T1079"/>
    </x:row>
    <x:row r="1080" spans="1:20" ht="15.75" x14ac:dyDescent="0.25">
      <x:c r="A1080"/>
      <x:c r="B1080"/>
      <x:c r="C1080"/>
      <x:c r="D1080"/>
      <x:c r="E1080" s="31"/>
      <x:c r="F1080" s="8"/>
      <x:c r="G1080" s="8"/>
      <x:c r="H1080" s="6"/>
      <x:c r="I1080" s="27"/>
      <x:c r="J1080" s="6"/>
      <x:c r="K1080" s="6"/>
      <x:c r="L1080" s="6"/>
      <x:c r="M1080" s="6"/>
      <x:c r="N1080" s="6"/>
      <x:c r="O1080" s="6"/>
      <x:c r="P1080" s="6"/>
      <x:c r="Q1080" s="6"/>
      <x:c r="R1080"/>
      <x:c r="S1080"/>
      <x:c r="T1080"/>
    </x:row>
    <x:row r="1081" spans="1:20" ht="15.75" x14ac:dyDescent="0.25">
      <x:c r="A1081"/>
      <x:c r="B1081"/>
      <x:c r="C1081"/>
      <x:c r="D1081"/>
      <x:c r="E1081" s="31"/>
      <x:c r="F1081" s="8"/>
      <x:c r="G1081" s="8"/>
      <x:c r="H1081" s="6"/>
      <x:c r="I1081" s="27"/>
      <x:c r="J1081" s="6"/>
      <x:c r="K1081" s="6"/>
      <x:c r="L1081" s="6"/>
      <x:c r="M1081" s="6"/>
      <x:c r="N1081" s="6"/>
      <x:c r="O1081" s="6"/>
      <x:c r="P1081" s="6"/>
      <x:c r="Q1081" s="6"/>
      <x:c r="R1081"/>
      <x:c r="S1081"/>
      <x:c r="T1081"/>
    </x:row>
    <x:row r="1082" spans="1:20" ht="15.75" x14ac:dyDescent="0.25">
      <x:c r="A1082"/>
      <x:c r="B1082"/>
      <x:c r="C1082"/>
      <x:c r="D1082"/>
      <x:c r="E1082" s="31"/>
      <x:c r="F1082" s="8"/>
      <x:c r="G1082" s="8"/>
      <x:c r="H1082" s="6"/>
      <x:c r="I1082" s="27"/>
      <x:c r="J1082" s="6"/>
      <x:c r="K1082" s="6"/>
      <x:c r="L1082" s="6"/>
      <x:c r="M1082" s="6"/>
      <x:c r="N1082" s="6"/>
      <x:c r="O1082" s="6"/>
      <x:c r="P1082" s="6"/>
      <x:c r="Q1082" s="6"/>
      <x:c r="R1082"/>
      <x:c r="S1082"/>
      <x:c r="T1082"/>
    </x:row>
    <x:row r="1083" spans="1:20" ht="15.75" x14ac:dyDescent="0.25">
      <x:c r="A1083"/>
      <x:c r="B1083"/>
      <x:c r="C1083"/>
      <x:c r="D1083"/>
      <x:c r="E1083" s="31"/>
      <x:c r="F1083" s="8"/>
      <x:c r="G1083" s="8"/>
      <x:c r="H1083" s="6"/>
      <x:c r="I1083" s="27"/>
      <x:c r="J1083" s="6"/>
      <x:c r="K1083" s="6"/>
      <x:c r="L1083" s="6"/>
      <x:c r="M1083" s="6"/>
      <x:c r="N1083" s="6"/>
      <x:c r="O1083" s="6"/>
      <x:c r="P1083" s="6"/>
      <x:c r="Q1083" s="6"/>
      <x:c r="R1083"/>
      <x:c r="S1083"/>
      <x:c r="T1083"/>
    </x:row>
    <x:row r="1084" spans="1:20" ht="15.75" x14ac:dyDescent="0.25">
      <x:c r="A1084"/>
      <x:c r="B1084"/>
      <x:c r="C1084"/>
      <x:c r="D1084"/>
      <x:c r="E1084" s="31"/>
      <x:c r="F1084" s="8"/>
      <x:c r="G1084" s="8"/>
      <x:c r="H1084" s="6"/>
      <x:c r="I1084" s="27"/>
      <x:c r="J1084" s="6"/>
      <x:c r="K1084" s="6"/>
      <x:c r="L1084" s="6"/>
      <x:c r="M1084" s="6"/>
      <x:c r="N1084" s="6"/>
      <x:c r="O1084" s="6"/>
      <x:c r="P1084" s="6"/>
      <x:c r="Q1084" s="6"/>
      <x:c r="R1084"/>
      <x:c r="S1084"/>
      <x:c r="T1084"/>
    </x:row>
    <x:row r="1085" spans="1:20" ht="15.75" x14ac:dyDescent="0.25">
      <x:c r="A1085"/>
      <x:c r="B1085"/>
      <x:c r="C1085"/>
      <x:c r="D1085"/>
      <x:c r="E1085" s="31"/>
      <x:c r="F1085" s="8"/>
      <x:c r="G1085" s="8"/>
      <x:c r="H1085" s="6"/>
      <x:c r="I1085" s="27"/>
      <x:c r="J1085" s="6"/>
      <x:c r="K1085" s="6"/>
      <x:c r="L1085" s="6"/>
      <x:c r="M1085" s="6"/>
      <x:c r="N1085" s="6"/>
      <x:c r="O1085" s="6"/>
      <x:c r="P1085" s="6"/>
      <x:c r="Q1085" s="6"/>
      <x:c r="R1085"/>
      <x:c r="S1085"/>
      <x:c r="T1085"/>
    </x:row>
    <x:row r="1086" spans="1:20" ht="15.75" x14ac:dyDescent="0.25">
      <x:c r="A1086"/>
      <x:c r="B1086"/>
      <x:c r="C1086"/>
      <x:c r="D1086"/>
      <x:c r="E1086" s="31"/>
      <x:c r="F1086" s="8"/>
      <x:c r="G1086" s="8"/>
      <x:c r="H1086" s="6"/>
      <x:c r="I1086" s="27"/>
      <x:c r="J1086" s="6"/>
      <x:c r="K1086" s="6"/>
      <x:c r="L1086" s="6"/>
      <x:c r="M1086" s="6"/>
      <x:c r="N1086" s="6"/>
      <x:c r="O1086" s="6"/>
      <x:c r="P1086" s="6"/>
      <x:c r="Q1086" s="6"/>
      <x:c r="R1086"/>
      <x:c r="S1086"/>
      <x:c r="T1086"/>
    </x:row>
    <x:row r="1087" spans="1:20" ht="15.75" x14ac:dyDescent="0.25">
      <x:c r="A1087"/>
      <x:c r="B1087"/>
      <x:c r="C1087"/>
      <x:c r="D1087"/>
      <x:c r="E1087" s="31"/>
      <x:c r="F1087" s="8"/>
      <x:c r="G1087" s="8"/>
      <x:c r="H1087" s="6"/>
      <x:c r="I1087" s="27"/>
      <x:c r="J1087" s="6"/>
      <x:c r="K1087" s="6"/>
      <x:c r="L1087" s="6"/>
      <x:c r="M1087" s="6"/>
      <x:c r="N1087" s="6"/>
      <x:c r="O1087" s="6"/>
      <x:c r="P1087" s="6"/>
      <x:c r="Q1087" s="6"/>
      <x:c r="R1087"/>
      <x:c r="S1087"/>
      <x:c r="T1087"/>
    </x:row>
    <x:row r="1088" spans="1:20" ht="15.75" x14ac:dyDescent="0.25">
      <x:c r="A1088"/>
      <x:c r="B1088"/>
      <x:c r="C1088"/>
      <x:c r="D1088"/>
      <x:c r="E1088" s="31"/>
      <x:c r="F1088" s="8"/>
      <x:c r="G1088" s="8"/>
      <x:c r="H1088" s="6"/>
      <x:c r="I1088" s="27"/>
      <x:c r="J1088" s="6"/>
      <x:c r="K1088" s="6"/>
      <x:c r="L1088" s="6"/>
      <x:c r="M1088" s="6"/>
      <x:c r="N1088" s="6"/>
      <x:c r="O1088" s="6"/>
      <x:c r="P1088" s="6"/>
      <x:c r="Q1088" s="6"/>
      <x:c r="R1088"/>
      <x:c r="S1088"/>
      <x:c r="T1088"/>
    </x:row>
    <x:row r="1089" spans="1:20" ht="15.75" x14ac:dyDescent="0.25">
      <x:c r="A1089"/>
      <x:c r="B1089"/>
      <x:c r="C1089"/>
      <x:c r="D1089"/>
      <x:c r="E1089" s="31"/>
      <x:c r="F1089" s="8"/>
      <x:c r="G1089" s="8"/>
      <x:c r="H1089" s="6"/>
      <x:c r="I1089" s="27"/>
      <x:c r="J1089" s="6"/>
      <x:c r="K1089" s="6"/>
      <x:c r="L1089" s="6"/>
      <x:c r="M1089" s="6"/>
      <x:c r="N1089" s="6"/>
      <x:c r="O1089" s="6"/>
      <x:c r="P1089" s="6"/>
      <x:c r="Q1089" s="6"/>
      <x:c r="R1089"/>
      <x:c r="S1089"/>
      <x:c r="T1089"/>
    </x:row>
    <x:row r="1090" spans="1:20" ht="15.75" x14ac:dyDescent="0.25">
      <x:c r="A1090"/>
      <x:c r="B1090"/>
      <x:c r="C1090"/>
      <x:c r="D1090"/>
      <x:c r="E1090" s="31"/>
      <x:c r="F1090" s="8"/>
      <x:c r="G1090" s="8"/>
      <x:c r="H1090" s="6"/>
      <x:c r="I1090" s="27"/>
      <x:c r="J1090" s="6"/>
      <x:c r="K1090" s="6"/>
      <x:c r="L1090" s="6"/>
      <x:c r="M1090" s="6"/>
      <x:c r="N1090" s="6"/>
      <x:c r="O1090" s="6"/>
      <x:c r="P1090" s="6"/>
      <x:c r="Q1090" s="6"/>
      <x:c r="R1090"/>
      <x:c r="S1090"/>
      <x:c r="T1090"/>
    </x:row>
    <x:row r="1091" spans="1:20" ht="15.75" x14ac:dyDescent="0.25">
      <x:c r="A1091"/>
      <x:c r="B1091"/>
      <x:c r="C1091"/>
      <x:c r="D1091"/>
      <x:c r="E1091" s="31"/>
      <x:c r="F1091" s="8"/>
      <x:c r="G1091" s="8"/>
      <x:c r="H1091" s="6"/>
      <x:c r="I1091" s="27"/>
      <x:c r="J1091" s="6"/>
      <x:c r="K1091" s="6"/>
      <x:c r="L1091" s="6"/>
      <x:c r="M1091" s="6"/>
      <x:c r="N1091" s="6"/>
      <x:c r="O1091" s="6"/>
      <x:c r="P1091" s="6"/>
      <x:c r="Q1091" s="6"/>
      <x:c r="R1091"/>
      <x:c r="S1091"/>
      <x:c r="T1091"/>
    </x:row>
    <x:row r="1092" spans="1:20" ht="15.75" x14ac:dyDescent="0.25">
      <x:c r="A1092"/>
      <x:c r="B1092"/>
      <x:c r="C1092"/>
      <x:c r="D1092"/>
      <x:c r="E1092" s="31"/>
      <x:c r="F1092" s="8"/>
      <x:c r="G1092" s="8"/>
      <x:c r="H1092" s="6"/>
      <x:c r="I1092" s="27"/>
      <x:c r="J1092" s="6"/>
      <x:c r="K1092" s="6"/>
      <x:c r="L1092" s="6"/>
      <x:c r="M1092" s="6"/>
      <x:c r="N1092" s="6"/>
      <x:c r="O1092" s="6"/>
      <x:c r="P1092" s="6"/>
      <x:c r="Q1092" s="6"/>
      <x:c r="R1092"/>
      <x:c r="S1092"/>
      <x:c r="T1092"/>
    </x:row>
    <x:row r="1093" spans="1:20" ht="15.75" x14ac:dyDescent="0.25">
      <x:c r="A1093"/>
      <x:c r="B1093"/>
      <x:c r="C1093"/>
      <x:c r="D1093"/>
      <x:c r="E1093" s="31"/>
      <x:c r="F1093" s="8"/>
      <x:c r="G1093" s="8"/>
      <x:c r="H1093" s="6"/>
      <x:c r="I1093" s="27"/>
      <x:c r="J1093" s="6"/>
      <x:c r="K1093" s="6"/>
      <x:c r="L1093" s="6"/>
      <x:c r="M1093" s="6"/>
      <x:c r="N1093" s="6"/>
      <x:c r="O1093" s="6"/>
      <x:c r="P1093" s="6"/>
      <x:c r="Q1093" s="6"/>
      <x:c r="R1093"/>
      <x:c r="S1093"/>
      <x:c r="T1093"/>
    </x:row>
    <x:row r="1094" spans="1:20" ht="15.75" x14ac:dyDescent="0.25">
      <x:c r="A1094"/>
      <x:c r="B1094"/>
      <x:c r="C1094"/>
      <x:c r="D1094"/>
      <x:c r="E1094" s="31"/>
      <x:c r="F1094" s="8"/>
      <x:c r="G1094" s="8"/>
      <x:c r="H1094" s="6"/>
      <x:c r="I1094" s="27"/>
      <x:c r="J1094" s="6"/>
      <x:c r="K1094" s="6"/>
      <x:c r="L1094" s="6"/>
      <x:c r="M1094" s="6"/>
      <x:c r="N1094" s="6"/>
      <x:c r="O1094" s="6"/>
      <x:c r="P1094" s="6"/>
      <x:c r="Q1094" s="6"/>
      <x:c r="R1094"/>
      <x:c r="S1094"/>
      <x:c r="T1094"/>
    </x:row>
    <x:row r="1095" spans="1:20" ht="15.75" x14ac:dyDescent="0.25">
      <x:c r="A1095"/>
      <x:c r="B1095"/>
      <x:c r="C1095"/>
      <x:c r="D1095"/>
      <x:c r="E1095" s="31"/>
      <x:c r="F1095" s="8"/>
      <x:c r="G1095" s="8"/>
      <x:c r="H1095" s="6"/>
      <x:c r="I1095" s="27"/>
      <x:c r="J1095" s="6"/>
      <x:c r="K1095" s="6"/>
      <x:c r="L1095" s="6"/>
      <x:c r="M1095" s="6"/>
      <x:c r="N1095" s="6"/>
      <x:c r="O1095" s="6"/>
      <x:c r="P1095" s="6"/>
      <x:c r="Q1095" s="6"/>
      <x:c r="R1095"/>
      <x:c r="S1095"/>
      <x:c r="T1095"/>
    </x:row>
    <x:row r="1096" spans="1:20" ht="15.75" x14ac:dyDescent="0.25">
      <x:c r="A1096"/>
      <x:c r="B1096"/>
      <x:c r="C1096"/>
      <x:c r="D1096"/>
      <x:c r="E1096" s="31"/>
      <x:c r="F1096" s="8"/>
      <x:c r="G1096" s="8"/>
      <x:c r="H1096" s="6"/>
      <x:c r="I1096" s="27"/>
      <x:c r="J1096" s="6"/>
      <x:c r="K1096" s="6"/>
      <x:c r="L1096" s="6"/>
      <x:c r="M1096" s="6"/>
      <x:c r="N1096" s="6"/>
      <x:c r="O1096" s="6"/>
      <x:c r="P1096" s="6"/>
      <x:c r="Q1096" s="6"/>
      <x:c r="R1096"/>
      <x:c r="S1096"/>
      <x:c r="T1096"/>
    </x:row>
    <x:row r="1097" spans="1:20" ht="15.75" x14ac:dyDescent="0.25">
      <x:c r="A1097"/>
      <x:c r="B1097"/>
      <x:c r="C1097"/>
      <x:c r="D1097"/>
      <x:c r="E1097" s="31"/>
      <x:c r="F1097" s="8"/>
      <x:c r="G1097" s="8"/>
      <x:c r="H1097" s="6"/>
      <x:c r="I1097" s="27"/>
      <x:c r="J1097" s="6"/>
      <x:c r="K1097" s="6"/>
      <x:c r="L1097" s="6"/>
      <x:c r="M1097" s="6"/>
      <x:c r="N1097" s="6"/>
      <x:c r="O1097" s="6"/>
      <x:c r="P1097" s="6"/>
      <x:c r="Q1097" s="6"/>
      <x:c r="R1097"/>
      <x:c r="S1097"/>
      <x:c r="T1097"/>
    </x:row>
    <x:row r="1098" spans="1:20" ht="15.75" x14ac:dyDescent="0.25">
      <x:c r="A1098"/>
      <x:c r="B1098"/>
      <x:c r="C1098"/>
      <x:c r="D1098"/>
      <x:c r="E1098" s="31"/>
      <x:c r="F1098" s="8"/>
      <x:c r="G1098" s="8"/>
      <x:c r="H1098" s="6"/>
      <x:c r="I1098" s="27"/>
      <x:c r="J1098" s="6"/>
      <x:c r="K1098" s="6"/>
      <x:c r="L1098" s="6"/>
      <x:c r="M1098" s="6"/>
      <x:c r="N1098" s="6"/>
      <x:c r="O1098" s="6"/>
      <x:c r="P1098" s="6"/>
      <x:c r="Q1098" s="6"/>
      <x:c r="R1098"/>
      <x:c r="S1098"/>
      <x:c r="T1098"/>
    </x:row>
    <x:row r="1099" spans="1:20" ht="15.75" x14ac:dyDescent="0.25">
      <x:c r="A1099"/>
      <x:c r="B1099"/>
      <x:c r="C1099"/>
      <x:c r="D1099"/>
      <x:c r="E1099" s="31"/>
      <x:c r="F1099" s="8"/>
      <x:c r="G1099" s="8"/>
      <x:c r="H1099" s="6"/>
      <x:c r="I1099" s="27"/>
      <x:c r="J1099" s="6"/>
      <x:c r="K1099" s="6"/>
      <x:c r="L1099" s="6"/>
      <x:c r="M1099" s="6"/>
      <x:c r="N1099" s="6"/>
      <x:c r="O1099" s="6"/>
      <x:c r="P1099" s="6"/>
      <x:c r="Q1099" s="6"/>
      <x:c r="R1099"/>
      <x:c r="S1099"/>
      <x:c r="T1099"/>
    </x:row>
    <x:row r="1100" spans="1:20" ht="15.75" x14ac:dyDescent="0.25">
      <x:c r="A1100"/>
      <x:c r="B1100"/>
      <x:c r="C1100"/>
      <x:c r="D1100"/>
      <x:c r="E1100" s="31"/>
      <x:c r="F1100" s="8"/>
      <x:c r="G1100" s="8"/>
      <x:c r="H1100" s="6"/>
      <x:c r="I1100" s="27"/>
      <x:c r="J1100" s="6"/>
      <x:c r="K1100" s="6"/>
      <x:c r="L1100" s="6"/>
      <x:c r="M1100" s="6"/>
      <x:c r="N1100" s="6"/>
      <x:c r="O1100" s="6"/>
      <x:c r="P1100" s="6"/>
      <x:c r="Q1100" s="6"/>
      <x:c r="R1100"/>
      <x:c r="S1100"/>
      <x:c r="T1100"/>
    </x:row>
    <x:row r="1101" spans="1:20" ht="15.75" x14ac:dyDescent="0.25">
      <x:c r="A1101"/>
      <x:c r="B1101"/>
      <x:c r="C1101"/>
      <x:c r="D1101"/>
      <x:c r="E1101" s="31"/>
      <x:c r="F1101" s="8"/>
      <x:c r="G1101" s="8"/>
      <x:c r="H1101" s="6"/>
      <x:c r="I1101" s="27"/>
      <x:c r="J1101" s="6"/>
      <x:c r="K1101" s="6"/>
      <x:c r="L1101" s="6"/>
      <x:c r="M1101" s="6"/>
      <x:c r="N1101" s="6"/>
      <x:c r="O1101" s="6"/>
      <x:c r="P1101" s="6"/>
      <x:c r="Q1101" s="6"/>
      <x:c r="R1101"/>
      <x:c r="S1101"/>
      <x:c r="T1101"/>
    </x:row>
    <x:row r="1102" spans="1:20" ht="15.75" x14ac:dyDescent="0.25">
      <x:c r="A1102"/>
      <x:c r="B1102"/>
      <x:c r="C1102"/>
      <x:c r="D1102"/>
      <x:c r="E1102" s="31"/>
      <x:c r="F1102" s="8"/>
      <x:c r="G1102" s="8"/>
      <x:c r="H1102" s="6"/>
      <x:c r="I1102" s="27"/>
      <x:c r="J1102" s="6"/>
      <x:c r="K1102" s="6"/>
      <x:c r="L1102" s="6"/>
      <x:c r="M1102" s="6"/>
      <x:c r="N1102" s="6"/>
      <x:c r="O1102" s="6"/>
      <x:c r="P1102" s="6"/>
      <x:c r="Q1102" s="6"/>
      <x:c r="R1102"/>
      <x:c r="S1102"/>
      <x:c r="T1102"/>
    </x:row>
    <x:row r="1103" spans="1:20" ht="15.75" x14ac:dyDescent="0.25">
      <x:c r="A1103"/>
      <x:c r="B1103"/>
      <x:c r="C1103"/>
      <x:c r="D1103"/>
      <x:c r="E1103" s="31"/>
      <x:c r="F1103" s="8"/>
      <x:c r="G1103" s="8"/>
      <x:c r="H1103" s="6"/>
      <x:c r="I1103" s="27"/>
      <x:c r="J1103" s="6"/>
      <x:c r="K1103" s="6"/>
      <x:c r="L1103" s="6"/>
      <x:c r="M1103" s="6"/>
      <x:c r="N1103" s="6"/>
      <x:c r="O1103" s="6"/>
      <x:c r="P1103" s="6"/>
      <x:c r="Q1103" s="6"/>
      <x:c r="R1103"/>
      <x:c r="S1103"/>
      <x:c r="T1103"/>
    </x:row>
    <x:row r="1104" spans="1:20" ht="15.75" x14ac:dyDescent="0.25">
      <x:c r="A1104"/>
      <x:c r="B1104"/>
      <x:c r="C1104"/>
      <x:c r="D1104"/>
      <x:c r="E1104" s="31"/>
      <x:c r="F1104" s="8"/>
      <x:c r="G1104" s="8"/>
      <x:c r="H1104" s="6"/>
      <x:c r="I1104" s="27"/>
      <x:c r="J1104" s="6"/>
      <x:c r="K1104" s="6"/>
      <x:c r="L1104" s="6"/>
      <x:c r="M1104" s="6"/>
      <x:c r="N1104" s="6"/>
      <x:c r="O1104" s="6"/>
      <x:c r="P1104" s="6"/>
      <x:c r="Q1104" s="6"/>
      <x:c r="R1104"/>
      <x:c r="S1104"/>
      <x:c r="T1104"/>
    </x:row>
    <x:row r="1105" spans="1:20" ht="15.75" x14ac:dyDescent="0.25">
      <x:c r="A1105"/>
      <x:c r="B1105"/>
      <x:c r="C1105"/>
      <x:c r="D1105"/>
      <x:c r="E1105" s="31"/>
      <x:c r="F1105" s="8"/>
      <x:c r="G1105" s="8"/>
      <x:c r="H1105" s="6"/>
      <x:c r="I1105" s="27"/>
      <x:c r="J1105" s="6"/>
      <x:c r="K1105" s="6"/>
      <x:c r="L1105" s="6"/>
      <x:c r="M1105" s="6"/>
      <x:c r="N1105" s="6"/>
      <x:c r="O1105" s="6"/>
      <x:c r="P1105" s="6"/>
      <x:c r="Q1105" s="6"/>
      <x:c r="R1105"/>
      <x:c r="S1105"/>
      <x:c r="T1105"/>
    </x:row>
    <x:row r="1106" spans="1:20" ht="15.75" x14ac:dyDescent="0.25">
      <x:c r="A1106"/>
      <x:c r="B1106"/>
      <x:c r="C1106"/>
      <x:c r="D1106"/>
      <x:c r="E1106" s="31"/>
      <x:c r="F1106" s="8"/>
      <x:c r="G1106" s="8"/>
      <x:c r="H1106" s="6"/>
      <x:c r="I1106" s="27"/>
      <x:c r="J1106" s="6"/>
      <x:c r="K1106" s="6"/>
      <x:c r="L1106" s="6"/>
      <x:c r="M1106" s="6"/>
      <x:c r="N1106" s="6"/>
      <x:c r="O1106" s="6"/>
      <x:c r="P1106" s="6"/>
      <x:c r="Q1106" s="6"/>
      <x:c r="R1106"/>
      <x:c r="S1106"/>
      <x:c r="T1106"/>
    </x:row>
    <x:row r="1107" spans="1:20" ht="15.75" x14ac:dyDescent="0.25">
      <x:c r="A1107"/>
      <x:c r="B1107"/>
      <x:c r="C1107"/>
      <x:c r="D1107"/>
      <x:c r="E1107" s="31"/>
      <x:c r="F1107" s="8"/>
      <x:c r="G1107" s="8"/>
      <x:c r="H1107" s="6"/>
      <x:c r="I1107" s="27"/>
      <x:c r="J1107" s="6"/>
      <x:c r="K1107" s="6"/>
      <x:c r="L1107" s="6"/>
      <x:c r="M1107" s="6"/>
      <x:c r="N1107" s="6"/>
      <x:c r="O1107" s="6"/>
      <x:c r="P1107" s="6"/>
      <x:c r="Q1107" s="6"/>
      <x:c r="R1107"/>
      <x:c r="S1107"/>
      <x:c r="T1107"/>
    </x:row>
    <x:row r="1108" spans="1:20" ht="15.75" x14ac:dyDescent="0.25">
      <x:c r="A1108"/>
      <x:c r="B1108"/>
      <x:c r="C1108"/>
      <x:c r="D1108"/>
      <x:c r="E1108" s="31"/>
      <x:c r="F1108" s="8"/>
      <x:c r="G1108" s="8"/>
      <x:c r="H1108" s="6"/>
      <x:c r="I1108" s="27"/>
      <x:c r="J1108" s="6"/>
      <x:c r="K1108" s="6"/>
      <x:c r="L1108" s="6"/>
      <x:c r="M1108" s="6"/>
      <x:c r="N1108" s="6"/>
      <x:c r="O1108" s="6"/>
      <x:c r="P1108" s="6"/>
      <x:c r="Q1108" s="6"/>
      <x:c r="R1108"/>
      <x:c r="S1108"/>
      <x:c r="T1108"/>
    </x:row>
    <x:row r="1109" spans="1:20" ht="15.75" x14ac:dyDescent="0.25">
      <x:c r="A1109"/>
      <x:c r="B1109"/>
      <x:c r="C1109"/>
      <x:c r="D1109"/>
      <x:c r="E1109" s="31"/>
      <x:c r="F1109" s="8"/>
      <x:c r="G1109" s="8"/>
      <x:c r="H1109" s="6"/>
      <x:c r="I1109" s="27"/>
      <x:c r="J1109" s="6"/>
      <x:c r="K1109" s="6"/>
      <x:c r="L1109" s="6"/>
      <x:c r="M1109" s="6"/>
      <x:c r="N1109" s="6"/>
      <x:c r="O1109" s="6"/>
      <x:c r="P1109" s="6"/>
      <x:c r="Q1109" s="6"/>
      <x:c r="R1109"/>
      <x:c r="S1109"/>
      <x:c r="T1109"/>
    </x:row>
    <x:row r="1110" spans="1:20" ht="15.75" x14ac:dyDescent="0.25">
      <x:c r="A1110"/>
      <x:c r="B1110"/>
      <x:c r="C1110"/>
      <x:c r="D1110"/>
      <x:c r="E1110" s="31"/>
      <x:c r="F1110" s="8"/>
      <x:c r="G1110" s="8"/>
      <x:c r="H1110" s="6"/>
      <x:c r="I1110" s="27"/>
      <x:c r="J1110" s="6"/>
      <x:c r="K1110" s="6"/>
      <x:c r="L1110" s="6"/>
      <x:c r="M1110" s="6"/>
      <x:c r="N1110" s="6"/>
      <x:c r="O1110" s="6"/>
      <x:c r="P1110" s="6"/>
      <x:c r="Q1110" s="6"/>
      <x:c r="R1110"/>
      <x:c r="S1110"/>
      <x:c r="T1110"/>
    </x:row>
    <x:row r="1111" spans="1:20" ht="15.75" x14ac:dyDescent="0.25">
      <x:c r="A1111"/>
      <x:c r="B1111"/>
      <x:c r="C1111"/>
      <x:c r="D1111"/>
      <x:c r="E1111" s="31"/>
      <x:c r="F1111" s="8"/>
      <x:c r="G1111" s="8"/>
      <x:c r="H1111" s="6"/>
      <x:c r="I1111" s="27"/>
      <x:c r="J1111" s="6"/>
      <x:c r="K1111" s="6"/>
      <x:c r="L1111" s="6"/>
      <x:c r="M1111" s="6"/>
      <x:c r="N1111" s="6"/>
      <x:c r="O1111" s="6"/>
      <x:c r="P1111" s="6"/>
      <x:c r="Q1111" s="6"/>
      <x:c r="R1111"/>
      <x:c r="S1111"/>
      <x:c r="T1111"/>
    </x:row>
    <x:row r="1112" spans="1:20" ht="15.75" x14ac:dyDescent="0.25">
      <x:c r="A1112"/>
      <x:c r="B1112"/>
      <x:c r="C1112"/>
      <x:c r="D1112"/>
      <x:c r="E1112" s="31"/>
      <x:c r="F1112" s="8"/>
      <x:c r="G1112" s="8"/>
      <x:c r="H1112" s="6"/>
      <x:c r="I1112" s="27"/>
      <x:c r="J1112" s="6"/>
      <x:c r="K1112" s="6"/>
      <x:c r="L1112" s="6"/>
      <x:c r="M1112" s="6"/>
      <x:c r="N1112" s="6"/>
      <x:c r="O1112" s="6"/>
      <x:c r="P1112" s="6"/>
      <x:c r="Q1112" s="6"/>
      <x:c r="R1112"/>
      <x:c r="S1112"/>
      <x:c r="T1112"/>
    </x:row>
    <x:row r="1113" spans="1:20" ht="15.75" x14ac:dyDescent="0.25">
      <x:c r="A1113"/>
      <x:c r="B1113"/>
      <x:c r="C1113"/>
      <x:c r="D1113"/>
      <x:c r="E1113" s="31"/>
      <x:c r="F1113" s="8"/>
      <x:c r="G1113" s="8"/>
      <x:c r="H1113" s="6"/>
      <x:c r="I1113" s="27"/>
      <x:c r="J1113" s="6"/>
      <x:c r="K1113" s="6"/>
      <x:c r="L1113" s="6"/>
      <x:c r="M1113" s="6"/>
      <x:c r="N1113" s="6"/>
      <x:c r="O1113" s="6"/>
      <x:c r="P1113" s="6"/>
      <x:c r="Q1113" s="6"/>
      <x:c r="R1113"/>
      <x:c r="S1113"/>
      <x:c r="T1113"/>
    </x:row>
    <x:row r="1114" spans="1:20" ht="15.75" x14ac:dyDescent="0.25">
      <x:c r="A1114"/>
      <x:c r="B1114"/>
      <x:c r="C1114"/>
      <x:c r="D1114"/>
      <x:c r="E1114" s="31"/>
      <x:c r="F1114" s="8"/>
      <x:c r="G1114" s="8"/>
      <x:c r="H1114" s="6"/>
      <x:c r="I1114" s="27"/>
      <x:c r="J1114" s="6"/>
      <x:c r="K1114" s="6"/>
      <x:c r="L1114" s="6"/>
      <x:c r="M1114" s="6"/>
      <x:c r="N1114" s="6"/>
      <x:c r="O1114" s="6"/>
      <x:c r="P1114" s="6"/>
      <x:c r="Q1114" s="6"/>
      <x:c r="R1114"/>
      <x:c r="S1114"/>
      <x:c r="T1114"/>
    </x:row>
    <x:row r="1115" spans="1:20" ht="15.75" x14ac:dyDescent="0.25">
      <x:c r="A1115"/>
      <x:c r="B1115"/>
      <x:c r="C1115"/>
      <x:c r="D1115"/>
      <x:c r="E1115" s="31"/>
      <x:c r="F1115" s="8"/>
      <x:c r="G1115" s="8"/>
      <x:c r="H1115" s="6"/>
      <x:c r="I1115" s="27"/>
      <x:c r="J1115" s="6"/>
      <x:c r="K1115" s="6"/>
      <x:c r="L1115" s="6"/>
      <x:c r="M1115" s="6"/>
      <x:c r="N1115" s="6"/>
      <x:c r="O1115" s="6"/>
      <x:c r="P1115" s="6"/>
      <x:c r="Q1115" s="6"/>
      <x:c r="R1115"/>
      <x:c r="S1115"/>
      <x:c r="T1115"/>
    </x:row>
    <x:row r="1116" spans="1:20" ht="15.75" x14ac:dyDescent="0.25">
      <x:c r="A1116"/>
      <x:c r="B1116"/>
      <x:c r="C1116"/>
      <x:c r="D1116"/>
      <x:c r="E1116" s="31"/>
      <x:c r="F1116" s="8"/>
      <x:c r="G1116" s="8"/>
      <x:c r="H1116" s="6"/>
      <x:c r="I1116" s="27"/>
      <x:c r="J1116" s="6"/>
      <x:c r="K1116" s="6"/>
      <x:c r="L1116" s="6"/>
      <x:c r="M1116" s="6"/>
      <x:c r="N1116" s="6"/>
      <x:c r="O1116" s="6"/>
      <x:c r="P1116" s="6"/>
      <x:c r="Q1116" s="6"/>
      <x:c r="R1116"/>
      <x:c r="S1116"/>
      <x:c r="T1116"/>
    </x:row>
    <x:row r="1117" spans="1:20" ht="15.75" x14ac:dyDescent="0.25">
      <x:c r="A1117"/>
      <x:c r="B1117"/>
      <x:c r="C1117"/>
      <x:c r="D1117"/>
      <x:c r="E1117" s="31"/>
      <x:c r="F1117" s="8"/>
      <x:c r="G1117" s="8"/>
      <x:c r="H1117" s="6"/>
      <x:c r="I1117" s="27"/>
      <x:c r="J1117" s="6"/>
      <x:c r="K1117" s="6"/>
      <x:c r="L1117" s="6"/>
      <x:c r="M1117" s="6"/>
      <x:c r="N1117" s="6"/>
      <x:c r="O1117" s="6"/>
      <x:c r="P1117" s="6"/>
      <x:c r="Q1117" s="6"/>
      <x:c r="R1117"/>
      <x:c r="S1117"/>
      <x:c r="T1117"/>
    </x:row>
    <x:row r="1118" spans="1:20" ht="15.75" x14ac:dyDescent="0.25">
      <x:c r="A1118"/>
      <x:c r="B1118"/>
      <x:c r="C1118"/>
      <x:c r="D1118"/>
      <x:c r="E1118" s="31"/>
      <x:c r="F1118" s="8"/>
      <x:c r="G1118" s="8"/>
      <x:c r="H1118" s="6"/>
      <x:c r="I1118" s="27"/>
      <x:c r="J1118" s="6"/>
      <x:c r="K1118" s="6"/>
      <x:c r="L1118" s="6"/>
      <x:c r="M1118" s="6"/>
      <x:c r="N1118" s="6"/>
      <x:c r="O1118" s="6"/>
      <x:c r="P1118" s="6"/>
      <x:c r="Q1118" s="6"/>
      <x:c r="R1118"/>
      <x:c r="S1118"/>
      <x:c r="T1118"/>
    </x:row>
    <x:row r="1119" spans="1:20" ht="15.75" x14ac:dyDescent="0.25">
      <x:c r="A1119"/>
      <x:c r="B1119"/>
      <x:c r="C1119"/>
      <x:c r="D1119"/>
      <x:c r="E1119" s="31"/>
      <x:c r="F1119" s="8"/>
      <x:c r="G1119" s="8"/>
      <x:c r="H1119" s="6"/>
      <x:c r="I1119" s="27"/>
      <x:c r="J1119" s="6"/>
      <x:c r="K1119" s="6"/>
      <x:c r="L1119" s="6"/>
      <x:c r="M1119" s="6"/>
      <x:c r="N1119" s="6"/>
      <x:c r="O1119" s="6"/>
      <x:c r="P1119" s="6"/>
      <x:c r="Q1119" s="6"/>
      <x:c r="R1119"/>
      <x:c r="S1119"/>
      <x:c r="T1119"/>
    </x:row>
    <x:row r="1120" spans="1:20" ht="15.75" x14ac:dyDescent="0.25">
      <x:c r="A1120"/>
      <x:c r="B1120"/>
      <x:c r="C1120"/>
      <x:c r="D1120"/>
      <x:c r="E1120" s="31"/>
      <x:c r="F1120" s="8"/>
      <x:c r="G1120" s="8"/>
      <x:c r="H1120" s="6"/>
      <x:c r="I1120" s="27"/>
      <x:c r="J1120" s="6"/>
      <x:c r="K1120" s="6"/>
      <x:c r="L1120" s="6"/>
      <x:c r="M1120" s="6"/>
      <x:c r="N1120" s="6"/>
      <x:c r="O1120" s="6"/>
      <x:c r="P1120" s="6"/>
      <x:c r="Q1120" s="6"/>
      <x:c r="R1120"/>
      <x:c r="S1120"/>
      <x:c r="T1120"/>
    </x:row>
    <x:row r="1121" spans="1:20" ht="15.75" x14ac:dyDescent="0.25">
      <x:c r="A1121"/>
      <x:c r="B1121"/>
      <x:c r="C1121"/>
      <x:c r="D1121"/>
      <x:c r="E1121" s="31"/>
      <x:c r="F1121" s="8"/>
      <x:c r="G1121" s="8"/>
      <x:c r="H1121" s="6"/>
      <x:c r="I1121" s="27"/>
      <x:c r="J1121" s="6"/>
      <x:c r="K1121" s="6"/>
      <x:c r="L1121" s="6"/>
      <x:c r="M1121" s="6"/>
      <x:c r="N1121" s="6"/>
      <x:c r="O1121" s="6"/>
      <x:c r="P1121" s="6"/>
      <x:c r="Q1121" s="6"/>
      <x:c r="R1121"/>
      <x:c r="S1121"/>
      <x:c r="T1121"/>
    </x:row>
    <x:row r="1122" spans="1:20" ht="15.75" x14ac:dyDescent="0.25">
      <x:c r="A1122"/>
      <x:c r="B1122"/>
      <x:c r="C1122"/>
      <x:c r="D1122"/>
      <x:c r="E1122" s="31"/>
      <x:c r="F1122" s="8"/>
      <x:c r="G1122" s="8"/>
      <x:c r="H1122" s="6"/>
      <x:c r="I1122" s="27"/>
      <x:c r="J1122" s="6"/>
      <x:c r="K1122" s="6"/>
      <x:c r="L1122" s="6"/>
      <x:c r="M1122" s="6"/>
      <x:c r="N1122" s="6"/>
      <x:c r="O1122" s="6"/>
      <x:c r="P1122" s="6"/>
      <x:c r="Q1122" s="6"/>
      <x:c r="R1122"/>
      <x:c r="S1122"/>
      <x:c r="T1122"/>
    </x:row>
    <x:row r="1123" spans="1:20" ht="15.75" x14ac:dyDescent="0.25">
      <x:c r="A1123"/>
      <x:c r="B1123"/>
      <x:c r="C1123"/>
      <x:c r="D1123"/>
      <x:c r="E1123" s="31"/>
      <x:c r="F1123" s="8"/>
      <x:c r="G1123" s="8"/>
      <x:c r="H1123" s="6"/>
      <x:c r="I1123" s="27"/>
      <x:c r="J1123" s="6"/>
      <x:c r="K1123" s="6"/>
      <x:c r="L1123" s="6"/>
      <x:c r="M1123" s="6"/>
      <x:c r="N1123" s="6"/>
      <x:c r="O1123" s="6"/>
      <x:c r="P1123" s="6"/>
      <x:c r="Q1123" s="6"/>
      <x:c r="R1123"/>
      <x:c r="S1123"/>
      <x:c r="T1123"/>
    </x:row>
    <x:row r="1124" spans="1:20" ht="15.75" x14ac:dyDescent="0.25">
      <x:c r="A1124"/>
      <x:c r="B1124"/>
      <x:c r="C1124"/>
      <x:c r="D1124"/>
      <x:c r="E1124" s="31"/>
      <x:c r="F1124" s="8"/>
      <x:c r="G1124" s="8"/>
      <x:c r="H1124" s="6"/>
      <x:c r="I1124" s="27"/>
      <x:c r="J1124" s="6"/>
      <x:c r="K1124" s="6"/>
      <x:c r="L1124" s="6"/>
      <x:c r="M1124" s="6"/>
      <x:c r="N1124" s="6"/>
      <x:c r="O1124" s="6"/>
      <x:c r="P1124" s="6"/>
      <x:c r="Q1124" s="6"/>
      <x:c r="R1124"/>
      <x:c r="S1124"/>
      <x:c r="T1124"/>
    </x:row>
    <x:row r="1125" spans="1:20" ht="15.75" x14ac:dyDescent="0.25">
      <x:c r="A1125"/>
      <x:c r="B1125"/>
      <x:c r="C1125"/>
      <x:c r="D1125"/>
      <x:c r="E1125" s="31"/>
      <x:c r="F1125" s="8"/>
      <x:c r="G1125" s="8"/>
      <x:c r="H1125" s="6"/>
      <x:c r="I1125" s="27"/>
      <x:c r="J1125" s="6"/>
      <x:c r="K1125" s="6"/>
      <x:c r="L1125" s="6"/>
      <x:c r="M1125" s="6"/>
      <x:c r="N1125" s="6"/>
      <x:c r="O1125" s="6"/>
      <x:c r="P1125" s="6"/>
      <x:c r="Q1125" s="6"/>
      <x:c r="R1125"/>
      <x:c r="S1125"/>
      <x:c r="T1125"/>
    </x:row>
    <x:row r="1126" spans="1:20" ht="15.75" x14ac:dyDescent="0.25">
      <x:c r="A1126"/>
      <x:c r="B1126"/>
      <x:c r="C1126"/>
      <x:c r="D1126"/>
      <x:c r="E1126" s="31"/>
      <x:c r="F1126" s="8"/>
      <x:c r="G1126" s="8"/>
      <x:c r="H1126" s="6"/>
      <x:c r="I1126" s="27"/>
      <x:c r="J1126" s="6"/>
      <x:c r="K1126" s="6"/>
      <x:c r="L1126" s="6"/>
      <x:c r="M1126" s="6"/>
      <x:c r="N1126" s="6"/>
      <x:c r="O1126" s="6"/>
      <x:c r="P1126" s="6"/>
      <x:c r="Q1126" s="6"/>
      <x:c r="R1126"/>
      <x:c r="S1126"/>
      <x:c r="T1126"/>
    </x:row>
    <x:row r="1127" spans="1:20" ht="15.75" x14ac:dyDescent="0.25">
      <x:c r="A1127"/>
      <x:c r="B1127"/>
      <x:c r="C1127"/>
      <x:c r="D1127"/>
      <x:c r="E1127" s="31"/>
      <x:c r="F1127" s="8"/>
      <x:c r="G1127" s="8"/>
      <x:c r="H1127" s="6"/>
      <x:c r="I1127" s="27"/>
      <x:c r="J1127" s="6"/>
      <x:c r="K1127" s="6"/>
      <x:c r="L1127" s="6"/>
      <x:c r="M1127" s="6"/>
      <x:c r="N1127" s="6"/>
      <x:c r="O1127" s="6"/>
      <x:c r="P1127" s="6"/>
      <x:c r="Q1127" s="6"/>
      <x:c r="R1127"/>
      <x:c r="S1127"/>
      <x:c r="T1127"/>
    </x:row>
    <x:row r="1128" spans="1:20" ht="15.75" x14ac:dyDescent="0.25">
      <x:c r="A1128"/>
      <x:c r="B1128"/>
      <x:c r="C1128"/>
      <x:c r="D1128"/>
      <x:c r="E1128" s="31"/>
      <x:c r="F1128" s="8"/>
      <x:c r="G1128" s="8"/>
      <x:c r="H1128" s="6"/>
      <x:c r="I1128" s="27"/>
      <x:c r="J1128" s="6"/>
      <x:c r="K1128" s="6"/>
      <x:c r="L1128" s="6"/>
      <x:c r="M1128" s="6"/>
      <x:c r="N1128" s="6"/>
      <x:c r="O1128" s="6"/>
      <x:c r="P1128" s="6"/>
      <x:c r="Q1128" s="6"/>
      <x:c r="R1128"/>
      <x:c r="S1128"/>
      <x:c r="T1128"/>
    </x:row>
    <x:row r="1129" spans="1:20" ht="15.75" x14ac:dyDescent="0.25">
      <x:c r="A1129"/>
      <x:c r="B1129"/>
      <x:c r="C1129"/>
      <x:c r="D1129"/>
      <x:c r="E1129" s="31"/>
      <x:c r="F1129" s="8"/>
      <x:c r="G1129" s="8"/>
      <x:c r="H1129" s="6"/>
      <x:c r="I1129" s="27"/>
      <x:c r="J1129" s="6"/>
      <x:c r="K1129" s="6"/>
      <x:c r="L1129" s="6"/>
      <x:c r="M1129" s="6"/>
      <x:c r="N1129" s="6"/>
      <x:c r="O1129" s="6"/>
      <x:c r="P1129" s="6"/>
      <x:c r="Q1129" s="6"/>
      <x:c r="R1129"/>
      <x:c r="S1129"/>
      <x:c r="T1129"/>
    </x:row>
    <x:row r="1130" spans="1:20" ht="15.75" x14ac:dyDescent="0.25">
      <x:c r="A1130"/>
      <x:c r="B1130"/>
      <x:c r="C1130"/>
      <x:c r="D1130"/>
      <x:c r="E1130" s="31"/>
      <x:c r="F1130" s="8"/>
      <x:c r="G1130" s="8"/>
      <x:c r="H1130" s="6"/>
      <x:c r="I1130" s="27"/>
      <x:c r="J1130" s="6"/>
      <x:c r="K1130" s="6"/>
      <x:c r="L1130" s="6"/>
      <x:c r="M1130" s="6"/>
      <x:c r="N1130" s="6"/>
      <x:c r="O1130" s="6"/>
      <x:c r="P1130" s="6"/>
      <x:c r="Q1130" s="6"/>
      <x:c r="R1130"/>
      <x:c r="S1130"/>
      <x:c r="T1130"/>
    </x:row>
    <x:row r="1131" spans="1:20" ht="15.75" x14ac:dyDescent="0.25">
      <x:c r="A1131"/>
      <x:c r="B1131"/>
      <x:c r="C1131"/>
      <x:c r="D1131"/>
      <x:c r="E1131" s="31"/>
      <x:c r="F1131" s="8"/>
      <x:c r="G1131" s="8"/>
      <x:c r="H1131" s="6"/>
      <x:c r="I1131" s="27"/>
      <x:c r="J1131" s="6"/>
      <x:c r="K1131" s="6"/>
      <x:c r="L1131" s="6"/>
      <x:c r="M1131" s="6"/>
      <x:c r="N1131" s="6"/>
      <x:c r="O1131" s="6"/>
      <x:c r="P1131" s="6"/>
      <x:c r="Q1131" s="6"/>
      <x:c r="R1131"/>
      <x:c r="S1131"/>
      <x:c r="T1131"/>
    </x:row>
    <x:row r="1132" spans="1:20" ht="15.75" x14ac:dyDescent="0.25">
      <x:c r="A1132"/>
      <x:c r="B1132"/>
      <x:c r="C1132"/>
      <x:c r="D1132"/>
      <x:c r="E1132" s="31"/>
      <x:c r="F1132" s="8"/>
      <x:c r="G1132" s="8"/>
      <x:c r="H1132" s="6"/>
      <x:c r="I1132" s="27"/>
      <x:c r="J1132" s="6"/>
      <x:c r="K1132" s="6"/>
      <x:c r="L1132" s="6"/>
      <x:c r="M1132" s="6"/>
      <x:c r="N1132" s="6"/>
      <x:c r="O1132" s="6"/>
      <x:c r="P1132" s="6"/>
      <x:c r="Q1132" s="6"/>
      <x:c r="R1132"/>
      <x:c r="S1132"/>
      <x:c r="T1132"/>
    </x:row>
    <x:row r="1133" spans="1:20" ht="15.75" x14ac:dyDescent="0.25">
      <x:c r="A1133"/>
      <x:c r="B1133"/>
      <x:c r="C1133"/>
      <x:c r="D1133"/>
      <x:c r="E1133" s="31"/>
      <x:c r="F1133" s="8"/>
      <x:c r="G1133" s="8"/>
      <x:c r="H1133" s="6"/>
      <x:c r="I1133" s="27"/>
      <x:c r="J1133" s="6"/>
      <x:c r="K1133" s="6"/>
      <x:c r="L1133" s="6"/>
      <x:c r="M1133" s="6"/>
      <x:c r="N1133" s="6"/>
      <x:c r="O1133" s="6"/>
      <x:c r="P1133" s="6"/>
      <x:c r="Q1133" s="6"/>
      <x:c r="R1133"/>
      <x:c r="S1133"/>
      <x:c r="T1133"/>
    </x:row>
    <x:row r="1134" spans="1:20" ht="15.75" x14ac:dyDescent="0.25">
      <x:c r="A1134"/>
      <x:c r="B1134"/>
      <x:c r="C1134"/>
      <x:c r="D1134"/>
      <x:c r="E1134" s="31"/>
      <x:c r="F1134" s="8"/>
      <x:c r="G1134" s="8"/>
      <x:c r="H1134" s="6"/>
      <x:c r="I1134" s="27"/>
      <x:c r="J1134" s="6"/>
      <x:c r="K1134" s="6"/>
      <x:c r="L1134" s="6"/>
      <x:c r="M1134" s="6"/>
      <x:c r="N1134" s="6"/>
      <x:c r="O1134" s="6"/>
      <x:c r="P1134" s="6"/>
      <x:c r="Q1134" s="6"/>
      <x:c r="R1134"/>
      <x:c r="S1134"/>
      <x:c r="T1134"/>
    </x:row>
    <x:row r="1135" spans="1:20" ht="15.75" x14ac:dyDescent="0.25">
      <x:c r="A1135"/>
      <x:c r="B1135"/>
      <x:c r="C1135"/>
      <x:c r="D1135"/>
      <x:c r="E1135" s="31"/>
      <x:c r="F1135" s="8"/>
      <x:c r="G1135" s="8"/>
      <x:c r="H1135" s="6"/>
      <x:c r="I1135" s="27"/>
      <x:c r="J1135" s="6"/>
      <x:c r="K1135" s="6"/>
      <x:c r="L1135" s="6"/>
      <x:c r="M1135" s="6"/>
      <x:c r="N1135" s="6"/>
      <x:c r="O1135" s="6"/>
      <x:c r="P1135" s="6"/>
      <x:c r="Q1135" s="6"/>
      <x:c r="R1135"/>
      <x:c r="S1135"/>
      <x:c r="T1135"/>
    </x:row>
    <x:row r="1136" spans="1:20" ht="15.75" x14ac:dyDescent="0.25">
      <x:c r="A1136"/>
      <x:c r="B1136"/>
      <x:c r="C1136"/>
      <x:c r="D1136"/>
      <x:c r="E1136" s="31"/>
      <x:c r="F1136" s="8"/>
      <x:c r="G1136" s="8"/>
      <x:c r="H1136" s="6"/>
      <x:c r="I1136" s="27"/>
      <x:c r="J1136" s="6"/>
      <x:c r="K1136" s="6"/>
      <x:c r="L1136" s="6"/>
      <x:c r="M1136" s="6"/>
      <x:c r="N1136" s="6"/>
      <x:c r="O1136" s="6"/>
      <x:c r="P1136" s="6"/>
      <x:c r="Q1136" s="6"/>
      <x:c r="R1136"/>
      <x:c r="S1136"/>
      <x:c r="T1136"/>
    </x:row>
    <x:row r="1137" spans="1:20" ht="15.75" x14ac:dyDescent="0.25">
      <x:c r="A1137"/>
      <x:c r="B1137"/>
      <x:c r="C1137"/>
      <x:c r="D1137"/>
      <x:c r="E1137" s="31"/>
      <x:c r="F1137" s="8"/>
      <x:c r="G1137" s="8"/>
      <x:c r="H1137" s="6"/>
      <x:c r="I1137" s="27"/>
      <x:c r="J1137" s="6"/>
      <x:c r="K1137" s="6"/>
      <x:c r="L1137" s="6"/>
      <x:c r="M1137" s="6"/>
      <x:c r="N1137" s="6"/>
      <x:c r="O1137" s="6"/>
      <x:c r="P1137" s="6"/>
      <x:c r="Q1137" s="6"/>
      <x:c r="R1137"/>
      <x:c r="S1137"/>
      <x:c r="T1137"/>
    </x:row>
    <x:row r="1138" spans="1:20" ht="15.75" x14ac:dyDescent="0.25">
      <x:c r="A1138"/>
      <x:c r="B1138"/>
      <x:c r="C1138"/>
      <x:c r="D1138"/>
      <x:c r="E1138" s="31"/>
      <x:c r="F1138" s="8"/>
      <x:c r="G1138" s="8"/>
      <x:c r="H1138" s="6"/>
      <x:c r="I1138" s="27"/>
      <x:c r="J1138" s="6"/>
      <x:c r="K1138" s="6"/>
      <x:c r="L1138" s="6"/>
      <x:c r="M1138" s="6"/>
      <x:c r="N1138" s="6"/>
      <x:c r="O1138" s="6"/>
      <x:c r="P1138" s="6"/>
      <x:c r="Q1138" s="6"/>
      <x:c r="R1138"/>
      <x:c r="S1138"/>
      <x:c r="T1138"/>
    </x:row>
    <x:row r="1139" spans="1:20" ht="15.75" x14ac:dyDescent="0.25">
      <x:c r="A1139"/>
      <x:c r="B1139"/>
      <x:c r="C1139"/>
      <x:c r="D1139"/>
      <x:c r="E1139" s="31"/>
      <x:c r="F1139" s="8"/>
      <x:c r="G1139" s="8"/>
      <x:c r="H1139" s="6"/>
      <x:c r="I1139" s="27"/>
      <x:c r="J1139" s="6"/>
      <x:c r="K1139" s="6"/>
      <x:c r="L1139" s="6"/>
      <x:c r="M1139" s="6"/>
      <x:c r="N1139" s="6"/>
      <x:c r="O1139" s="6"/>
      <x:c r="P1139" s="6"/>
      <x:c r="Q1139" s="6"/>
      <x:c r="R1139"/>
      <x:c r="S1139"/>
      <x:c r="T1139"/>
    </x:row>
    <x:row r="1140" spans="1:20" ht="15.75" x14ac:dyDescent="0.25">
      <x:c r="A1140"/>
      <x:c r="B1140"/>
      <x:c r="C1140"/>
      <x:c r="D1140"/>
      <x:c r="E1140" s="31"/>
      <x:c r="F1140" s="8"/>
      <x:c r="G1140" s="8"/>
      <x:c r="H1140" s="6"/>
      <x:c r="I1140" s="27"/>
      <x:c r="J1140" s="6"/>
      <x:c r="K1140" s="6"/>
      <x:c r="L1140" s="6"/>
      <x:c r="M1140" s="6"/>
      <x:c r="N1140" s="6"/>
      <x:c r="O1140" s="6"/>
      <x:c r="P1140" s="6"/>
      <x:c r="Q1140" s="6"/>
      <x:c r="R1140"/>
      <x:c r="S1140"/>
      <x:c r="T1140"/>
    </x:row>
    <x:row r="1141" spans="1:20" ht="15.75" x14ac:dyDescent="0.25">
      <x:c r="A1141"/>
      <x:c r="B1141"/>
      <x:c r="C1141"/>
      <x:c r="D1141"/>
      <x:c r="E1141" s="31"/>
      <x:c r="F1141" s="8"/>
      <x:c r="G1141" s="8"/>
      <x:c r="H1141" s="6"/>
      <x:c r="I1141" s="27"/>
      <x:c r="J1141" s="6"/>
      <x:c r="K1141" s="6"/>
      <x:c r="L1141" s="6"/>
      <x:c r="M1141" s="6"/>
      <x:c r="N1141" s="6"/>
      <x:c r="O1141" s="6"/>
      <x:c r="P1141" s="6"/>
      <x:c r="Q1141" s="6"/>
      <x:c r="R1141"/>
      <x:c r="S1141"/>
      <x:c r="T1141"/>
    </x:row>
    <x:row r="1142" spans="1:20" ht="15.75" x14ac:dyDescent="0.25">
      <x:c r="A1142"/>
      <x:c r="B1142"/>
      <x:c r="C1142"/>
      <x:c r="D1142"/>
      <x:c r="E1142" s="31"/>
      <x:c r="F1142" s="8"/>
      <x:c r="G1142" s="8"/>
      <x:c r="H1142" s="6"/>
      <x:c r="I1142" s="27"/>
      <x:c r="J1142" s="6"/>
      <x:c r="K1142" s="6"/>
      <x:c r="L1142" s="6"/>
      <x:c r="M1142" s="6"/>
      <x:c r="N1142" s="6"/>
      <x:c r="O1142" s="6"/>
      <x:c r="P1142" s="6"/>
      <x:c r="Q1142" s="6"/>
      <x:c r="R1142"/>
      <x:c r="S1142"/>
      <x:c r="T1142"/>
    </x:row>
    <x:row r="1143" spans="1:20" ht="15.75" x14ac:dyDescent="0.25">
      <x:c r="A1143"/>
      <x:c r="B1143"/>
      <x:c r="C1143"/>
      <x:c r="D1143"/>
      <x:c r="E1143" s="31"/>
      <x:c r="F1143" s="8"/>
      <x:c r="G1143" s="8"/>
      <x:c r="H1143" s="6"/>
      <x:c r="I1143" s="27"/>
      <x:c r="J1143" s="6"/>
      <x:c r="K1143" s="6"/>
      <x:c r="L1143" s="6"/>
      <x:c r="M1143" s="6"/>
      <x:c r="N1143" s="6"/>
      <x:c r="O1143" s="6"/>
      <x:c r="P1143" s="6"/>
      <x:c r="Q1143" s="6"/>
      <x:c r="R1143"/>
      <x:c r="S1143"/>
      <x:c r="T1143"/>
    </x:row>
    <x:row r="1144" spans="1:20" ht="15.75" x14ac:dyDescent="0.25">
      <x:c r="A1144"/>
      <x:c r="B1144"/>
      <x:c r="C1144"/>
      <x:c r="D1144"/>
      <x:c r="E1144" s="31"/>
      <x:c r="F1144" s="8"/>
      <x:c r="G1144" s="8"/>
      <x:c r="H1144" s="6"/>
      <x:c r="I1144" s="27"/>
      <x:c r="J1144" s="6"/>
      <x:c r="K1144" s="6"/>
      <x:c r="L1144" s="6"/>
      <x:c r="M1144" s="6"/>
      <x:c r="N1144" s="6"/>
      <x:c r="O1144" s="6"/>
      <x:c r="P1144" s="6"/>
      <x:c r="Q1144" s="6"/>
      <x:c r="R1144"/>
      <x:c r="S1144"/>
      <x:c r="T1144"/>
    </x:row>
    <x:row r="1145" spans="1:20" ht="15.75" x14ac:dyDescent="0.25">
      <x:c r="A1145"/>
      <x:c r="B1145"/>
      <x:c r="C1145"/>
      <x:c r="D1145"/>
      <x:c r="E1145" s="31"/>
      <x:c r="F1145" s="8"/>
      <x:c r="G1145" s="8"/>
      <x:c r="H1145" s="6"/>
      <x:c r="I1145" s="27"/>
      <x:c r="J1145" s="6"/>
      <x:c r="K1145" s="6"/>
      <x:c r="L1145" s="6"/>
      <x:c r="M1145" s="6"/>
      <x:c r="N1145" s="6"/>
      <x:c r="O1145" s="6"/>
      <x:c r="P1145" s="6"/>
      <x:c r="Q1145" s="6"/>
      <x:c r="R1145"/>
      <x:c r="S1145"/>
      <x:c r="T1145"/>
    </x:row>
    <x:row r="1146" spans="1:20" ht="15.75" x14ac:dyDescent="0.25">
      <x:c r="A1146"/>
      <x:c r="B1146"/>
      <x:c r="C1146"/>
      <x:c r="D1146"/>
      <x:c r="E1146" s="31"/>
      <x:c r="F1146" s="8"/>
      <x:c r="G1146" s="8"/>
      <x:c r="H1146" s="6"/>
      <x:c r="I1146" s="27"/>
      <x:c r="J1146" s="6"/>
      <x:c r="K1146" s="6"/>
      <x:c r="L1146" s="6"/>
      <x:c r="M1146" s="6"/>
      <x:c r="N1146" s="6"/>
      <x:c r="O1146" s="6"/>
      <x:c r="P1146" s="6"/>
      <x:c r="Q1146" s="6"/>
      <x:c r="R1146"/>
      <x:c r="S1146"/>
      <x:c r="T1146"/>
    </x:row>
    <x:row r="1147" spans="1:20" ht="15.75" x14ac:dyDescent="0.25">
      <x:c r="A1147"/>
      <x:c r="B1147"/>
      <x:c r="C1147"/>
      <x:c r="D1147"/>
      <x:c r="E1147" s="31"/>
      <x:c r="F1147" s="8"/>
      <x:c r="G1147" s="8"/>
      <x:c r="H1147" s="6"/>
      <x:c r="I1147" s="27"/>
      <x:c r="J1147" s="6"/>
      <x:c r="K1147" s="6"/>
      <x:c r="L1147" s="6"/>
      <x:c r="M1147" s="6"/>
      <x:c r="N1147" s="6"/>
      <x:c r="O1147" s="6"/>
      <x:c r="P1147" s="6"/>
      <x:c r="Q1147" s="6"/>
      <x:c r="R1147"/>
      <x:c r="S1147"/>
      <x:c r="T1147"/>
    </x:row>
    <x:row r="1148" spans="1:20" ht="15.75" x14ac:dyDescent="0.25">
      <x:c r="A1148"/>
      <x:c r="B1148"/>
      <x:c r="C1148"/>
      <x:c r="D1148"/>
      <x:c r="E1148" s="31"/>
      <x:c r="F1148" s="8"/>
      <x:c r="G1148" s="8"/>
      <x:c r="H1148" s="6"/>
      <x:c r="I1148" s="27"/>
      <x:c r="J1148" s="6"/>
      <x:c r="K1148" s="6"/>
      <x:c r="L1148" s="6"/>
      <x:c r="M1148" s="6"/>
      <x:c r="N1148" s="6"/>
      <x:c r="O1148" s="6"/>
      <x:c r="P1148" s="6"/>
      <x:c r="Q1148" s="6"/>
      <x:c r="R1148"/>
      <x:c r="S1148"/>
      <x:c r="T1148"/>
    </x:row>
    <x:row r="1149" spans="1:20" ht="15.75" x14ac:dyDescent="0.25">
      <x:c r="A1149"/>
      <x:c r="B1149"/>
      <x:c r="C1149"/>
      <x:c r="D1149"/>
      <x:c r="E1149" s="31"/>
      <x:c r="F1149" s="8"/>
      <x:c r="G1149" s="8"/>
      <x:c r="H1149" s="6"/>
      <x:c r="I1149" s="27"/>
      <x:c r="J1149" s="6"/>
      <x:c r="K1149" s="6"/>
      <x:c r="L1149" s="6"/>
      <x:c r="M1149" s="6"/>
      <x:c r="N1149" s="6"/>
      <x:c r="O1149" s="6"/>
      <x:c r="P1149" s="6"/>
      <x:c r="Q1149" s="6"/>
      <x:c r="R1149"/>
      <x:c r="S1149"/>
      <x:c r="T1149"/>
    </x:row>
    <x:row r="1150" spans="1:20" ht="15.75" x14ac:dyDescent="0.25">
      <x:c r="A1150"/>
      <x:c r="B1150"/>
      <x:c r="C1150"/>
      <x:c r="D1150"/>
      <x:c r="E1150" s="31"/>
      <x:c r="F1150" s="8"/>
      <x:c r="G1150" s="8"/>
      <x:c r="H1150" s="6"/>
      <x:c r="I1150" s="27"/>
      <x:c r="J1150" s="6"/>
      <x:c r="K1150" s="6"/>
      <x:c r="L1150" s="6"/>
      <x:c r="M1150" s="6"/>
      <x:c r="N1150" s="6"/>
      <x:c r="O1150" s="6"/>
      <x:c r="P1150" s="6"/>
      <x:c r="Q1150" s="6"/>
      <x:c r="R1150"/>
      <x:c r="S1150"/>
      <x:c r="T1150"/>
    </x:row>
    <x:row r="1151" spans="1:20" ht="15.75" x14ac:dyDescent="0.25">
      <x:c r="A1151"/>
      <x:c r="B1151"/>
      <x:c r="C1151"/>
      <x:c r="D1151"/>
      <x:c r="E1151" s="31"/>
      <x:c r="F1151" s="8"/>
      <x:c r="G1151" s="8"/>
      <x:c r="H1151" s="6"/>
      <x:c r="I1151" s="27"/>
      <x:c r="J1151" s="6"/>
      <x:c r="K1151" s="6"/>
      <x:c r="L1151" s="6"/>
      <x:c r="M1151" s="6"/>
      <x:c r="N1151" s="6"/>
      <x:c r="O1151" s="6"/>
      <x:c r="P1151" s="6"/>
      <x:c r="Q1151" s="6"/>
      <x:c r="R1151"/>
      <x:c r="S1151"/>
      <x:c r="T1151"/>
    </x:row>
    <x:row r="1152" spans="1:20" ht="15.75" x14ac:dyDescent="0.25">
      <x:c r="A1152"/>
      <x:c r="B1152"/>
      <x:c r="C1152"/>
      <x:c r="D1152"/>
      <x:c r="E1152" s="31"/>
      <x:c r="F1152" s="8"/>
      <x:c r="G1152" s="8"/>
      <x:c r="H1152" s="6"/>
      <x:c r="I1152" s="27"/>
      <x:c r="J1152" s="6"/>
      <x:c r="K1152" s="6"/>
      <x:c r="L1152" s="6"/>
      <x:c r="M1152" s="6"/>
      <x:c r="N1152" s="6"/>
      <x:c r="O1152" s="6"/>
      <x:c r="P1152" s="6"/>
      <x:c r="Q1152" s="6"/>
      <x:c r="R1152"/>
      <x:c r="S1152"/>
      <x:c r="T1152"/>
    </x:row>
    <x:row r="1153" spans="1:20" ht="15.75" x14ac:dyDescent="0.25">
      <x:c r="A1153"/>
      <x:c r="B1153"/>
      <x:c r="C1153"/>
      <x:c r="D1153"/>
      <x:c r="E1153" s="31"/>
      <x:c r="F1153" s="8"/>
      <x:c r="G1153" s="8"/>
      <x:c r="H1153" s="6"/>
      <x:c r="I1153" s="27"/>
      <x:c r="J1153" s="6"/>
      <x:c r="K1153" s="6"/>
      <x:c r="L1153" s="6"/>
      <x:c r="M1153" s="6"/>
      <x:c r="N1153" s="6"/>
      <x:c r="O1153" s="6"/>
      <x:c r="P1153" s="6"/>
      <x:c r="Q1153" s="6"/>
      <x:c r="R1153"/>
      <x:c r="S1153"/>
      <x:c r="T1153"/>
    </x:row>
    <x:row r="1154" spans="1:20" ht="15.75" x14ac:dyDescent="0.25">
      <x:c r="A1154"/>
      <x:c r="B1154"/>
      <x:c r="C1154"/>
      <x:c r="D1154"/>
      <x:c r="E1154" s="31"/>
      <x:c r="F1154" s="8"/>
      <x:c r="G1154" s="8"/>
      <x:c r="H1154" s="6"/>
      <x:c r="I1154" s="27"/>
      <x:c r="J1154" s="6"/>
      <x:c r="K1154" s="6"/>
      <x:c r="L1154" s="6"/>
      <x:c r="M1154" s="6"/>
      <x:c r="N1154" s="6"/>
      <x:c r="O1154" s="6"/>
      <x:c r="P1154" s="6"/>
      <x:c r="Q1154" s="6"/>
      <x:c r="R1154"/>
      <x:c r="S1154"/>
      <x:c r="T1154"/>
    </x:row>
    <x:row r="1155" spans="1:20" ht="15.75" x14ac:dyDescent="0.25">
      <x:c r="A1155"/>
      <x:c r="B1155"/>
      <x:c r="C1155"/>
      <x:c r="D1155"/>
      <x:c r="E1155" s="31"/>
      <x:c r="F1155" s="8"/>
      <x:c r="G1155" s="8"/>
      <x:c r="H1155" s="6"/>
      <x:c r="I1155" s="27"/>
      <x:c r="J1155" s="6"/>
      <x:c r="K1155" s="6"/>
      <x:c r="L1155" s="6"/>
      <x:c r="M1155" s="6"/>
      <x:c r="N1155" s="6"/>
      <x:c r="O1155" s="6"/>
      <x:c r="P1155" s="6"/>
      <x:c r="Q1155" s="6"/>
      <x:c r="R1155"/>
      <x:c r="S1155"/>
      <x:c r="T1155"/>
    </x:row>
    <x:row r="1156" spans="1:20" ht="15.75" x14ac:dyDescent="0.25">
      <x:c r="A1156"/>
      <x:c r="B1156"/>
      <x:c r="C1156"/>
      <x:c r="D1156"/>
      <x:c r="E1156" s="31"/>
      <x:c r="F1156" s="8"/>
      <x:c r="G1156" s="8"/>
      <x:c r="H1156" s="6"/>
      <x:c r="I1156" s="27"/>
      <x:c r="J1156" s="6"/>
      <x:c r="K1156" s="6"/>
      <x:c r="L1156" s="6"/>
      <x:c r="M1156" s="6"/>
      <x:c r="N1156" s="6"/>
      <x:c r="O1156" s="6"/>
      <x:c r="P1156" s="6"/>
      <x:c r="Q1156" s="6"/>
      <x:c r="R1156"/>
      <x:c r="S1156"/>
      <x:c r="T1156"/>
    </x:row>
    <x:row r="1157" spans="1:20" ht="15.75" x14ac:dyDescent="0.25">
      <x:c r="A1157"/>
      <x:c r="B1157"/>
      <x:c r="C1157"/>
      <x:c r="D1157"/>
      <x:c r="E1157" s="31"/>
      <x:c r="F1157" s="8"/>
      <x:c r="G1157" s="8"/>
      <x:c r="H1157" s="6"/>
      <x:c r="I1157" s="27"/>
      <x:c r="J1157" s="6"/>
      <x:c r="K1157" s="6"/>
      <x:c r="L1157" s="6"/>
      <x:c r="M1157" s="6"/>
      <x:c r="N1157" s="6"/>
      <x:c r="O1157" s="6"/>
      <x:c r="P1157" s="6"/>
      <x:c r="Q1157" s="6"/>
      <x:c r="R1157"/>
      <x:c r="S1157"/>
      <x:c r="T1157"/>
    </x:row>
    <x:row r="1158" spans="1:20" ht="15.75" x14ac:dyDescent="0.25">
      <x:c r="A1158"/>
      <x:c r="B1158"/>
      <x:c r="C1158"/>
      <x:c r="D1158"/>
      <x:c r="E1158" s="31"/>
      <x:c r="F1158" s="8"/>
      <x:c r="G1158" s="8"/>
      <x:c r="H1158" s="6"/>
      <x:c r="I1158" s="27"/>
      <x:c r="J1158" s="6"/>
      <x:c r="K1158" s="6"/>
      <x:c r="L1158" s="6"/>
      <x:c r="M1158" s="6"/>
      <x:c r="N1158" s="6"/>
      <x:c r="O1158" s="6"/>
      <x:c r="P1158" s="6"/>
      <x:c r="Q1158" s="6"/>
      <x:c r="R1158"/>
      <x:c r="S1158"/>
      <x:c r="T1158"/>
    </x:row>
    <x:row r="1159" spans="1:20" ht="15.75" x14ac:dyDescent="0.25">
      <x:c r="A1159"/>
      <x:c r="B1159"/>
      <x:c r="C1159"/>
      <x:c r="D1159"/>
      <x:c r="E1159" s="31"/>
      <x:c r="F1159" s="8"/>
      <x:c r="G1159" s="8"/>
      <x:c r="H1159" s="6"/>
      <x:c r="I1159" s="27"/>
      <x:c r="J1159" s="6"/>
      <x:c r="K1159" s="6"/>
      <x:c r="L1159" s="6"/>
      <x:c r="M1159" s="6"/>
      <x:c r="N1159" s="6"/>
      <x:c r="O1159" s="6"/>
      <x:c r="P1159" s="6"/>
      <x:c r="Q1159" s="6"/>
      <x:c r="R1159"/>
      <x:c r="S1159"/>
      <x:c r="T1159"/>
    </x:row>
    <x:row r="1160" spans="1:20" ht="15.75" x14ac:dyDescent="0.25">
      <x:c r="A1160"/>
      <x:c r="B1160"/>
      <x:c r="C1160"/>
      <x:c r="D1160"/>
      <x:c r="E1160" s="31"/>
      <x:c r="F1160" s="8"/>
      <x:c r="G1160" s="8"/>
      <x:c r="H1160" s="6"/>
      <x:c r="I1160" s="27"/>
      <x:c r="J1160" s="6"/>
      <x:c r="K1160" s="6"/>
      <x:c r="L1160" s="6"/>
      <x:c r="M1160" s="6"/>
      <x:c r="N1160" s="6"/>
      <x:c r="O1160" s="6"/>
      <x:c r="P1160" s="6"/>
      <x:c r="Q1160" s="6"/>
      <x:c r="R1160"/>
      <x:c r="S1160"/>
      <x:c r="T1160"/>
    </x:row>
    <x:row r="1161" spans="1:20" ht="15.75" x14ac:dyDescent="0.25">
      <x:c r="A1161"/>
      <x:c r="B1161"/>
      <x:c r="C1161"/>
      <x:c r="D1161"/>
      <x:c r="E1161" s="31"/>
      <x:c r="F1161" s="8"/>
      <x:c r="G1161" s="8"/>
      <x:c r="H1161" s="6"/>
      <x:c r="I1161" s="27"/>
      <x:c r="J1161" s="6"/>
      <x:c r="K1161" s="6"/>
      <x:c r="L1161" s="6"/>
      <x:c r="M1161" s="6"/>
      <x:c r="N1161" s="6"/>
      <x:c r="O1161" s="6"/>
      <x:c r="P1161" s="6"/>
      <x:c r="Q1161" s="6"/>
      <x:c r="R1161"/>
      <x:c r="S1161"/>
      <x:c r="T1161"/>
    </x:row>
    <x:row r="1162" spans="1:20" ht="15.75" x14ac:dyDescent="0.25">
      <x:c r="A1162"/>
      <x:c r="B1162"/>
      <x:c r="C1162"/>
      <x:c r="D1162"/>
      <x:c r="E1162" s="31"/>
      <x:c r="F1162" s="8"/>
      <x:c r="G1162" s="8"/>
      <x:c r="H1162" s="6"/>
      <x:c r="I1162" s="27"/>
      <x:c r="J1162" s="6"/>
      <x:c r="K1162" s="6"/>
      <x:c r="L1162" s="6"/>
      <x:c r="M1162" s="6"/>
      <x:c r="N1162" s="6"/>
      <x:c r="O1162" s="6"/>
      <x:c r="P1162" s="6"/>
      <x:c r="Q1162" s="6"/>
      <x:c r="R1162"/>
      <x:c r="S1162"/>
      <x:c r="T1162"/>
    </x:row>
    <x:row r="1163" spans="1:20" ht="15.75" x14ac:dyDescent="0.25">
      <x:c r="A1163"/>
      <x:c r="B1163"/>
      <x:c r="C1163"/>
      <x:c r="D1163"/>
      <x:c r="E1163" s="31"/>
      <x:c r="F1163" s="8"/>
      <x:c r="G1163" s="8"/>
      <x:c r="H1163" s="6"/>
      <x:c r="I1163" s="27"/>
      <x:c r="J1163" s="6"/>
      <x:c r="K1163" s="6"/>
      <x:c r="L1163" s="6"/>
      <x:c r="M1163" s="6"/>
      <x:c r="N1163" s="6"/>
      <x:c r="O1163" s="6"/>
      <x:c r="P1163" s="6"/>
      <x:c r="Q1163" s="6"/>
      <x:c r="R1163"/>
      <x:c r="S1163"/>
      <x:c r="T1163"/>
    </x:row>
    <x:row r="1164" spans="1:20" ht="15.75" x14ac:dyDescent="0.25">
      <x:c r="A1164"/>
      <x:c r="B1164"/>
      <x:c r="C1164"/>
      <x:c r="D1164"/>
      <x:c r="E1164" s="31"/>
      <x:c r="F1164" s="8"/>
      <x:c r="G1164" s="8"/>
      <x:c r="H1164" s="6"/>
      <x:c r="I1164" s="27"/>
      <x:c r="J1164" s="6"/>
      <x:c r="K1164" s="6"/>
      <x:c r="L1164" s="6"/>
      <x:c r="M1164" s="6"/>
      <x:c r="N1164" s="6"/>
      <x:c r="O1164" s="6"/>
      <x:c r="P1164" s="6"/>
      <x:c r="Q1164" s="6"/>
      <x:c r="R1164"/>
      <x:c r="S1164"/>
      <x:c r="T1164"/>
    </x:row>
    <x:row r="1165" spans="1:20" ht="15.75" x14ac:dyDescent="0.25">
      <x:c r="A1165"/>
      <x:c r="B1165"/>
      <x:c r="C1165"/>
      <x:c r="D1165"/>
      <x:c r="E1165" s="31"/>
      <x:c r="F1165" s="8"/>
      <x:c r="G1165" s="8"/>
      <x:c r="H1165" s="6"/>
      <x:c r="I1165" s="27"/>
      <x:c r="J1165" s="6"/>
      <x:c r="K1165" s="6"/>
      <x:c r="L1165" s="6"/>
      <x:c r="M1165" s="6"/>
      <x:c r="N1165" s="6"/>
      <x:c r="O1165" s="6"/>
      <x:c r="P1165" s="6"/>
      <x:c r="Q1165" s="6"/>
      <x:c r="R1165"/>
      <x:c r="S1165"/>
      <x:c r="T1165"/>
    </x:row>
    <x:row r="1166" spans="1:20" ht="15.75" x14ac:dyDescent="0.25">
      <x:c r="A1166"/>
      <x:c r="B1166"/>
      <x:c r="C1166"/>
      <x:c r="D1166"/>
      <x:c r="E1166" s="31"/>
      <x:c r="F1166" s="8"/>
      <x:c r="G1166" s="8"/>
      <x:c r="H1166" s="6"/>
      <x:c r="I1166" s="27"/>
      <x:c r="J1166" s="6"/>
      <x:c r="K1166" s="6"/>
      <x:c r="L1166" s="6"/>
      <x:c r="M1166" s="6"/>
      <x:c r="N1166" s="6"/>
      <x:c r="O1166" s="6"/>
      <x:c r="P1166" s="6"/>
      <x:c r="Q1166" s="6"/>
      <x:c r="R1166"/>
      <x:c r="S1166"/>
      <x:c r="T1166"/>
    </x:row>
    <x:row r="1167" spans="1:20" ht="15.75" x14ac:dyDescent="0.25">
      <x:c r="A1167"/>
      <x:c r="B1167"/>
      <x:c r="C1167"/>
      <x:c r="D1167"/>
      <x:c r="E1167" s="31"/>
      <x:c r="F1167" s="8"/>
      <x:c r="G1167" s="8"/>
      <x:c r="H1167" s="6"/>
      <x:c r="I1167" s="27"/>
      <x:c r="J1167" s="6"/>
      <x:c r="K1167" s="6"/>
      <x:c r="L1167" s="6"/>
      <x:c r="M1167" s="6"/>
      <x:c r="N1167" s="6"/>
      <x:c r="O1167" s="6"/>
      <x:c r="P1167" s="6"/>
      <x:c r="Q1167" s="6"/>
      <x:c r="R1167"/>
      <x:c r="S1167"/>
      <x:c r="T1167"/>
    </x:row>
    <x:row r="1168" spans="1:20" ht="15.75" x14ac:dyDescent="0.25">
      <x:c r="A1168"/>
      <x:c r="B1168"/>
      <x:c r="C1168"/>
      <x:c r="D1168"/>
      <x:c r="E1168" s="31"/>
      <x:c r="F1168" s="8"/>
      <x:c r="G1168" s="8"/>
      <x:c r="H1168" s="6"/>
      <x:c r="I1168" s="27"/>
      <x:c r="J1168" s="6"/>
      <x:c r="K1168" s="6"/>
      <x:c r="L1168" s="6"/>
      <x:c r="M1168" s="6"/>
      <x:c r="N1168" s="6"/>
      <x:c r="O1168" s="6"/>
      <x:c r="P1168" s="6"/>
      <x:c r="Q1168" s="6"/>
      <x:c r="R1168"/>
      <x:c r="S1168"/>
      <x:c r="T1168"/>
    </x:row>
    <x:row r="1169" spans="1:20" ht="15.75" x14ac:dyDescent="0.25">
      <x:c r="A1169"/>
      <x:c r="B1169"/>
      <x:c r="C1169"/>
      <x:c r="D1169"/>
      <x:c r="E1169" s="31"/>
      <x:c r="F1169" s="8"/>
      <x:c r="G1169" s="8"/>
      <x:c r="H1169" s="6"/>
      <x:c r="I1169" s="27"/>
      <x:c r="J1169" s="6"/>
      <x:c r="K1169" s="6"/>
      <x:c r="L1169" s="6"/>
      <x:c r="M1169" s="6"/>
      <x:c r="N1169" s="6"/>
      <x:c r="O1169" s="6"/>
      <x:c r="P1169" s="6"/>
      <x:c r="Q1169" s="6"/>
      <x:c r="R1169"/>
      <x:c r="S1169"/>
      <x:c r="T1169"/>
    </x:row>
    <x:row r="1170" spans="1:20" ht="15.75" x14ac:dyDescent="0.25">
      <x:c r="A1170"/>
      <x:c r="B1170"/>
      <x:c r="C1170"/>
      <x:c r="D1170"/>
      <x:c r="E1170" s="31"/>
      <x:c r="F1170" s="8"/>
      <x:c r="G1170" s="8"/>
      <x:c r="H1170" s="6"/>
      <x:c r="I1170" s="27"/>
      <x:c r="J1170" s="6"/>
      <x:c r="K1170" s="6"/>
      <x:c r="L1170" s="6"/>
      <x:c r="M1170" s="6"/>
      <x:c r="N1170" s="6"/>
      <x:c r="O1170" s="6"/>
      <x:c r="P1170" s="6"/>
      <x:c r="Q1170" s="6"/>
      <x:c r="R1170"/>
      <x:c r="S1170"/>
      <x:c r="T1170"/>
    </x:row>
    <x:row r="1171" spans="1:20" ht="15.75" x14ac:dyDescent="0.25">
      <x:c r="A1171"/>
      <x:c r="B1171"/>
      <x:c r="C1171"/>
      <x:c r="D1171"/>
      <x:c r="E1171" s="31"/>
      <x:c r="F1171" s="8"/>
      <x:c r="G1171" s="8"/>
      <x:c r="H1171" s="6"/>
      <x:c r="I1171" s="27"/>
      <x:c r="J1171" s="6"/>
      <x:c r="K1171" s="6"/>
      <x:c r="L1171" s="6"/>
      <x:c r="M1171" s="6"/>
      <x:c r="N1171" s="6"/>
      <x:c r="O1171" s="6"/>
      <x:c r="P1171" s="6"/>
      <x:c r="Q1171" s="6"/>
      <x:c r="R1171"/>
      <x:c r="S1171"/>
      <x:c r="T1171"/>
    </x:row>
    <x:row r="1172" spans="1:20" ht="15.75" x14ac:dyDescent="0.25">
      <x:c r="A1172"/>
      <x:c r="B1172"/>
      <x:c r="C1172"/>
      <x:c r="D1172"/>
      <x:c r="E1172" s="31"/>
      <x:c r="F1172" s="8"/>
      <x:c r="G1172" s="8"/>
      <x:c r="H1172" s="6"/>
      <x:c r="I1172" s="27"/>
      <x:c r="J1172" s="6"/>
      <x:c r="K1172" s="6"/>
      <x:c r="L1172" s="6"/>
      <x:c r="M1172" s="6"/>
      <x:c r="N1172" s="6"/>
      <x:c r="O1172" s="6"/>
      <x:c r="P1172" s="6"/>
      <x:c r="Q1172" s="6"/>
      <x:c r="R1172"/>
      <x:c r="S1172"/>
      <x:c r="T1172"/>
    </x:row>
    <x:row r="1173" spans="1:20" ht="15.75" x14ac:dyDescent="0.25">
      <x:c r="A1173"/>
      <x:c r="B1173"/>
      <x:c r="C1173"/>
      <x:c r="D1173"/>
      <x:c r="E1173" s="31"/>
      <x:c r="F1173" s="8"/>
      <x:c r="G1173" s="8"/>
      <x:c r="H1173" s="6"/>
      <x:c r="I1173" s="27"/>
      <x:c r="J1173" s="6"/>
      <x:c r="K1173" s="6"/>
      <x:c r="L1173" s="6"/>
      <x:c r="M1173" s="6"/>
      <x:c r="N1173" s="6"/>
      <x:c r="O1173" s="6"/>
      <x:c r="P1173" s="6"/>
      <x:c r="Q1173" s="6"/>
      <x:c r="R1173"/>
      <x:c r="S1173"/>
      <x:c r="T1173"/>
    </x:row>
    <x:row r="1174" spans="1:20" ht="15.75" x14ac:dyDescent="0.25">
      <x:c r="A1174"/>
      <x:c r="B1174"/>
      <x:c r="C1174"/>
      <x:c r="D1174"/>
      <x:c r="E1174" s="31"/>
      <x:c r="F1174" s="8"/>
      <x:c r="G1174" s="8"/>
      <x:c r="H1174" s="6"/>
      <x:c r="I1174" s="27"/>
      <x:c r="J1174" s="6"/>
      <x:c r="K1174" s="6"/>
      <x:c r="L1174" s="6"/>
      <x:c r="M1174" s="6"/>
      <x:c r="N1174" s="6"/>
      <x:c r="O1174" s="6"/>
      <x:c r="P1174" s="6"/>
      <x:c r="Q1174" s="6"/>
      <x:c r="R1174"/>
      <x:c r="S1174"/>
      <x:c r="T1174"/>
    </x:row>
    <x:row r="1175" spans="1:20" ht="15.75" x14ac:dyDescent="0.25">
      <x:c r="A1175"/>
      <x:c r="B1175"/>
      <x:c r="C1175"/>
      <x:c r="D1175"/>
      <x:c r="E1175" s="31"/>
      <x:c r="F1175" s="8"/>
      <x:c r="G1175" s="8"/>
      <x:c r="H1175" s="6"/>
      <x:c r="I1175" s="27"/>
      <x:c r="J1175" s="6"/>
      <x:c r="K1175" s="6"/>
      <x:c r="L1175" s="6"/>
      <x:c r="M1175" s="6"/>
      <x:c r="N1175" s="6"/>
      <x:c r="O1175" s="6"/>
      <x:c r="P1175" s="6"/>
      <x:c r="Q1175" s="6"/>
      <x:c r="R1175"/>
      <x:c r="S1175"/>
      <x:c r="T1175"/>
    </x:row>
    <x:row r="1176" spans="1:20" ht="15.75" x14ac:dyDescent="0.25">
      <x:c r="A1176"/>
      <x:c r="B1176"/>
      <x:c r="C1176"/>
      <x:c r="D1176"/>
      <x:c r="E1176" s="31"/>
      <x:c r="F1176" s="8"/>
      <x:c r="G1176" s="8"/>
      <x:c r="H1176" s="6"/>
      <x:c r="I1176" s="27"/>
      <x:c r="J1176" s="6"/>
      <x:c r="K1176" s="6"/>
      <x:c r="L1176" s="6"/>
      <x:c r="M1176" s="6"/>
      <x:c r="N1176" s="6"/>
      <x:c r="O1176" s="6"/>
      <x:c r="P1176" s="6"/>
      <x:c r="Q1176" s="6"/>
      <x:c r="R1176"/>
      <x:c r="S1176"/>
      <x:c r="T1176"/>
    </x:row>
    <x:row r="1177" spans="1:20" ht="15.75" x14ac:dyDescent="0.25">
      <x:c r="A1177"/>
      <x:c r="B1177"/>
      <x:c r="C1177"/>
      <x:c r="D1177"/>
      <x:c r="E1177" s="31"/>
      <x:c r="F1177" s="8"/>
      <x:c r="G1177" s="8"/>
      <x:c r="H1177" s="6"/>
      <x:c r="I1177" s="27"/>
      <x:c r="J1177" s="6"/>
      <x:c r="K1177" s="6"/>
      <x:c r="L1177" s="6"/>
      <x:c r="M1177" s="6"/>
      <x:c r="N1177" s="6"/>
      <x:c r="O1177" s="6"/>
      <x:c r="P1177" s="6"/>
      <x:c r="Q1177" s="6"/>
      <x:c r="R1177"/>
      <x:c r="S1177"/>
      <x:c r="T1177"/>
    </x:row>
    <x:row r="1178" spans="1:20" ht="15.75" x14ac:dyDescent="0.25">
      <x:c r="A1178"/>
      <x:c r="B1178"/>
      <x:c r="C1178"/>
      <x:c r="D1178"/>
      <x:c r="E1178" s="31"/>
      <x:c r="F1178" s="8"/>
      <x:c r="G1178" s="8"/>
      <x:c r="H1178" s="6"/>
      <x:c r="I1178" s="27"/>
      <x:c r="J1178" s="6"/>
      <x:c r="K1178" s="6"/>
      <x:c r="L1178" s="6"/>
      <x:c r="M1178" s="6"/>
      <x:c r="N1178" s="6"/>
      <x:c r="O1178" s="6"/>
      <x:c r="P1178" s="6"/>
      <x:c r="Q1178" s="6"/>
      <x:c r="R1178"/>
      <x:c r="S1178"/>
      <x:c r="T1178"/>
    </x:row>
    <x:row r="1179" spans="1:20" ht="15.75" x14ac:dyDescent="0.25">
      <x:c r="A1179"/>
      <x:c r="B1179"/>
      <x:c r="C1179"/>
      <x:c r="D1179"/>
      <x:c r="E1179" s="31"/>
      <x:c r="F1179" s="8"/>
      <x:c r="G1179" s="8"/>
      <x:c r="H1179" s="6"/>
      <x:c r="I1179" s="27"/>
      <x:c r="J1179" s="6"/>
      <x:c r="K1179" s="6"/>
      <x:c r="L1179" s="6"/>
      <x:c r="M1179" s="6"/>
      <x:c r="N1179" s="6"/>
      <x:c r="O1179" s="6"/>
      <x:c r="P1179" s="6"/>
      <x:c r="Q1179" s="6"/>
      <x:c r="R1179"/>
      <x:c r="S1179"/>
      <x:c r="T1179"/>
    </x:row>
    <x:row r="1180" spans="1:20" ht="15.75" x14ac:dyDescent="0.25">
      <x:c r="A1180"/>
      <x:c r="B1180"/>
      <x:c r="C1180"/>
      <x:c r="D1180"/>
      <x:c r="E1180" s="31"/>
      <x:c r="F1180" s="8"/>
      <x:c r="G1180" s="8"/>
      <x:c r="H1180" s="6"/>
      <x:c r="I1180" s="27"/>
      <x:c r="J1180" s="6"/>
      <x:c r="K1180" s="6"/>
      <x:c r="L1180" s="6"/>
      <x:c r="M1180" s="6"/>
      <x:c r="N1180" s="6"/>
      <x:c r="O1180" s="6"/>
      <x:c r="P1180" s="6"/>
      <x:c r="Q1180" s="6"/>
      <x:c r="R1180"/>
      <x:c r="S1180"/>
      <x:c r="T1180"/>
    </x:row>
    <x:row r="1181" spans="1:20" ht="15.75" x14ac:dyDescent="0.25">
      <x:c r="A1181"/>
      <x:c r="B1181"/>
      <x:c r="C1181"/>
      <x:c r="D1181"/>
      <x:c r="E1181" s="31"/>
      <x:c r="F1181" s="8"/>
      <x:c r="G1181" s="8"/>
      <x:c r="H1181" s="6"/>
      <x:c r="I1181" s="27"/>
      <x:c r="J1181" s="6"/>
      <x:c r="K1181" s="6"/>
      <x:c r="L1181" s="6"/>
      <x:c r="M1181" s="6"/>
      <x:c r="N1181" s="6"/>
      <x:c r="O1181" s="6"/>
      <x:c r="P1181" s="6"/>
      <x:c r="Q1181" s="6"/>
      <x:c r="R1181"/>
      <x:c r="S1181"/>
      <x:c r="T1181"/>
    </x:row>
    <x:row r="1182" spans="1:20" ht="15.75" x14ac:dyDescent="0.25">
      <x:c r="A1182"/>
      <x:c r="B1182"/>
      <x:c r="C1182"/>
      <x:c r="D1182"/>
      <x:c r="E1182" s="31"/>
      <x:c r="F1182" s="8"/>
      <x:c r="G1182" s="8"/>
      <x:c r="H1182" s="6"/>
      <x:c r="I1182" s="27"/>
      <x:c r="J1182" s="6"/>
      <x:c r="K1182" s="6"/>
      <x:c r="L1182" s="6"/>
      <x:c r="M1182" s="6"/>
      <x:c r="N1182" s="6"/>
      <x:c r="O1182" s="6"/>
      <x:c r="P1182" s="6"/>
      <x:c r="Q1182" s="6"/>
      <x:c r="R1182"/>
      <x:c r="S1182"/>
      <x:c r="T1182"/>
    </x:row>
    <x:row r="1183" spans="1:20" ht="15.75" x14ac:dyDescent="0.25">
      <x:c r="A1183"/>
      <x:c r="B1183"/>
      <x:c r="C1183"/>
      <x:c r="D1183"/>
      <x:c r="E1183" s="31"/>
      <x:c r="F1183" s="8"/>
      <x:c r="G1183" s="8"/>
      <x:c r="H1183" s="6"/>
      <x:c r="I1183" s="27"/>
      <x:c r="J1183" s="6"/>
      <x:c r="K1183" s="6"/>
      <x:c r="L1183" s="6"/>
      <x:c r="M1183" s="6"/>
      <x:c r="N1183" s="6"/>
      <x:c r="O1183" s="6"/>
      <x:c r="P1183" s="6"/>
      <x:c r="Q1183" s="6"/>
      <x:c r="R1183"/>
      <x:c r="S1183"/>
      <x:c r="T1183"/>
    </x:row>
    <x:row r="1184" spans="1:20" ht="15.75" x14ac:dyDescent="0.25">
      <x:c r="A1184"/>
      <x:c r="B1184"/>
      <x:c r="C1184"/>
      <x:c r="D1184"/>
      <x:c r="E1184" s="31"/>
      <x:c r="F1184" s="8"/>
      <x:c r="G1184" s="8"/>
      <x:c r="H1184" s="6"/>
      <x:c r="I1184" s="27"/>
      <x:c r="J1184" s="6"/>
      <x:c r="K1184" s="6"/>
      <x:c r="L1184" s="6"/>
      <x:c r="M1184" s="6"/>
      <x:c r="N1184" s="6"/>
      <x:c r="O1184" s="6"/>
      <x:c r="P1184" s="6"/>
      <x:c r="Q1184" s="6"/>
      <x:c r="R1184"/>
      <x:c r="S1184"/>
      <x:c r="T1184"/>
    </x:row>
    <x:row r="1185" spans="1:20" ht="15.75" x14ac:dyDescent="0.25">
      <x:c r="A1185"/>
      <x:c r="B1185"/>
      <x:c r="C1185"/>
      <x:c r="D1185"/>
      <x:c r="E1185" s="31"/>
      <x:c r="F1185" s="8"/>
      <x:c r="G1185" s="8"/>
      <x:c r="H1185" s="6"/>
      <x:c r="I1185" s="27"/>
      <x:c r="J1185" s="6"/>
      <x:c r="K1185" s="6"/>
      <x:c r="L1185" s="6"/>
      <x:c r="M1185" s="6"/>
      <x:c r="N1185" s="6"/>
      <x:c r="O1185" s="6"/>
      <x:c r="P1185" s="6"/>
      <x:c r="Q1185" s="6"/>
      <x:c r="R1185"/>
      <x:c r="S1185"/>
      <x:c r="T1185"/>
    </x:row>
    <x:row r="1186" spans="1:20" ht="15.75" x14ac:dyDescent="0.25">
      <x:c r="A1186"/>
      <x:c r="B1186"/>
      <x:c r="C1186"/>
      <x:c r="D1186"/>
      <x:c r="E1186" s="31"/>
      <x:c r="F1186" s="8"/>
      <x:c r="G1186" s="8"/>
      <x:c r="H1186" s="6"/>
      <x:c r="I1186" s="27"/>
      <x:c r="J1186" s="6"/>
      <x:c r="K1186" s="6"/>
      <x:c r="L1186" s="6"/>
      <x:c r="M1186" s="6"/>
      <x:c r="N1186" s="6"/>
      <x:c r="O1186" s="6"/>
      <x:c r="P1186" s="6"/>
      <x:c r="Q1186" s="6"/>
      <x:c r="R1186"/>
      <x:c r="S1186"/>
      <x:c r="T1186"/>
    </x:row>
    <x:row r="1187" spans="1:20" ht="15.75" x14ac:dyDescent="0.25">
      <x:c r="A1187"/>
      <x:c r="B1187"/>
      <x:c r="C1187"/>
      <x:c r="D1187"/>
      <x:c r="E1187" s="31"/>
      <x:c r="F1187" s="8"/>
      <x:c r="G1187" s="8"/>
      <x:c r="H1187" s="6"/>
      <x:c r="I1187" s="27"/>
      <x:c r="J1187" s="6"/>
      <x:c r="K1187" s="6"/>
      <x:c r="L1187" s="6"/>
      <x:c r="M1187" s="6"/>
      <x:c r="N1187" s="6"/>
      <x:c r="O1187" s="6"/>
      <x:c r="P1187" s="6"/>
      <x:c r="Q1187" s="6"/>
      <x:c r="R1187"/>
      <x:c r="S1187"/>
      <x:c r="T1187"/>
    </x:row>
    <x:row r="1188" spans="1:20" ht="15.75" x14ac:dyDescent="0.25">
      <x:c r="A1188"/>
      <x:c r="B1188"/>
      <x:c r="C1188"/>
      <x:c r="D1188"/>
      <x:c r="E1188" s="31"/>
      <x:c r="F1188" s="8"/>
      <x:c r="G1188" s="8"/>
      <x:c r="H1188" s="6"/>
      <x:c r="I1188" s="27"/>
      <x:c r="J1188" s="6"/>
      <x:c r="K1188" s="6"/>
      <x:c r="L1188" s="6"/>
      <x:c r="M1188" s="6"/>
      <x:c r="N1188" s="6"/>
      <x:c r="O1188" s="6"/>
      <x:c r="P1188" s="6"/>
      <x:c r="Q1188" s="6"/>
      <x:c r="R1188"/>
      <x:c r="S1188"/>
      <x:c r="T1188"/>
    </x:row>
    <x:row r="1189" spans="1:20" ht="15.75" x14ac:dyDescent="0.25">
      <x:c r="A1189"/>
      <x:c r="B1189"/>
      <x:c r="C1189"/>
      <x:c r="D1189"/>
      <x:c r="E1189" s="31"/>
      <x:c r="F1189" s="8"/>
      <x:c r="G1189" s="8"/>
      <x:c r="H1189" s="6"/>
      <x:c r="I1189" s="27"/>
      <x:c r="J1189" s="6"/>
      <x:c r="K1189" s="6"/>
      <x:c r="L1189" s="6"/>
      <x:c r="M1189" s="6"/>
      <x:c r="N1189" s="6"/>
      <x:c r="O1189" s="6"/>
      <x:c r="P1189" s="6"/>
      <x:c r="Q1189" s="6"/>
      <x:c r="R1189"/>
      <x:c r="S1189"/>
      <x:c r="T1189"/>
    </x:row>
    <x:row r="1190" spans="1:20" ht="15.75" x14ac:dyDescent="0.25">
      <x:c r="A1190"/>
      <x:c r="B1190"/>
      <x:c r="C1190"/>
      <x:c r="D1190"/>
      <x:c r="E1190" s="31"/>
      <x:c r="F1190" s="8"/>
      <x:c r="G1190" s="8"/>
      <x:c r="H1190" s="6"/>
      <x:c r="I1190" s="27"/>
      <x:c r="J1190" s="6"/>
      <x:c r="K1190" s="6"/>
      <x:c r="L1190" s="6"/>
      <x:c r="M1190" s="6"/>
      <x:c r="N1190" s="6"/>
      <x:c r="O1190" s="6"/>
      <x:c r="P1190" s="6"/>
      <x:c r="Q1190" s="6"/>
      <x:c r="R1190"/>
      <x:c r="S1190"/>
      <x:c r="T1190"/>
    </x:row>
    <x:row r="1191" spans="1:20" ht="15.75" x14ac:dyDescent="0.25">
      <x:c r="A1191"/>
      <x:c r="B1191"/>
      <x:c r="C1191"/>
      <x:c r="D1191"/>
      <x:c r="E1191" s="31"/>
      <x:c r="F1191" s="8"/>
      <x:c r="G1191" s="8"/>
      <x:c r="H1191" s="6"/>
      <x:c r="I1191" s="27"/>
      <x:c r="J1191" s="6"/>
      <x:c r="K1191" s="6"/>
      <x:c r="L1191" s="6"/>
      <x:c r="M1191" s="6"/>
      <x:c r="N1191" s="6"/>
      <x:c r="O1191" s="6"/>
      <x:c r="P1191" s="6"/>
      <x:c r="Q1191" s="6"/>
      <x:c r="R1191"/>
      <x:c r="S1191"/>
      <x:c r="T1191"/>
    </x:row>
    <x:row r="1192" spans="1:20" ht="15.75" x14ac:dyDescent="0.25">
      <x:c r="A1192"/>
      <x:c r="B1192"/>
      <x:c r="C1192"/>
      <x:c r="D1192"/>
      <x:c r="E1192" s="31"/>
      <x:c r="F1192" s="8"/>
      <x:c r="G1192" s="8"/>
      <x:c r="H1192" s="6"/>
      <x:c r="I1192" s="27"/>
      <x:c r="J1192" s="6"/>
      <x:c r="K1192" s="6"/>
      <x:c r="L1192" s="6"/>
      <x:c r="M1192" s="6"/>
      <x:c r="N1192" s="6"/>
      <x:c r="O1192" s="6"/>
      <x:c r="P1192" s="6"/>
      <x:c r="Q1192" s="6"/>
      <x:c r="R1192"/>
      <x:c r="S1192"/>
      <x:c r="T1192"/>
    </x:row>
    <x:row r="1193" spans="1:20" ht="15.75" x14ac:dyDescent="0.25">
      <x:c r="A1193"/>
      <x:c r="B1193"/>
      <x:c r="C1193"/>
      <x:c r="D1193"/>
      <x:c r="E1193" s="31"/>
      <x:c r="F1193" s="8"/>
      <x:c r="G1193" s="8"/>
      <x:c r="H1193" s="6"/>
      <x:c r="I1193" s="27"/>
      <x:c r="J1193" s="6"/>
      <x:c r="K1193" s="6"/>
      <x:c r="L1193" s="6"/>
      <x:c r="M1193" s="6"/>
      <x:c r="N1193" s="6"/>
      <x:c r="O1193" s="6"/>
      <x:c r="P1193" s="6"/>
      <x:c r="Q1193" s="6"/>
      <x:c r="R1193"/>
      <x:c r="S1193"/>
      <x:c r="T1193"/>
    </x:row>
    <x:row r="1194" spans="1:20" ht="15.75" x14ac:dyDescent="0.25">
      <x:c r="A1194"/>
      <x:c r="B1194"/>
      <x:c r="C1194"/>
      <x:c r="D1194"/>
      <x:c r="E1194" s="31"/>
      <x:c r="F1194" s="8"/>
      <x:c r="G1194" s="8"/>
      <x:c r="H1194" s="6"/>
      <x:c r="I1194" s="27"/>
      <x:c r="J1194" s="6"/>
      <x:c r="K1194" s="6"/>
      <x:c r="L1194" s="6"/>
      <x:c r="M1194" s="6"/>
      <x:c r="N1194" s="6"/>
      <x:c r="O1194" s="6"/>
      <x:c r="P1194" s="6"/>
      <x:c r="Q1194" s="6"/>
      <x:c r="R1194"/>
      <x:c r="S1194"/>
      <x:c r="T1194"/>
    </x:row>
    <x:row r="1195" spans="1:20" ht="15.75" x14ac:dyDescent="0.25">
      <x:c r="A1195"/>
      <x:c r="B1195"/>
      <x:c r="C1195"/>
      <x:c r="D1195"/>
      <x:c r="E1195" s="31"/>
      <x:c r="F1195" s="8"/>
      <x:c r="G1195" s="8"/>
      <x:c r="H1195" s="6"/>
      <x:c r="I1195" s="27"/>
      <x:c r="J1195" s="6"/>
      <x:c r="K1195" s="6"/>
      <x:c r="L1195" s="6"/>
      <x:c r="M1195" s="6"/>
      <x:c r="N1195" s="6"/>
      <x:c r="O1195" s="6"/>
      <x:c r="P1195" s="6"/>
      <x:c r="Q1195" s="6"/>
      <x:c r="R1195"/>
      <x:c r="S1195"/>
      <x:c r="T1195"/>
    </x:row>
    <x:row r="1196" spans="1:20" ht="15.75" x14ac:dyDescent="0.25">
      <x:c r="A1196"/>
      <x:c r="B1196"/>
      <x:c r="C1196"/>
      <x:c r="D1196"/>
      <x:c r="E1196" s="31"/>
      <x:c r="F1196" s="8"/>
      <x:c r="G1196" s="8"/>
      <x:c r="H1196" s="6"/>
      <x:c r="I1196" s="27"/>
      <x:c r="J1196" s="6"/>
      <x:c r="K1196" s="6"/>
      <x:c r="L1196" s="6"/>
      <x:c r="M1196" s="6"/>
      <x:c r="N1196" s="6"/>
      <x:c r="O1196" s="6"/>
      <x:c r="P1196" s="6"/>
      <x:c r="Q1196" s="6"/>
      <x:c r="R1196"/>
      <x:c r="S1196"/>
      <x:c r="T1196"/>
    </x:row>
    <x:row r="1197" spans="1:20" ht="15.75" x14ac:dyDescent="0.25">
      <x:c r="A1197"/>
      <x:c r="B1197"/>
      <x:c r="C1197"/>
      <x:c r="D1197"/>
      <x:c r="E1197" s="31"/>
      <x:c r="F1197" s="8"/>
      <x:c r="G1197" s="8"/>
      <x:c r="H1197" s="6"/>
      <x:c r="I1197" s="27"/>
      <x:c r="J1197" s="6"/>
      <x:c r="K1197" s="6"/>
      <x:c r="L1197" s="6"/>
      <x:c r="M1197" s="6"/>
      <x:c r="N1197" s="6"/>
      <x:c r="O1197" s="6"/>
      <x:c r="P1197" s="6"/>
      <x:c r="Q1197" s="6"/>
      <x:c r="R1197"/>
      <x:c r="S1197"/>
      <x:c r="T1197"/>
    </x:row>
    <x:row r="1198" spans="1:20" ht="15.75" x14ac:dyDescent="0.25">
      <x:c r="A1198"/>
      <x:c r="B1198"/>
      <x:c r="C1198"/>
      <x:c r="D1198"/>
      <x:c r="E1198" s="31"/>
      <x:c r="F1198" s="8"/>
      <x:c r="G1198" s="8"/>
      <x:c r="H1198" s="6"/>
      <x:c r="I1198" s="27"/>
      <x:c r="J1198" s="6"/>
      <x:c r="K1198" s="6"/>
      <x:c r="L1198" s="6"/>
      <x:c r="M1198" s="6"/>
      <x:c r="N1198" s="6"/>
      <x:c r="O1198" s="6"/>
      <x:c r="P1198" s="6"/>
      <x:c r="Q1198" s="6"/>
      <x:c r="R1198"/>
      <x:c r="S1198"/>
      <x:c r="T1198"/>
    </x:row>
    <x:row r="1199" spans="1:20" ht="15.75" x14ac:dyDescent="0.25">
      <x:c r="A1199"/>
      <x:c r="B1199"/>
      <x:c r="C1199"/>
      <x:c r="D1199"/>
      <x:c r="E1199" s="31"/>
      <x:c r="F1199" s="8"/>
      <x:c r="G1199" s="8"/>
      <x:c r="H1199" s="6"/>
      <x:c r="I1199" s="27"/>
      <x:c r="J1199" s="6"/>
      <x:c r="K1199" s="6"/>
      <x:c r="L1199" s="6"/>
      <x:c r="M1199" s="6"/>
      <x:c r="N1199" s="6"/>
      <x:c r="O1199" s="6"/>
      <x:c r="P1199" s="6"/>
      <x:c r="Q1199" s="6"/>
      <x:c r="R1199"/>
      <x:c r="S1199"/>
      <x:c r="T1199"/>
    </x:row>
    <x:row r="1200" spans="1:20" ht="15.75" x14ac:dyDescent="0.25">
      <x:c r="A1200"/>
      <x:c r="B1200"/>
      <x:c r="C1200"/>
      <x:c r="D1200"/>
      <x:c r="E1200" s="31"/>
      <x:c r="F1200" s="8"/>
      <x:c r="G1200" s="8"/>
      <x:c r="H1200" s="6"/>
      <x:c r="I1200" s="27"/>
      <x:c r="J1200" s="6"/>
      <x:c r="K1200" s="6"/>
      <x:c r="L1200" s="6"/>
      <x:c r="M1200" s="6"/>
      <x:c r="N1200" s="6"/>
      <x:c r="O1200" s="6"/>
      <x:c r="P1200" s="6"/>
      <x:c r="Q1200" s="6"/>
      <x:c r="R1200"/>
      <x:c r="S1200"/>
      <x:c r="T1200"/>
    </x:row>
    <x:row r="1201" spans="1:20" ht="15.75" x14ac:dyDescent="0.25">
      <x:c r="A1201"/>
      <x:c r="B1201"/>
      <x:c r="C1201"/>
      <x:c r="D1201"/>
      <x:c r="E1201" s="31"/>
      <x:c r="F1201" s="8"/>
      <x:c r="G1201" s="8"/>
      <x:c r="H1201" s="6"/>
      <x:c r="I1201" s="27"/>
      <x:c r="J1201" s="6"/>
      <x:c r="K1201" s="6"/>
      <x:c r="L1201" s="6"/>
      <x:c r="M1201" s="6"/>
      <x:c r="N1201" s="6"/>
      <x:c r="O1201" s="6"/>
      <x:c r="P1201" s="6"/>
      <x:c r="Q1201" s="6"/>
      <x:c r="R1201"/>
      <x:c r="S1201"/>
      <x:c r="T1201"/>
    </x:row>
    <x:row r="1202" spans="1:20" ht="15.75" x14ac:dyDescent="0.25">
      <x:c r="A1202"/>
      <x:c r="B1202"/>
      <x:c r="C1202"/>
      <x:c r="D1202"/>
      <x:c r="E1202" s="31"/>
      <x:c r="F1202" s="8"/>
      <x:c r="G1202" s="8"/>
      <x:c r="H1202" s="6"/>
      <x:c r="I1202" s="27"/>
      <x:c r="J1202" s="6"/>
      <x:c r="K1202" s="6"/>
      <x:c r="L1202" s="6"/>
      <x:c r="M1202" s="6"/>
      <x:c r="N1202" s="6"/>
      <x:c r="O1202" s="6"/>
      <x:c r="P1202" s="6"/>
      <x:c r="Q1202" s="6"/>
      <x:c r="R1202"/>
      <x:c r="S1202"/>
      <x:c r="T1202"/>
    </x:row>
    <x:row r="1203" spans="1:20" ht="15.75" x14ac:dyDescent="0.25">
      <x:c r="A1203"/>
      <x:c r="B1203"/>
      <x:c r="C1203"/>
      <x:c r="D1203"/>
      <x:c r="E1203" s="31"/>
      <x:c r="F1203" s="8"/>
      <x:c r="G1203" s="8"/>
      <x:c r="H1203" s="6"/>
      <x:c r="I1203" s="27"/>
      <x:c r="J1203" s="6"/>
      <x:c r="K1203" s="6"/>
      <x:c r="L1203" s="6"/>
      <x:c r="M1203" s="6"/>
      <x:c r="N1203" s="6"/>
      <x:c r="O1203" s="6"/>
      <x:c r="P1203" s="6"/>
      <x:c r="Q1203" s="6"/>
      <x:c r="R1203"/>
      <x:c r="S1203"/>
      <x:c r="T1203"/>
    </x:row>
    <x:row r="1204" spans="1:20" ht="15.75" x14ac:dyDescent="0.25">
      <x:c r="A1204"/>
      <x:c r="B1204"/>
      <x:c r="C1204"/>
      <x:c r="D1204"/>
      <x:c r="E1204" s="31"/>
      <x:c r="F1204" s="8"/>
      <x:c r="G1204" s="8"/>
      <x:c r="H1204" s="6"/>
      <x:c r="I1204" s="27"/>
      <x:c r="J1204" s="6"/>
      <x:c r="K1204" s="6"/>
      <x:c r="L1204" s="6"/>
      <x:c r="M1204" s="6"/>
      <x:c r="N1204" s="6"/>
      <x:c r="O1204" s="6"/>
      <x:c r="P1204" s="6"/>
      <x:c r="Q1204" s="6"/>
      <x:c r="R1204"/>
      <x:c r="S1204"/>
      <x:c r="T1204"/>
    </x:row>
    <x:row r="1205" spans="1:20" ht="15.75" x14ac:dyDescent="0.25">
      <x:c r="A1205"/>
      <x:c r="B1205"/>
      <x:c r="C1205"/>
      <x:c r="D1205"/>
      <x:c r="E1205" s="31"/>
      <x:c r="F1205" s="8"/>
      <x:c r="G1205" s="8"/>
      <x:c r="H1205" s="6"/>
      <x:c r="I1205" s="27"/>
      <x:c r="J1205" s="6"/>
      <x:c r="K1205" s="6"/>
      <x:c r="L1205" s="6"/>
      <x:c r="M1205" s="6"/>
      <x:c r="N1205" s="6"/>
      <x:c r="O1205" s="6"/>
      <x:c r="P1205" s="6"/>
      <x:c r="Q1205" s="6"/>
      <x:c r="R1205"/>
      <x:c r="S1205"/>
      <x:c r="T1205"/>
    </x:row>
    <x:row r="1206" spans="1:20" ht="15.75" x14ac:dyDescent="0.25">
      <x:c r="A1206"/>
      <x:c r="B1206"/>
      <x:c r="C1206"/>
      <x:c r="D1206"/>
      <x:c r="E1206" s="31"/>
      <x:c r="F1206" s="8"/>
      <x:c r="G1206" s="8"/>
      <x:c r="H1206" s="6"/>
      <x:c r="I1206" s="27"/>
      <x:c r="J1206" s="6"/>
      <x:c r="K1206" s="6"/>
      <x:c r="L1206" s="6"/>
      <x:c r="M1206" s="6"/>
      <x:c r="N1206" s="6"/>
      <x:c r="O1206" s="6"/>
      <x:c r="P1206" s="6"/>
      <x:c r="Q1206" s="6"/>
      <x:c r="R1206"/>
      <x:c r="S1206"/>
      <x:c r="T1206"/>
    </x:row>
    <x:row r="1207" spans="1:20" ht="15.75" x14ac:dyDescent="0.25">
      <x:c r="A1207"/>
      <x:c r="B1207"/>
      <x:c r="C1207"/>
      <x:c r="D1207"/>
      <x:c r="E1207" s="31"/>
      <x:c r="F1207" s="8"/>
      <x:c r="G1207" s="8"/>
      <x:c r="H1207" s="6"/>
      <x:c r="I1207" s="27"/>
      <x:c r="J1207" s="6"/>
      <x:c r="K1207" s="6"/>
      <x:c r="L1207" s="6"/>
      <x:c r="M1207" s="6"/>
      <x:c r="N1207" s="6"/>
      <x:c r="O1207" s="6"/>
      <x:c r="P1207" s="6"/>
      <x:c r="Q1207" s="6"/>
      <x:c r="R1207"/>
      <x:c r="S1207"/>
      <x:c r="T1207"/>
    </x:row>
    <x:row r="1208" spans="1:20" ht="15.75" x14ac:dyDescent="0.25">
      <x:c r="A1208"/>
      <x:c r="B1208"/>
      <x:c r="C1208"/>
      <x:c r="D1208"/>
      <x:c r="E1208" s="31"/>
      <x:c r="F1208" s="8"/>
      <x:c r="G1208" s="8"/>
      <x:c r="H1208" s="6"/>
      <x:c r="I1208" s="27"/>
      <x:c r="J1208" s="6"/>
      <x:c r="K1208" s="6"/>
      <x:c r="L1208" s="6"/>
      <x:c r="M1208" s="6"/>
      <x:c r="N1208" s="6"/>
      <x:c r="O1208" s="6"/>
      <x:c r="P1208" s="6"/>
      <x:c r="Q1208" s="6"/>
      <x:c r="R1208"/>
      <x:c r="S1208"/>
      <x:c r="T1208"/>
    </x:row>
    <x:row r="1209" spans="1:20" ht="15.75" x14ac:dyDescent="0.25">
      <x:c r="A1209"/>
      <x:c r="B1209"/>
      <x:c r="C1209"/>
      <x:c r="D1209"/>
      <x:c r="E1209" s="31"/>
      <x:c r="F1209" s="8"/>
      <x:c r="G1209" s="8"/>
      <x:c r="H1209" s="6"/>
      <x:c r="I1209" s="27"/>
      <x:c r="J1209" s="6"/>
      <x:c r="K1209" s="6"/>
      <x:c r="L1209" s="6"/>
      <x:c r="M1209" s="6"/>
      <x:c r="N1209" s="6"/>
      <x:c r="O1209" s="6"/>
      <x:c r="P1209" s="6"/>
      <x:c r="Q1209" s="6"/>
      <x:c r="R1209"/>
      <x:c r="S1209"/>
      <x:c r="T1209"/>
    </x:row>
    <x:row r="1210" spans="1:20" ht="15.75" x14ac:dyDescent="0.25">
      <x:c r="A1210"/>
      <x:c r="B1210"/>
      <x:c r="C1210"/>
      <x:c r="D1210"/>
      <x:c r="E1210" s="31"/>
      <x:c r="F1210" s="8"/>
      <x:c r="G1210" s="8"/>
      <x:c r="H1210" s="6"/>
      <x:c r="I1210" s="27"/>
      <x:c r="J1210" s="6"/>
      <x:c r="K1210" s="6"/>
      <x:c r="L1210" s="6"/>
      <x:c r="M1210" s="6"/>
      <x:c r="N1210" s="6"/>
      <x:c r="O1210" s="6"/>
      <x:c r="P1210" s="6"/>
      <x:c r="Q1210" s="6"/>
      <x:c r="R1210"/>
      <x:c r="S1210"/>
      <x:c r="T1210"/>
    </x:row>
    <x:row r="1211" spans="1:20" ht="15.75" x14ac:dyDescent="0.25">
      <x:c r="A1211"/>
      <x:c r="B1211"/>
      <x:c r="C1211"/>
      <x:c r="D1211"/>
      <x:c r="E1211" s="31"/>
      <x:c r="F1211" s="8"/>
      <x:c r="G1211" s="8"/>
      <x:c r="H1211" s="6"/>
      <x:c r="I1211" s="27"/>
      <x:c r="J1211" s="6"/>
      <x:c r="K1211" s="6"/>
      <x:c r="L1211" s="6"/>
      <x:c r="M1211" s="6"/>
      <x:c r="N1211" s="6"/>
      <x:c r="O1211" s="6"/>
      <x:c r="P1211" s="6"/>
      <x:c r="Q1211" s="6"/>
      <x:c r="R1211"/>
      <x:c r="S1211"/>
      <x:c r="T1211"/>
    </x:row>
    <x:row r="1212" spans="1:20" ht="15.75" x14ac:dyDescent="0.25">
      <x:c r="A1212"/>
      <x:c r="B1212"/>
      <x:c r="C1212"/>
      <x:c r="D1212"/>
      <x:c r="E1212" s="31"/>
      <x:c r="F1212" s="8"/>
      <x:c r="G1212" s="8"/>
      <x:c r="H1212" s="6"/>
      <x:c r="I1212" s="27"/>
      <x:c r="J1212" s="6"/>
      <x:c r="K1212" s="6"/>
      <x:c r="L1212" s="6"/>
      <x:c r="M1212" s="6"/>
      <x:c r="N1212" s="6"/>
      <x:c r="O1212" s="6"/>
      <x:c r="P1212" s="6"/>
      <x:c r="Q1212" s="6"/>
      <x:c r="R1212"/>
      <x:c r="S1212"/>
      <x:c r="T1212"/>
    </x:row>
    <x:row r="1213" spans="1:20" ht="15.75" x14ac:dyDescent="0.25">
      <x:c r="A1213"/>
      <x:c r="B1213"/>
      <x:c r="C1213"/>
      <x:c r="D1213"/>
      <x:c r="E1213" s="31"/>
      <x:c r="F1213" s="8"/>
      <x:c r="G1213" s="8"/>
      <x:c r="H1213" s="6"/>
      <x:c r="I1213" s="27"/>
      <x:c r="J1213" s="6"/>
      <x:c r="K1213" s="6"/>
      <x:c r="L1213" s="6"/>
      <x:c r="M1213" s="6"/>
      <x:c r="N1213" s="6"/>
      <x:c r="O1213" s="6"/>
      <x:c r="P1213" s="6"/>
      <x:c r="Q1213" s="6"/>
      <x:c r="R1213"/>
      <x:c r="S1213"/>
      <x:c r="T1213"/>
    </x:row>
    <x:row r="1214" spans="1:20" ht="15.75" x14ac:dyDescent="0.25">
      <x:c r="A1214"/>
      <x:c r="B1214"/>
      <x:c r="C1214"/>
      <x:c r="D1214"/>
      <x:c r="E1214" s="31"/>
      <x:c r="F1214" s="8"/>
      <x:c r="G1214" s="8"/>
      <x:c r="H1214" s="6"/>
      <x:c r="I1214" s="27"/>
      <x:c r="J1214" s="6"/>
      <x:c r="K1214" s="6"/>
      <x:c r="L1214" s="6"/>
      <x:c r="M1214" s="6"/>
      <x:c r="N1214" s="6"/>
      <x:c r="O1214" s="6"/>
      <x:c r="P1214" s="6"/>
      <x:c r="Q1214" s="6"/>
      <x:c r="R1214"/>
      <x:c r="S1214"/>
      <x:c r="T1214"/>
    </x:row>
    <x:row r="1215" spans="1:20" ht="15.75" x14ac:dyDescent="0.25">
      <x:c r="A1215"/>
      <x:c r="B1215"/>
      <x:c r="C1215"/>
      <x:c r="D1215"/>
      <x:c r="E1215" s="31"/>
      <x:c r="F1215" s="8"/>
      <x:c r="G1215" s="8"/>
      <x:c r="H1215" s="6"/>
      <x:c r="I1215" s="27"/>
      <x:c r="J1215" s="6"/>
      <x:c r="K1215" s="6"/>
      <x:c r="L1215" s="6"/>
      <x:c r="M1215" s="6"/>
      <x:c r="N1215" s="6"/>
      <x:c r="O1215" s="6"/>
      <x:c r="P1215" s="6"/>
      <x:c r="Q1215" s="6"/>
      <x:c r="R1215"/>
      <x:c r="S1215"/>
      <x:c r="T1215"/>
    </x:row>
    <x:row r="1216" spans="1:20" ht="15.75" x14ac:dyDescent="0.25">
      <x:c r="A1216"/>
      <x:c r="B1216"/>
      <x:c r="C1216"/>
      <x:c r="D1216"/>
      <x:c r="E1216" s="31"/>
      <x:c r="F1216" s="8"/>
      <x:c r="G1216" s="8"/>
      <x:c r="H1216" s="6"/>
      <x:c r="I1216" s="27"/>
      <x:c r="J1216" s="6"/>
      <x:c r="K1216" s="6"/>
      <x:c r="L1216" s="6"/>
      <x:c r="M1216" s="6"/>
      <x:c r="N1216" s="6"/>
      <x:c r="O1216" s="6"/>
      <x:c r="P1216" s="6"/>
      <x:c r="Q1216" s="6"/>
      <x:c r="R1216"/>
      <x:c r="S1216"/>
      <x:c r="T1216"/>
    </x:row>
    <x:row r="1217" spans="1:20" ht="15.75" x14ac:dyDescent="0.25">
      <x:c r="A1217"/>
      <x:c r="B1217"/>
      <x:c r="C1217"/>
      <x:c r="D1217"/>
      <x:c r="E1217" s="31"/>
      <x:c r="F1217" s="8"/>
      <x:c r="G1217" s="8"/>
      <x:c r="H1217" s="6"/>
      <x:c r="I1217" s="27"/>
      <x:c r="J1217" s="6"/>
      <x:c r="K1217" s="6"/>
      <x:c r="L1217" s="6"/>
      <x:c r="M1217" s="6"/>
      <x:c r="N1217" s="6"/>
      <x:c r="O1217" s="6"/>
      <x:c r="P1217" s="6"/>
      <x:c r="Q1217" s="6"/>
      <x:c r="R1217"/>
      <x:c r="S1217"/>
      <x:c r="T1217"/>
    </x:row>
    <x:row r="1218" spans="1:20" ht="15.75" x14ac:dyDescent="0.25">
      <x:c r="A1218"/>
      <x:c r="B1218"/>
      <x:c r="C1218"/>
      <x:c r="D1218"/>
      <x:c r="E1218" s="31"/>
      <x:c r="F1218" s="8"/>
      <x:c r="G1218" s="8"/>
      <x:c r="H1218" s="6"/>
      <x:c r="I1218" s="27"/>
      <x:c r="J1218" s="6"/>
      <x:c r="K1218" s="6"/>
      <x:c r="L1218" s="6"/>
      <x:c r="M1218" s="6"/>
      <x:c r="N1218" s="6"/>
      <x:c r="O1218" s="6"/>
      <x:c r="P1218" s="6"/>
      <x:c r="Q1218" s="6"/>
      <x:c r="R1218"/>
      <x:c r="S1218"/>
      <x:c r="T1218"/>
    </x:row>
    <x:row r="1219" spans="1:20" ht="15.75" x14ac:dyDescent="0.25">
      <x:c r="A1219"/>
      <x:c r="B1219"/>
      <x:c r="C1219"/>
      <x:c r="D1219"/>
      <x:c r="E1219" s="31"/>
      <x:c r="F1219" s="8"/>
      <x:c r="G1219" s="8"/>
      <x:c r="H1219" s="6"/>
      <x:c r="I1219" s="27"/>
      <x:c r="J1219" s="6"/>
      <x:c r="K1219" s="6"/>
      <x:c r="L1219" s="6"/>
      <x:c r="M1219" s="6"/>
      <x:c r="N1219" s="6"/>
      <x:c r="O1219" s="6"/>
      <x:c r="P1219" s="6"/>
      <x:c r="Q1219" s="6"/>
      <x:c r="R1219"/>
      <x:c r="S1219"/>
      <x:c r="T1219"/>
    </x:row>
    <x:row r="1220" spans="1:20" ht="15.75" x14ac:dyDescent="0.25">
      <x:c r="A1220"/>
      <x:c r="B1220"/>
      <x:c r="C1220"/>
      <x:c r="D1220"/>
      <x:c r="E1220" s="31"/>
      <x:c r="F1220" s="8"/>
      <x:c r="G1220" s="8"/>
      <x:c r="H1220" s="6"/>
      <x:c r="I1220" s="27"/>
      <x:c r="J1220" s="6"/>
      <x:c r="K1220" s="6"/>
      <x:c r="L1220" s="6"/>
      <x:c r="M1220" s="6"/>
      <x:c r="N1220" s="6"/>
      <x:c r="O1220" s="6"/>
      <x:c r="P1220" s="6"/>
      <x:c r="Q1220" s="6"/>
      <x:c r="R1220"/>
      <x:c r="S1220"/>
      <x:c r="T1220"/>
    </x:row>
    <x:row r="1221" spans="1:20" ht="15.75" x14ac:dyDescent="0.25">
      <x:c r="A1221"/>
      <x:c r="B1221"/>
      <x:c r="C1221"/>
      <x:c r="D1221"/>
      <x:c r="E1221" s="31"/>
      <x:c r="F1221" s="8"/>
      <x:c r="G1221" s="8"/>
      <x:c r="H1221" s="6"/>
      <x:c r="I1221" s="27"/>
      <x:c r="J1221" s="6"/>
      <x:c r="K1221" s="6"/>
      <x:c r="L1221" s="6"/>
      <x:c r="M1221" s="6"/>
      <x:c r="N1221" s="6"/>
      <x:c r="O1221" s="6"/>
      <x:c r="P1221" s="6"/>
      <x:c r="Q1221" s="6"/>
      <x:c r="R1221"/>
      <x:c r="S1221"/>
      <x:c r="T1221"/>
    </x:row>
    <x:row r="1222" spans="1:20" ht="15.75" x14ac:dyDescent="0.25">
      <x:c r="A1222"/>
      <x:c r="B1222"/>
      <x:c r="C1222"/>
      <x:c r="D1222"/>
      <x:c r="E1222" s="31"/>
      <x:c r="F1222" s="8"/>
      <x:c r="G1222" s="8"/>
      <x:c r="H1222" s="6"/>
      <x:c r="I1222" s="27"/>
      <x:c r="J1222" s="6"/>
      <x:c r="K1222" s="6"/>
      <x:c r="L1222" s="6"/>
      <x:c r="M1222" s="6"/>
      <x:c r="N1222" s="6"/>
      <x:c r="O1222" s="6"/>
      <x:c r="P1222" s="6"/>
      <x:c r="Q1222" s="6"/>
      <x:c r="R1222"/>
      <x:c r="S1222"/>
      <x:c r="T1222"/>
    </x:row>
    <x:row r="1223" spans="1:20" ht="15.75" x14ac:dyDescent="0.25">
      <x:c r="A1223"/>
      <x:c r="B1223"/>
      <x:c r="C1223"/>
      <x:c r="D1223"/>
      <x:c r="E1223" s="31"/>
      <x:c r="F1223" s="8"/>
      <x:c r="G1223" s="8"/>
      <x:c r="H1223" s="6"/>
      <x:c r="I1223" s="27"/>
      <x:c r="J1223" s="6"/>
      <x:c r="K1223" s="6"/>
      <x:c r="L1223" s="6"/>
      <x:c r="M1223" s="6"/>
      <x:c r="N1223" s="6"/>
      <x:c r="O1223" s="6"/>
      <x:c r="P1223" s="6"/>
      <x:c r="Q1223" s="6"/>
      <x:c r="R1223"/>
      <x:c r="S1223"/>
      <x:c r="T1223"/>
    </x:row>
    <x:row r="1224" spans="1:20" ht="15.75" x14ac:dyDescent="0.25">
      <x:c r="A1224"/>
      <x:c r="B1224"/>
      <x:c r="C1224"/>
      <x:c r="D1224"/>
      <x:c r="E1224" s="31"/>
      <x:c r="F1224" s="8"/>
      <x:c r="G1224" s="8"/>
      <x:c r="H1224" s="6"/>
      <x:c r="I1224" s="27"/>
      <x:c r="J1224" s="6"/>
      <x:c r="K1224" s="6"/>
      <x:c r="L1224" s="6"/>
      <x:c r="M1224" s="6"/>
      <x:c r="N1224" s="6"/>
      <x:c r="O1224" s="6"/>
      <x:c r="P1224" s="6"/>
      <x:c r="Q1224" s="6"/>
      <x:c r="R1224"/>
      <x:c r="S1224"/>
      <x:c r="T1224"/>
    </x:row>
    <x:row r="1225" spans="1:20" ht="15.75" x14ac:dyDescent="0.25">
      <x:c r="A1225"/>
      <x:c r="B1225"/>
      <x:c r="C1225"/>
      <x:c r="D1225"/>
      <x:c r="E1225" s="31"/>
      <x:c r="F1225" s="8"/>
      <x:c r="G1225" s="8"/>
      <x:c r="H1225" s="6"/>
      <x:c r="I1225" s="27"/>
      <x:c r="J1225" s="6"/>
      <x:c r="K1225" s="6"/>
      <x:c r="L1225" s="6"/>
      <x:c r="M1225" s="6"/>
      <x:c r="N1225" s="6"/>
      <x:c r="O1225" s="6"/>
      <x:c r="P1225" s="6"/>
      <x:c r="Q1225" s="6"/>
      <x:c r="R1225"/>
      <x:c r="S1225"/>
      <x:c r="T1225"/>
    </x:row>
    <x:row r="1226" spans="1:20" ht="15.75" x14ac:dyDescent="0.25">
      <x:c r="A1226"/>
      <x:c r="B1226"/>
      <x:c r="C1226"/>
      <x:c r="D1226"/>
      <x:c r="E1226" s="31"/>
      <x:c r="F1226" s="8"/>
      <x:c r="G1226" s="8"/>
      <x:c r="H1226" s="6"/>
      <x:c r="I1226" s="27"/>
      <x:c r="J1226" s="6"/>
      <x:c r="K1226" s="6"/>
      <x:c r="L1226" s="6"/>
      <x:c r="M1226" s="6"/>
      <x:c r="N1226" s="6"/>
      <x:c r="O1226" s="6"/>
      <x:c r="P1226" s="6"/>
      <x:c r="Q1226" s="6"/>
      <x:c r="R1226"/>
      <x:c r="S1226"/>
      <x:c r="T1226"/>
    </x:row>
    <x:row r="1227" spans="1:20" ht="15.75" x14ac:dyDescent="0.25">
      <x:c r="A1227"/>
      <x:c r="B1227"/>
      <x:c r="C1227"/>
      <x:c r="D1227"/>
      <x:c r="E1227" s="31"/>
      <x:c r="F1227" s="8"/>
      <x:c r="G1227" s="8"/>
      <x:c r="H1227" s="6"/>
      <x:c r="I1227" s="27"/>
      <x:c r="J1227" s="6"/>
      <x:c r="K1227" s="6"/>
      <x:c r="L1227" s="6"/>
      <x:c r="M1227" s="6"/>
      <x:c r="N1227" s="6"/>
      <x:c r="O1227" s="6"/>
      <x:c r="P1227" s="6"/>
      <x:c r="Q1227" s="6"/>
      <x:c r="R1227"/>
      <x:c r="S1227"/>
      <x:c r="T1227"/>
    </x:row>
    <x:row r="1228" spans="1:20" ht="15.75" x14ac:dyDescent="0.25">
      <x:c r="A1228"/>
      <x:c r="B1228"/>
      <x:c r="C1228"/>
      <x:c r="D1228"/>
      <x:c r="E1228" s="31"/>
      <x:c r="F1228" s="8"/>
      <x:c r="G1228" s="8"/>
      <x:c r="H1228" s="6"/>
      <x:c r="I1228" s="27"/>
      <x:c r="J1228" s="6"/>
      <x:c r="K1228" s="6"/>
      <x:c r="L1228" s="6"/>
      <x:c r="M1228" s="6"/>
      <x:c r="N1228" s="6"/>
      <x:c r="O1228" s="6"/>
      <x:c r="P1228" s="6"/>
      <x:c r="Q1228" s="6"/>
      <x:c r="R1228"/>
      <x:c r="S1228"/>
      <x:c r="T1228"/>
    </x:row>
    <x:row r="1229" spans="1:20" ht="15.75" x14ac:dyDescent="0.25">
      <x:c r="A1229"/>
      <x:c r="B1229"/>
      <x:c r="C1229"/>
      <x:c r="D1229"/>
      <x:c r="E1229" s="31"/>
      <x:c r="F1229" s="8"/>
      <x:c r="G1229" s="8"/>
      <x:c r="H1229" s="6"/>
      <x:c r="I1229" s="27"/>
      <x:c r="J1229" s="6"/>
      <x:c r="K1229" s="6"/>
      <x:c r="L1229" s="6"/>
      <x:c r="M1229" s="6"/>
      <x:c r="N1229" s="6"/>
      <x:c r="O1229" s="6"/>
      <x:c r="P1229" s="6"/>
      <x:c r="Q1229" s="6"/>
      <x:c r="R1229"/>
      <x:c r="S1229"/>
      <x:c r="T1229"/>
    </x:row>
    <x:row r="1230" spans="1:20" ht="15.75" x14ac:dyDescent="0.25">
      <x:c r="A1230"/>
      <x:c r="B1230"/>
      <x:c r="C1230"/>
      <x:c r="D1230"/>
      <x:c r="E1230" s="31"/>
      <x:c r="F1230" s="8"/>
      <x:c r="G1230" s="8"/>
      <x:c r="H1230" s="6"/>
      <x:c r="I1230" s="27"/>
      <x:c r="J1230" s="6"/>
      <x:c r="K1230" s="6"/>
      <x:c r="L1230" s="6"/>
      <x:c r="M1230" s="6"/>
      <x:c r="N1230" s="6"/>
      <x:c r="O1230" s="6"/>
      <x:c r="P1230" s="6"/>
      <x:c r="Q1230" s="6"/>
      <x:c r="R1230"/>
      <x:c r="S1230"/>
      <x:c r="T1230"/>
    </x:row>
    <x:row r="1231" spans="1:20" ht="15.75" x14ac:dyDescent="0.25">
      <x:c r="A1231"/>
      <x:c r="B1231"/>
      <x:c r="C1231"/>
      <x:c r="D1231"/>
      <x:c r="E1231" s="31"/>
      <x:c r="F1231" s="8"/>
      <x:c r="G1231" s="8"/>
      <x:c r="H1231" s="6"/>
      <x:c r="I1231" s="27"/>
      <x:c r="J1231" s="6"/>
      <x:c r="K1231" s="6"/>
      <x:c r="L1231" s="6"/>
      <x:c r="M1231" s="6"/>
      <x:c r="N1231" s="6"/>
      <x:c r="O1231" s="6"/>
      <x:c r="P1231" s="6"/>
      <x:c r="Q1231" s="6"/>
      <x:c r="R1231"/>
      <x:c r="S1231"/>
      <x:c r="T1231"/>
    </x:row>
    <x:row r="1232" spans="1:20" ht="15.75" x14ac:dyDescent="0.25">
      <x:c r="A1232"/>
      <x:c r="B1232"/>
      <x:c r="C1232"/>
      <x:c r="D1232"/>
      <x:c r="E1232" s="31"/>
      <x:c r="F1232" s="8"/>
      <x:c r="G1232" s="8"/>
      <x:c r="H1232" s="6"/>
      <x:c r="I1232" s="27"/>
      <x:c r="J1232" s="6"/>
      <x:c r="K1232" s="6"/>
      <x:c r="L1232" s="6"/>
      <x:c r="M1232" s="6"/>
      <x:c r="N1232" s="6"/>
      <x:c r="O1232" s="6"/>
      <x:c r="P1232" s="6"/>
      <x:c r="Q1232" s="6"/>
      <x:c r="R1232"/>
      <x:c r="S1232"/>
      <x:c r="T1232"/>
    </x:row>
    <x:row r="1233" spans="1:20" ht="15.75" x14ac:dyDescent="0.25">
      <x:c r="A1233"/>
      <x:c r="B1233"/>
      <x:c r="C1233"/>
      <x:c r="D1233"/>
      <x:c r="E1233" s="31"/>
      <x:c r="F1233" s="8"/>
      <x:c r="G1233" s="8"/>
      <x:c r="H1233" s="6"/>
      <x:c r="I1233" s="27"/>
      <x:c r="J1233" s="6"/>
      <x:c r="K1233" s="6"/>
      <x:c r="L1233" s="6"/>
      <x:c r="M1233" s="6"/>
      <x:c r="N1233" s="6"/>
      <x:c r="O1233" s="6"/>
      <x:c r="P1233" s="6"/>
      <x:c r="Q1233" s="6"/>
      <x:c r="R1233"/>
      <x:c r="S1233"/>
      <x:c r="T1233"/>
    </x:row>
    <x:row r="1234" spans="1:20" ht="15.75" x14ac:dyDescent="0.25">
      <x:c r="A1234"/>
      <x:c r="B1234"/>
      <x:c r="C1234"/>
      <x:c r="D1234"/>
      <x:c r="E1234" s="31"/>
      <x:c r="F1234" s="8"/>
      <x:c r="G1234" s="8"/>
      <x:c r="H1234" s="6"/>
      <x:c r="I1234" s="27"/>
      <x:c r="J1234" s="6"/>
      <x:c r="K1234" s="6"/>
      <x:c r="L1234" s="6"/>
      <x:c r="M1234" s="6"/>
      <x:c r="N1234" s="6"/>
      <x:c r="O1234" s="6"/>
      <x:c r="P1234" s="6"/>
      <x:c r="Q1234" s="6"/>
      <x:c r="R1234"/>
      <x:c r="S1234"/>
      <x:c r="T1234"/>
    </x:row>
    <x:row r="1235" spans="1:20" ht="15.75" x14ac:dyDescent="0.25">
      <x:c r="A1235"/>
      <x:c r="B1235"/>
      <x:c r="C1235"/>
      <x:c r="D1235"/>
      <x:c r="E1235" s="31"/>
      <x:c r="F1235" s="8"/>
      <x:c r="G1235" s="8"/>
      <x:c r="H1235" s="6"/>
      <x:c r="I1235" s="27"/>
      <x:c r="J1235" s="6"/>
      <x:c r="K1235" s="6"/>
      <x:c r="L1235" s="6"/>
      <x:c r="M1235" s="6"/>
      <x:c r="N1235" s="6"/>
      <x:c r="O1235" s="6"/>
      <x:c r="P1235" s="6"/>
      <x:c r="Q1235" s="6"/>
      <x:c r="R1235"/>
      <x:c r="S1235"/>
      <x:c r="T1235"/>
    </x:row>
    <x:row r="1236" spans="1:20" ht="15.75" x14ac:dyDescent="0.25">
      <x:c r="A1236"/>
      <x:c r="B1236"/>
      <x:c r="C1236"/>
      <x:c r="D1236"/>
      <x:c r="E1236" s="31"/>
      <x:c r="F1236" s="8"/>
      <x:c r="G1236" s="8"/>
      <x:c r="H1236" s="6"/>
      <x:c r="I1236" s="27"/>
      <x:c r="J1236" s="6"/>
      <x:c r="K1236" s="6"/>
      <x:c r="L1236" s="6"/>
      <x:c r="M1236" s="6"/>
      <x:c r="N1236" s="6"/>
      <x:c r="O1236" s="6"/>
      <x:c r="P1236" s="6"/>
      <x:c r="Q1236" s="6"/>
      <x:c r="R1236"/>
      <x:c r="S1236"/>
      <x:c r="T1236"/>
    </x:row>
    <x:row r="1237" spans="1:20" ht="15.75" x14ac:dyDescent="0.25">
      <x:c r="A1237"/>
      <x:c r="B1237"/>
      <x:c r="C1237"/>
      <x:c r="D1237"/>
      <x:c r="E1237" s="31"/>
      <x:c r="F1237" s="8"/>
      <x:c r="G1237" s="8"/>
      <x:c r="H1237" s="6"/>
      <x:c r="I1237" s="27"/>
      <x:c r="J1237" s="6"/>
      <x:c r="K1237" s="6"/>
      <x:c r="L1237" s="6"/>
      <x:c r="M1237" s="6"/>
      <x:c r="N1237" s="6"/>
      <x:c r="O1237" s="6"/>
      <x:c r="P1237" s="6"/>
      <x:c r="Q1237" s="6"/>
      <x:c r="R1237"/>
      <x:c r="S1237"/>
      <x:c r="T1237"/>
    </x:row>
    <x:row r="1238" spans="1:20" ht="15.75" x14ac:dyDescent="0.25">
      <x:c r="A1238"/>
      <x:c r="B1238"/>
      <x:c r="C1238"/>
      <x:c r="D1238"/>
      <x:c r="E1238" s="31"/>
      <x:c r="F1238" s="8"/>
      <x:c r="G1238" s="8"/>
      <x:c r="H1238" s="6"/>
      <x:c r="I1238" s="27"/>
      <x:c r="J1238" s="6"/>
      <x:c r="K1238" s="6"/>
      <x:c r="L1238" s="6"/>
      <x:c r="M1238" s="6"/>
      <x:c r="N1238" s="6"/>
      <x:c r="O1238" s="6"/>
      <x:c r="P1238" s="6"/>
      <x:c r="Q1238" s="6"/>
      <x:c r="R1238"/>
      <x:c r="S1238"/>
      <x:c r="T1238"/>
    </x:row>
    <x:row r="1239" spans="1:20" ht="15.75" x14ac:dyDescent="0.25">
      <x:c r="A1239"/>
      <x:c r="B1239"/>
      <x:c r="C1239"/>
      <x:c r="D1239"/>
      <x:c r="E1239" s="31"/>
      <x:c r="F1239" s="8"/>
      <x:c r="G1239" s="8"/>
      <x:c r="H1239" s="6"/>
      <x:c r="I1239" s="27"/>
      <x:c r="J1239" s="6"/>
      <x:c r="K1239" s="6"/>
      <x:c r="L1239" s="6"/>
      <x:c r="M1239" s="6"/>
      <x:c r="N1239" s="6"/>
      <x:c r="O1239" s="6"/>
      <x:c r="P1239" s="6"/>
      <x:c r="Q1239" s="6"/>
      <x:c r="R1239"/>
      <x:c r="S1239"/>
      <x:c r="T1239"/>
    </x:row>
    <x:row r="1240" spans="1:20" ht="15.75" x14ac:dyDescent="0.25">
      <x:c r="A1240"/>
      <x:c r="B1240"/>
      <x:c r="C1240"/>
      <x:c r="D1240"/>
      <x:c r="E1240" s="31"/>
      <x:c r="F1240" s="8"/>
      <x:c r="G1240" s="8"/>
      <x:c r="H1240" s="6"/>
      <x:c r="I1240" s="27"/>
      <x:c r="J1240" s="6"/>
      <x:c r="K1240" s="6"/>
      <x:c r="L1240" s="6"/>
      <x:c r="M1240" s="6"/>
      <x:c r="N1240" s="6"/>
      <x:c r="O1240" s="6"/>
      <x:c r="P1240" s="6"/>
      <x:c r="Q1240" s="6"/>
      <x:c r="R1240"/>
      <x:c r="S1240"/>
      <x:c r="T1240"/>
    </x:row>
    <x:row r="1241" spans="1:20" ht="15.75" x14ac:dyDescent="0.25">
      <x:c r="A1241"/>
      <x:c r="B1241"/>
      <x:c r="C1241"/>
      <x:c r="D1241"/>
      <x:c r="E1241" s="31"/>
      <x:c r="F1241" s="8"/>
      <x:c r="G1241" s="8"/>
      <x:c r="H1241" s="6"/>
      <x:c r="I1241" s="27"/>
      <x:c r="J1241" s="6"/>
      <x:c r="K1241" s="6"/>
      <x:c r="L1241" s="6"/>
      <x:c r="M1241" s="6"/>
      <x:c r="N1241" s="6"/>
      <x:c r="O1241" s="6"/>
      <x:c r="P1241" s="6"/>
      <x:c r="Q1241" s="6"/>
      <x:c r="R1241"/>
      <x:c r="S1241"/>
      <x:c r="T1241"/>
    </x:row>
    <x:row r="1242" spans="1:20" ht="15.75" x14ac:dyDescent="0.25">
      <x:c r="A1242"/>
      <x:c r="B1242"/>
      <x:c r="C1242"/>
      <x:c r="D1242"/>
      <x:c r="E1242" s="31"/>
      <x:c r="F1242" s="8"/>
      <x:c r="G1242" s="8"/>
      <x:c r="H1242" s="6"/>
      <x:c r="I1242" s="27"/>
      <x:c r="J1242" s="6"/>
      <x:c r="K1242" s="6"/>
      <x:c r="L1242" s="6"/>
      <x:c r="M1242" s="6"/>
      <x:c r="N1242" s="6"/>
      <x:c r="O1242" s="6"/>
      <x:c r="P1242" s="6"/>
      <x:c r="Q1242" s="6"/>
      <x:c r="R1242"/>
      <x:c r="S1242"/>
      <x:c r="T1242"/>
    </x:row>
    <x:row r="1243" spans="1:20" ht="15.75" x14ac:dyDescent="0.25">
      <x:c r="A1243"/>
      <x:c r="B1243"/>
      <x:c r="C1243"/>
      <x:c r="D1243"/>
      <x:c r="E1243" s="31"/>
      <x:c r="F1243" s="8"/>
      <x:c r="G1243" s="8"/>
      <x:c r="H1243" s="6"/>
      <x:c r="I1243" s="27"/>
      <x:c r="J1243" s="6"/>
      <x:c r="K1243" s="6"/>
      <x:c r="L1243" s="6"/>
      <x:c r="M1243" s="6"/>
      <x:c r="N1243" s="6"/>
      <x:c r="O1243" s="6"/>
      <x:c r="P1243" s="6"/>
      <x:c r="Q1243" s="6"/>
      <x:c r="R1243"/>
      <x:c r="S1243"/>
      <x:c r="T1243"/>
    </x:row>
    <x:row r="1244" spans="1:20" ht="15.75" x14ac:dyDescent="0.25">
      <x:c r="A1244"/>
      <x:c r="B1244"/>
      <x:c r="C1244"/>
      <x:c r="D1244"/>
      <x:c r="E1244" s="31"/>
      <x:c r="F1244" s="8"/>
      <x:c r="G1244" s="8"/>
      <x:c r="H1244" s="6"/>
      <x:c r="I1244" s="27"/>
      <x:c r="J1244" s="6"/>
      <x:c r="K1244" s="6"/>
      <x:c r="L1244" s="6"/>
      <x:c r="M1244" s="6"/>
      <x:c r="N1244" s="6"/>
      <x:c r="O1244" s="6"/>
      <x:c r="P1244" s="6"/>
      <x:c r="Q1244" s="6"/>
      <x:c r="R1244"/>
      <x:c r="S1244"/>
      <x:c r="T1244"/>
    </x:row>
    <x:row r="1245" spans="1:20" ht="15.75" x14ac:dyDescent="0.25">
      <x:c r="A1245"/>
      <x:c r="B1245"/>
      <x:c r="C1245"/>
      <x:c r="D1245"/>
      <x:c r="E1245" s="31"/>
      <x:c r="F1245" s="8"/>
      <x:c r="G1245" s="8"/>
      <x:c r="H1245" s="6"/>
      <x:c r="I1245" s="27"/>
      <x:c r="J1245" s="6"/>
      <x:c r="K1245" s="6"/>
      <x:c r="L1245" s="6"/>
      <x:c r="M1245" s="6"/>
      <x:c r="N1245" s="6"/>
      <x:c r="O1245" s="6"/>
      <x:c r="P1245" s="6"/>
      <x:c r="Q1245" s="6"/>
      <x:c r="R1245"/>
      <x:c r="S1245"/>
      <x:c r="T1245"/>
    </x:row>
    <x:row r="1246" spans="1:20" ht="15.75" x14ac:dyDescent="0.25">
      <x:c r="A1246"/>
      <x:c r="B1246"/>
      <x:c r="C1246"/>
      <x:c r="D1246"/>
      <x:c r="E1246" s="31"/>
      <x:c r="F1246" s="8"/>
      <x:c r="G1246" s="8"/>
      <x:c r="H1246" s="6"/>
      <x:c r="I1246" s="27"/>
      <x:c r="J1246" s="6"/>
      <x:c r="K1246" s="6"/>
      <x:c r="L1246" s="6"/>
      <x:c r="M1246" s="6"/>
      <x:c r="N1246" s="6"/>
      <x:c r="O1246" s="6"/>
      <x:c r="P1246" s="6"/>
      <x:c r="Q1246" s="6"/>
      <x:c r="R1246"/>
      <x:c r="S1246"/>
      <x:c r="T1246"/>
    </x:row>
    <x:row r="1247" spans="1:20" ht="15.75" x14ac:dyDescent="0.25">
      <x:c r="A1247"/>
      <x:c r="B1247"/>
      <x:c r="C1247"/>
      <x:c r="D1247"/>
      <x:c r="E1247" s="31"/>
      <x:c r="F1247" s="8"/>
      <x:c r="G1247" s="8"/>
      <x:c r="H1247" s="6"/>
      <x:c r="I1247" s="27"/>
      <x:c r="J1247" s="6"/>
      <x:c r="K1247" s="6"/>
      <x:c r="L1247" s="6"/>
      <x:c r="M1247" s="6"/>
      <x:c r="N1247" s="6"/>
      <x:c r="O1247" s="6"/>
      <x:c r="P1247" s="6"/>
      <x:c r="Q1247" s="6"/>
      <x:c r="R1247"/>
      <x:c r="S1247"/>
      <x:c r="T1247"/>
    </x:row>
    <x:row r="1248" spans="1:20" ht="15.75" x14ac:dyDescent="0.25">
      <x:c r="A1248"/>
      <x:c r="B1248"/>
      <x:c r="C1248"/>
      <x:c r="D1248"/>
      <x:c r="E1248" s="31"/>
      <x:c r="F1248" s="8"/>
      <x:c r="G1248" s="8"/>
      <x:c r="H1248" s="6"/>
      <x:c r="I1248" s="27"/>
      <x:c r="J1248" s="6"/>
      <x:c r="K1248" s="6"/>
      <x:c r="L1248" s="6"/>
      <x:c r="M1248" s="6"/>
      <x:c r="N1248" s="6"/>
      <x:c r="O1248" s="6"/>
      <x:c r="P1248" s="6"/>
      <x:c r="Q1248" s="6"/>
      <x:c r="R1248"/>
      <x:c r="S1248"/>
      <x:c r="T1248"/>
    </x:row>
    <x:row r="1249" spans="1:20" ht="15.75" x14ac:dyDescent="0.25">
      <x:c r="A1249"/>
      <x:c r="B1249"/>
      <x:c r="C1249"/>
      <x:c r="D1249"/>
      <x:c r="E1249" s="31"/>
      <x:c r="F1249" s="8"/>
      <x:c r="G1249" s="8"/>
      <x:c r="H1249" s="6"/>
      <x:c r="I1249" s="27"/>
      <x:c r="J1249" s="6"/>
      <x:c r="K1249" s="6"/>
      <x:c r="L1249" s="6"/>
      <x:c r="M1249" s="6"/>
      <x:c r="N1249" s="6"/>
      <x:c r="O1249" s="6"/>
      <x:c r="P1249" s="6"/>
      <x:c r="Q1249" s="6"/>
      <x:c r="R1249"/>
      <x:c r="S1249"/>
      <x:c r="T1249"/>
    </x:row>
    <x:row r="1250" spans="1:20" ht="15.75" x14ac:dyDescent="0.25">
      <x:c r="A1250"/>
      <x:c r="B1250"/>
      <x:c r="C1250"/>
      <x:c r="D1250"/>
      <x:c r="E1250" s="31"/>
      <x:c r="F1250" s="8"/>
      <x:c r="G1250" s="8"/>
      <x:c r="H1250" s="6"/>
      <x:c r="I1250" s="27"/>
      <x:c r="J1250" s="6"/>
      <x:c r="K1250" s="6"/>
      <x:c r="L1250" s="6"/>
      <x:c r="M1250" s="6"/>
      <x:c r="N1250" s="6"/>
      <x:c r="O1250" s="6"/>
      <x:c r="P1250" s="6"/>
      <x:c r="Q1250" s="6"/>
      <x:c r="R1250"/>
      <x:c r="S1250"/>
      <x:c r="T1250"/>
    </x:row>
    <x:row r="1251" spans="1:20" ht="15.75" x14ac:dyDescent="0.25">
      <x:c r="A1251"/>
      <x:c r="B1251"/>
      <x:c r="C1251"/>
      <x:c r="D1251"/>
      <x:c r="E1251" s="31"/>
      <x:c r="F1251" s="8"/>
      <x:c r="G1251" s="8"/>
      <x:c r="H1251" s="6"/>
      <x:c r="I1251" s="27"/>
      <x:c r="J1251" s="6"/>
      <x:c r="K1251" s="6"/>
      <x:c r="L1251" s="6"/>
      <x:c r="M1251" s="6"/>
      <x:c r="N1251" s="6"/>
      <x:c r="O1251" s="6"/>
      <x:c r="P1251" s="6"/>
      <x:c r="Q1251" s="6"/>
      <x:c r="R1251"/>
      <x:c r="S1251"/>
      <x:c r="T1251"/>
    </x:row>
    <x:row r="1252" spans="1:20" ht="15.75" x14ac:dyDescent="0.25">
      <x:c r="A1252"/>
      <x:c r="B1252"/>
      <x:c r="C1252"/>
      <x:c r="D1252"/>
      <x:c r="E1252" s="31"/>
      <x:c r="F1252" s="8"/>
      <x:c r="G1252" s="8"/>
      <x:c r="H1252" s="6"/>
      <x:c r="I1252" s="27"/>
      <x:c r="J1252" s="6"/>
      <x:c r="K1252" s="6"/>
      <x:c r="L1252" s="6"/>
      <x:c r="M1252" s="6"/>
      <x:c r="N1252" s="6"/>
      <x:c r="O1252" s="6"/>
      <x:c r="P1252" s="6"/>
      <x:c r="Q1252" s="6"/>
      <x:c r="R1252"/>
      <x:c r="S1252"/>
      <x:c r="T1252"/>
    </x:row>
    <x:row r="1253" spans="1:20" ht="15.75" x14ac:dyDescent="0.25">
      <x:c r="A1253"/>
      <x:c r="B1253"/>
      <x:c r="C1253"/>
      <x:c r="D1253"/>
      <x:c r="E1253" s="31"/>
      <x:c r="F1253" s="8"/>
      <x:c r="G1253" s="8"/>
      <x:c r="H1253" s="6"/>
      <x:c r="I1253" s="27"/>
      <x:c r="J1253" s="6"/>
      <x:c r="K1253" s="6"/>
      <x:c r="L1253" s="6"/>
      <x:c r="M1253" s="6"/>
      <x:c r="N1253" s="6"/>
      <x:c r="O1253" s="6"/>
      <x:c r="P1253" s="6"/>
      <x:c r="Q1253" s="6"/>
      <x:c r="R1253"/>
      <x:c r="S1253"/>
      <x:c r="T1253"/>
    </x:row>
    <x:row r="1254" spans="1:20" ht="15.75" x14ac:dyDescent="0.25">
      <x:c r="A1254"/>
      <x:c r="B1254"/>
      <x:c r="C1254"/>
      <x:c r="D1254"/>
      <x:c r="E1254" s="31"/>
      <x:c r="F1254" s="8"/>
      <x:c r="G1254" s="8"/>
      <x:c r="H1254" s="6"/>
      <x:c r="I1254" s="27"/>
      <x:c r="J1254" s="6"/>
      <x:c r="K1254" s="6"/>
      <x:c r="L1254" s="6"/>
      <x:c r="M1254" s="6"/>
      <x:c r="N1254" s="6"/>
      <x:c r="O1254" s="6"/>
      <x:c r="P1254" s="6"/>
      <x:c r="Q1254" s="6"/>
      <x:c r="R1254"/>
      <x:c r="S1254"/>
      <x:c r="T1254"/>
    </x:row>
    <x:row r="1255" spans="1:20" ht="15.75" x14ac:dyDescent="0.25">
      <x:c r="A1255"/>
      <x:c r="B1255"/>
      <x:c r="C1255"/>
      <x:c r="D1255"/>
      <x:c r="E1255" s="31"/>
      <x:c r="F1255" s="8"/>
      <x:c r="G1255" s="8"/>
      <x:c r="H1255" s="6"/>
      <x:c r="I1255" s="27"/>
      <x:c r="J1255" s="6"/>
      <x:c r="K1255" s="6"/>
      <x:c r="L1255" s="6"/>
      <x:c r="M1255" s="6"/>
      <x:c r="N1255" s="6"/>
      <x:c r="O1255" s="6"/>
      <x:c r="P1255" s="6"/>
      <x:c r="Q1255" s="6"/>
      <x:c r="R1255"/>
      <x:c r="S1255"/>
      <x:c r="T1255"/>
    </x:row>
    <x:row r="1256" spans="1:20" ht="15.75" x14ac:dyDescent="0.25">
      <x:c r="A1256"/>
      <x:c r="B1256"/>
      <x:c r="C1256"/>
      <x:c r="D1256"/>
      <x:c r="E1256" s="31"/>
      <x:c r="F1256" s="8"/>
      <x:c r="G1256" s="8"/>
      <x:c r="H1256" s="6"/>
      <x:c r="I1256" s="27"/>
      <x:c r="J1256" s="6"/>
      <x:c r="K1256" s="6"/>
      <x:c r="L1256" s="6"/>
      <x:c r="M1256" s="6"/>
      <x:c r="N1256" s="6"/>
      <x:c r="O1256" s="6"/>
      <x:c r="P1256" s="6"/>
      <x:c r="Q1256" s="6"/>
      <x:c r="R1256"/>
      <x:c r="S1256"/>
      <x:c r="T1256"/>
    </x:row>
    <x:row r="1257" spans="1:20" ht="15.75" x14ac:dyDescent="0.25">
      <x:c r="A1257"/>
      <x:c r="B1257"/>
      <x:c r="C1257"/>
      <x:c r="D1257"/>
      <x:c r="E1257" s="31"/>
      <x:c r="F1257" s="8"/>
      <x:c r="G1257" s="8"/>
      <x:c r="H1257" s="6"/>
      <x:c r="I1257" s="27"/>
      <x:c r="J1257" s="6"/>
      <x:c r="K1257" s="6"/>
      <x:c r="L1257" s="6"/>
      <x:c r="M1257" s="6"/>
      <x:c r="N1257" s="6"/>
      <x:c r="O1257" s="6"/>
      <x:c r="P1257" s="6"/>
      <x:c r="Q1257" s="6"/>
      <x:c r="R1257"/>
      <x:c r="S1257"/>
      <x:c r="T1257"/>
    </x:row>
    <x:row r="1258" spans="1:20" ht="15.75" x14ac:dyDescent="0.25">
      <x:c r="A1258"/>
      <x:c r="B1258"/>
      <x:c r="C1258"/>
      <x:c r="D1258"/>
      <x:c r="E1258" s="31"/>
      <x:c r="F1258" s="8"/>
      <x:c r="G1258" s="8"/>
      <x:c r="H1258" s="6"/>
      <x:c r="I1258" s="27"/>
      <x:c r="J1258" s="6"/>
      <x:c r="K1258" s="6"/>
      <x:c r="L1258" s="6"/>
      <x:c r="M1258" s="6"/>
      <x:c r="N1258" s="6"/>
      <x:c r="O1258" s="6"/>
      <x:c r="P1258" s="6"/>
      <x:c r="Q1258" s="6"/>
      <x:c r="R1258"/>
      <x:c r="S1258"/>
      <x:c r="T1258"/>
    </x:row>
    <x:row r="1259" spans="1:20" ht="15.75" x14ac:dyDescent="0.25">
      <x:c r="A1259"/>
      <x:c r="B1259"/>
      <x:c r="C1259"/>
      <x:c r="D1259"/>
      <x:c r="E1259" s="31"/>
      <x:c r="F1259" s="8"/>
      <x:c r="G1259" s="8"/>
      <x:c r="H1259" s="6"/>
      <x:c r="I1259" s="27"/>
      <x:c r="J1259" s="6"/>
      <x:c r="K1259" s="6"/>
      <x:c r="L1259" s="6"/>
      <x:c r="M1259" s="6"/>
      <x:c r="N1259" s="6"/>
      <x:c r="O1259" s="6"/>
      <x:c r="P1259" s="6"/>
      <x:c r="Q1259" s="6"/>
      <x:c r="R1259"/>
      <x:c r="S1259"/>
      <x:c r="T1259"/>
    </x:row>
    <x:row r="1260" spans="1:20" ht="15.75" x14ac:dyDescent="0.25">
      <x:c r="A1260"/>
      <x:c r="B1260"/>
      <x:c r="C1260"/>
      <x:c r="D1260"/>
      <x:c r="E1260" s="31"/>
      <x:c r="F1260" s="8"/>
      <x:c r="G1260" s="8"/>
      <x:c r="H1260" s="6"/>
      <x:c r="I1260" s="27"/>
      <x:c r="J1260" s="6"/>
      <x:c r="K1260" s="6"/>
      <x:c r="L1260" s="6"/>
      <x:c r="M1260" s="6"/>
      <x:c r="N1260" s="6"/>
      <x:c r="O1260" s="6"/>
      <x:c r="P1260" s="6"/>
      <x:c r="Q1260" s="6"/>
      <x:c r="R1260"/>
      <x:c r="S1260"/>
      <x:c r="T1260"/>
    </x:row>
    <x:row r="1261" spans="1:20" ht="15.75" x14ac:dyDescent="0.25">
      <x:c r="A1261"/>
      <x:c r="B1261"/>
      <x:c r="C1261"/>
      <x:c r="D1261"/>
      <x:c r="E1261" s="31"/>
      <x:c r="F1261" s="8"/>
      <x:c r="G1261" s="8"/>
      <x:c r="H1261" s="6"/>
      <x:c r="I1261" s="27"/>
      <x:c r="J1261" s="6"/>
      <x:c r="K1261" s="6"/>
      <x:c r="L1261" s="6"/>
      <x:c r="M1261" s="6"/>
      <x:c r="N1261" s="6"/>
      <x:c r="O1261" s="6"/>
      <x:c r="P1261" s="6"/>
      <x:c r="Q1261" s="6"/>
      <x:c r="R1261"/>
      <x:c r="S1261"/>
      <x:c r="T1261"/>
    </x:row>
    <x:row r="1262" spans="1:20" ht="15.75" x14ac:dyDescent="0.25">
      <x:c r="A1262"/>
      <x:c r="B1262"/>
      <x:c r="C1262"/>
      <x:c r="D1262"/>
      <x:c r="E1262" s="31"/>
      <x:c r="F1262" s="8"/>
      <x:c r="G1262" s="8"/>
      <x:c r="H1262" s="6"/>
      <x:c r="I1262" s="27"/>
      <x:c r="J1262" s="6"/>
      <x:c r="K1262" s="6"/>
      <x:c r="L1262" s="6"/>
      <x:c r="M1262" s="6"/>
      <x:c r="N1262" s="6"/>
      <x:c r="O1262" s="6"/>
      <x:c r="P1262" s="6"/>
      <x:c r="Q1262" s="6"/>
      <x:c r="R1262"/>
      <x:c r="S1262"/>
      <x:c r="T1262"/>
    </x:row>
    <x:row r="1263" spans="1:20" ht="15.75" x14ac:dyDescent="0.25">
      <x:c r="A1263"/>
      <x:c r="B1263"/>
      <x:c r="C1263"/>
      <x:c r="D1263"/>
      <x:c r="E1263" s="31"/>
      <x:c r="F1263" s="8"/>
      <x:c r="G1263" s="8"/>
      <x:c r="H1263" s="6"/>
      <x:c r="I1263" s="27"/>
      <x:c r="J1263" s="6"/>
      <x:c r="K1263" s="6"/>
      <x:c r="L1263" s="6"/>
      <x:c r="M1263" s="6"/>
      <x:c r="N1263" s="6"/>
      <x:c r="O1263" s="6"/>
      <x:c r="P1263" s="6"/>
      <x:c r="Q1263" s="6"/>
      <x:c r="R1263"/>
      <x:c r="S1263"/>
      <x:c r="T1263"/>
    </x:row>
    <x:row r="1264" spans="1:20" ht="15.75" x14ac:dyDescent="0.25">
      <x:c r="A1264"/>
      <x:c r="B1264"/>
      <x:c r="C1264"/>
      <x:c r="D1264"/>
      <x:c r="E1264" s="31"/>
      <x:c r="F1264" s="8"/>
      <x:c r="G1264" s="8"/>
      <x:c r="H1264" s="6"/>
      <x:c r="I1264" s="27"/>
      <x:c r="J1264" s="6"/>
      <x:c r="K1264" s="6"/>
      <x:c r="L1264" s="6"/>
      <x:c r="M1264" s="6"/>
      <x:c r="N1264" s="6"/>
      <x:c r="O1264" s="6"/>
      <x:c r="P1264" s="6"/>
      <x:c r="Q1264" s="6"/>
      <x:c r="R1264"/>
      <x:c r="S1264"/>
      <x:c r="T1264"/>
    </x:row>
    <x:row r="1265" spans="1:20" ht="15.75" x14ac:dyDescent="0.25">
      <x:c r="A1265"/>
      <x:c r="B1265"/>
      <x:c r="C1265"/>
      <x:c r="D1265"/>
      <x:c r="E1265" s="31"/>
      <x:c r="F1265" s="8"/>
      <x:c r="G1265" s="8"/>
      <x:c r="H1265" s="6"/>
      <x:c r="I1265" s="27"/>
      <x:c r="J1265" s="6"/>
      <x:c r="K1265" s="6"/>
      <x:c r="L1265" s="6"/>
      <x:c r="M1265" s="6"/>
      <x:c r="N1265" s="6"/>
      <x:c r="O1265" s="6"/>
      <x:c r="P1265" s="6"/>
      <x:c r="Q1265" s="6"/>
      <x:c r="R1265"/>
      <x:c r="S1265"/>
      <x:c r="T1265"/>
    </x:row>
    <x:row r="1266" spans="1:20" ht="15.75" x14ac:dyDescent="0.25">
      <x:c r="A1266"/>
      <x:c r="B1266"/>
      <x:c r="C1266"/>
      <x:c r="D1266"/>
      <x:c r="E1266" s="31"/>
      <x:c r="F1266" s="8"/>
      <x:c r="G1266" s="8"/>
      <x:c r="H1266" s="6"/>
      <x:c r="I1266" s="27"/>
      <x:c r="J1266" s="6"/>
      <x:c r="K1266" s="6"/>
      <x:c r="L1266" s="6"/>
      <x:c r="M1266" s="6"/>
      <x:c r="N1266" s="6"/>
      <x:c r="O1266" s="6"/>
      <x:c r="P1266" s="6"/>
      <x:c r="Q1266" s="6"/>
      <x:c r="R1266"/>
      <x:c r="S1266"/>
      <x:c r="T1266"/>
    </x:row>
    <x:row r="1267" spans="1:20" ht="15.75" x14ac:dyDescent="0.25">
      <x:c r="A1267"/>
      <x:c r="B1267"/>
      <x:c r="C1267"/>
      <x:c r="D1267"/>
      <x:c r="E1267" s="31"/>
      <x:c r="F1267" s="8"/>
      <x:c r="G1267" s="8"/>
      <x:c r="H1267" s="6"/>
      <x:c r="I1267" s="27"/>
      <x:c r="J1267" s="6"/>
      <x:c r="K1267" s="6"/>
      <x:c r="L1267" s="6"/>
      <x:c r="M1267" s="6"/>
      <x:c r="N1267" s="6"/>
      <x:c r="O1267" s="6"/>
      <x:c r="P1267" s="6"/>
      <x:c r="Q1267" s="6"/>
      <x:c r="R1267"/>
      <x:c r="S1267"/>
      <x:c r="T1267"/>
    </x:row>
    <x:row r="1268" spans="1:20" ht="15.75" x14ac:dyDescent="0.25">
      <x:c r="A1268"/>
      <x:c r="B1268"/>
      <x:c r="C1268"/>
      <x:c r="D1268"/>
      <x:c r="E1268" s="31"/>
      <x:c r="F1268" s="8"/>
      <x:c r="G1268" s="8"/>
      <x:c r="H1268" s="6"/>
      <x:c r="I1268" s="27"/>
      <x:c r="J1268" s="6"/>
      <x:c r="K1268" s="6"/>
      <x:c r="L1268" s="6"/>
      <x:c r="M1268" s="6"/>
      <x:c r="N1268" s="6"/>
      <x:c r="O1268" s="6"/>
      <x:c r="P1268" s="6"/>
      <x:c r="Q1268" s="6"/>
      <x:c r="R1268"/>
      <x:c r="S1268"/>
      <x:c r="T1268"/>
    </x:row>
    <x:row r="1269" spans="1:20" ht="15.75" x14ac:dyDescent="0.25">
      <x:c r="A1269"/>
      <x:c r="B1269"/>
      <x:c r="C1269"/>
      <x:c r="D1269"/>
      <x:c r="E1269" s="31"/>
      <x:c r="F1269" s="8"/>
      <x:c r="G1269" s="8"/>
      <x:c r="H1269" s="6"/>
      <x:c r="I1269" s="27"/>
      <x:c r="J1269" s="6"/>
      <x:c r="K1269" s="6"/>
      <x:c r="L1269" s="6"/>
      <x:c r="M1269" s="6"/>
      <x:c r="N1269" s="6"/>
      <x:c r="O1269" s="6"/>
      <x:c r="P1269" s="6"/>
      <x:c r="Q1269" s="6"/>
      <x:c r="R1269"/>
      <x:c r="S1269"/>
      <x:c r="T1269"/>
    </x:row>
    <x:row r="1270" spans="1:20" ht="15.75" x14ac:dyDescent="0.25">
      <x:c r="A1270"/>
      <x:c r="B1270"/>
      <x:c r="C1270"/>
      <x:c r="D1270"/>
      <x:c r="E1270" s="31"/>
      <x:c r="F1270" s="8"/>
      <x:c r="G1270" s="8"/>
      <x:c r="H1270" s="6"/>
      <x:c r="I1270" s="27"/>
      <x:c r="J1270" s="6"/>
      <x:c r="K1270" s="6"/>
      <x:c r="L1270" s="6"/>
      <x:c r="M1270" s="6"/>
      <x:c r="N1270" s="6"/>
      <x:c r="O1270" s="6"/>
      <x:c r="P1270" s="6"/>
      <x:c r="Q1270" s="6"/>
      <x:c r="R1270"/>
      <x:c r="S1270"/>
      <x:c r="T1270"/>
    </x:row>
    <x:row r="1271" spans="1:20" ht="15.75" x14ac:dyDescent="0.25">
      <x:c r="A1271"/>
      <x:c r="B1271"/>
      <x:c r="C1271"/>
      <x:c r="D1271"/>
      <x:c r="E1271" s="31"/>
      <x:c r="F1271" s="8"/>
      <x:c r="G1271" s="8"/>
      <x:c r="H1271" s="6"/>
      <x:c r="I1271" s="27"/>
      <x:c r="J1271" s="6"/>
      <x:c r="K1271" s="6"/>
      <x:c r="L1271" s="6"/>
      <x:c r="M1271" s="6"/>
      <x:c r="N1271" s="6"/>
      <x:c r="O1271" s="6"/>
      <x:c r="P1271" s="6"/>
      <x:c r="Q1271" s="6"/>
      <x:c r="R1271"/>
      <x:c r="S1271"/>
      <x:c r="T1271"/>
    </x:row>
    <x:row r="1272" spans="1:20" ht="15.75" x14ac:dyDescent="0.25">
      <x:c r="A1272"/>
      <x:c r="B1272"/>
      <x:c r="C1272"/>
      <x:c r="D1272"/>
      <x:c r="E1272" s="31"/>
      <x:c r="F1272" s="8"/>
      <x:c r="G1272" s="8"/>
      <x:c r="H1272" s="6"/>
      <x:c r="I1272" s="27"/>
      <x:c r="J1272" s="6"/>
      <x:c r="K1272" s="6"/>
      <x:c r="L1272" s="6"/>
      <x:c r="M1272" s="6"/>
      <x:c r="N1272" s="6"/>
      <x:c r="O1272" s="6"/>
      <x:c r="P1272" s="6"/>
      <x:c r="Q1272" s="6"/>
      <x:c r="R1272"/>
      <x:c r="S1272"/>
      <x:c r="T1272"/>
    </x:row>
    <x:row r="1273" spans="1:20" ht="15.75" x14ac:dyDescent="0.25">
      <x:c r="A1273"/>
      <x:c r="B1273"/>
      <x:c r="C1273"/>
      <x:c r="D1273"/>
      <x:c r="E1273" s="31"/>
      <x:c r="F1273" s="8"/>
      <x:c r="G1273" s="8"/>
      <x:c r="H1273" s="6"/>
      <x:c r="I1273" s="27"/>
      <x:c r="J1273" s="6"/>
      <x:c r="K1273" s="6"/>
      <x:c r="L1273" s="6"/>
      <x:c r="M1273" s="6"/>
      <x:c r="N1273" s="6"/>
      <x:c r="O1273" s="6"/>
      <x:c r="P1273" s="6"/>
      <x:c r="Q1273" s="6"/>
      <x:c r="R1273"/>
      <x:c r="S1273"/>
      <x:c r="T1273"/>
    </x:row>
    <x:row r="1274" spans="1:20" ht="15.75" x14ac:dyDescent="0.25">
      <x:c r="A1274"/>
      <x:c r="B1274"/>
      <x:c r="C1274"/>
      <x:c r="D1274"/>
      <x:c r="E1274" s="31"/>
      <x:c r="F1274" s="8"/>
      <x:c r="G1274" s="8"/>
      <x:c r="H1274" s="6"/>
      <x:c r="I1274" s="27"/>
      <x:c r="J1274" s="6"/>
      <x:c r="K1274" s="6"/>
      <x:c r="L1274" s="6"/>
      <x:c r="M1274" s="6"/>
      <x:c r="N1274" s="6"/>
      <x:c r="O1274" s="6"/>
      <x:c r="P1274" s="6"/>
      <x:c r="Q1274" s="6"/>
      <x:c r="R1274"/>
      <x:c r="S1274"/>
      <x:c r="T1274"/>
    </x:row>
    <x:row r="1275" spans="1:20" ht="15.75" x14ac:dyDescent="0.25">
      <x:c r="A1275"/>
      <x:c r="B1275"/>
      <x:c r="C1275"/>
      <x:c r="D1275"/>
      <x:c r="E1275" s="31"/>
      <x:c r="F1275" s="8"/>
      <x:c r="G1275" s="8"/>
      <x:c r="H1275" s="6"/>
      <x:c r="I1275" s="27"/>
      <x:c r="J1275" s="6"/>
      <x:c r="K1275" s="6"/>
      <x:c r="L1275" s="6"/>
      <x:c r="M1275" s="6"/>
      <x:c r="N1275" s="6"/>
      <x:c r="O1275" s="6"/>
      <x:c r="P1275" s="6"/>
      <x:c r="Q1275" s="6"/>
      <x:c r="R1275"/>
      <x:c r="S1275"/>
      <x:c r="T1275"/>
    </x:row>
    <x:row r="1276" spans="1:20" ht="15.75" x14ac:dyDescent="0.25">
      <x:c r="A1276"/>
      <x:c r="B1276"/>
      <x:c r="C1276"/>
      <x:c r="D1276"/>
      <x:c r="E1276" s="31"/>
      <x:c r="F1276" s="8"/>
      <x:c r="G1276" s="8"/>
      <x:c r="H1276" s="6"/>
      <x:c r="I1276" s="27"/>
      <x:c r="J1276" s="6"/>
      <x:c r="K1276" s="6"/>
      <x:c r="L1276" s="6"/>
      <x:c r="M1276" s="6"/>
      <x:c r="N1276" s="6"/>
      <x:c r="O1276" s="6"/>
      <x:c r="P1276" s="6"/>
      <x:c r="Q1276" s="6"/>
      <x:c r="R1276"/>
      <x:c r="S1276"/>
      <x:c r="T1276"/>
    </x:row>
    <x:row r="1277" spans="1:20" ht="15.75" x14ac:dyDescent="0.25">
      <x:c r="A1277"/>
      <x:c r="B1277"/>
      <x:c r="C1277"/>
      <x:c r="D1277"/>
      <x:c r="E1277" s="31"/>
      <x:c r="F1277" s="8"/>
      <x:c r="G1277" s="8"/>
      <x:c r="H1277" s="6"/>
      <x:c r="I1277" s="27"/>
      <x:c r="J1277" s="6"/>
      <x:c r="K1277" s="6"/>
      <x:c r="L1277" s="6"/>
      <x:c r="M1277" s="6"/>
      <x:c r="N1277" s="6"/>
      <x:c r="O1277" s="6"/>
      <x:c r="P1277" s="6"/>
      <x:c r="Q1277" s="6"/>
      <x:c r="R1277"/>
      <x:c r="S1277"/>
      <x:c r="T1277"/>
    </x:row>
    <x:row r="1278" spans="1:20" ht="15.75" x14ac:dyDescent="0.25">
      <x:c r="A1278"/>
      <x:c r="B1278"/>
      <x:c r="C1278"/>
      <x:c r="D1278"/>
      <x:c r="E1278" s="31"/>
      <x:c r="F1278" s="8"/>
      <x:c r="G1278" s="8"/>
      <x:c r="H1278" s="6"/>
      <x:c r="I1278" s="27"/>
      <x:c r="J1278" s="6"/>
      <x:c r="K1278" s="6"/>
      <x:c r="L1278" s="6"/>
      <x:c r="M1278" s="6"/>
      <x:c r="N1278" s="6"/>
      <x:c r="O1278" s="6"/>
      <x:c r="P1278" s="6"/>
      <x:c r="Q1278" s="6"/>
      <x:c r="R1278"/>
      <x:c r="S1278"/>
      <x:c r="T1278"/>
    </x:row>
    <x:row r="1279" spans="1:20" ht="15.75" x14ac:dyDescent="0.25">
      <x:c r="A1279"/>
      <x:c r="B1279"/>
      <x:c r="C1279"/>
      <x:c r="D1279"/>
      <x:c r="E1279" s="31"/>
      <x:c r="F1279" s="8"/>
      <x:c r="G1279" s="8"/>
      <x:c r="H1279" s="6"/>
      <x:c r="I1279" s="27"/>
      <x:c r="J1279" s="6"/>
      <x:c r="K1279" s="6"/>
      <x:c r="L1279" s="6"/>
      <x:c r="M1279" s="6"/>
      <x:c r="N1279" s="6"/>
      <x:c r="O1279" s="6"/>
      <x:c r="P1279" s="6"/>
      <x:c r="Q1279" s="6"/>
      <x:c r="R1279"/>
      <x:c r="S1279"/>
      <x:c r="T1279"/>
    </x:row>
    <x:row r="1280" spans="1:20" ht="15.75" x14ac:dyDescent="0.25">
      <x:c r="A1280"/>
      <x:c r="B1280"/>
      <x:c r="C1280"/>
      <x:c r="D1280"/>
      <x:c r="E1280" s="31"/>
      <x:c r="F1280" s="8"/>
      <x:c r="G1280" s="8"/>
      <x:c r="H1280" s="6"/>
      <x:c r="I1280" s="27"/>
      <x:c r="J1280" s="6"/>
      <x:c r="K1280" s="6"/>
      <x:c r="L1280" s="6"/>
      <x:c r="M1280" s="6"/>
      <x:c r="N1280" s="6"/>
      <x:c r="O1280" s="6"/>
      <x:c r="P1280" s="6"/>
      <x:c r="Q1280" s="6"/>
      <x:c r="R1280"/>
      <x:c r="S1280"/>
      <x:c r="T1280"/>
    </x:row>
    <x:row r="1281" spans="1:20" ht="15.75" x14ac:dyDescent="0.25">
      <x:c r="A1281"/>
      <x:c r="B1281"/>
      <x:c r="C1281"/>
      <x:c r="D1281"/>
      <x:c r="E1281" s="31"/>
      <x:c r="F1281" s="8"/>
      <x:c r="G1281" s="8"/>
      <x:c r="H1281" s="6"/>
      <x:c r="I1281" s="27"/>
      <x:c r="J1281" s="6"/>
      <x:c r="K1281" s="6"/>
      <x:c r="L1281" s="6"/>
      <x:c r="M1281" s="6"/>
      <x:c r="N1281" s="6"/>
      <x:c r="O1281" s="6"/>
      <x:c r="P1281" s="6"/>
      <x:c r="Q1281" s="6"/>
      <x:c r="R1281"/>
      <x:c r="S1281"/>
      <x:c r="T1281"/>
    </x:row>
    <x:row r="1282" spans="1:20" ht="15.75" x14ac:dyDescent="0.25">
      <x:c r="A1282"/>
      <x:c r="B1282"/>
      <x:c r="C1282"/>
      <x:c r="D1282"/>
      <x:c r="E1282" s="31"/>
      <x:c r="F1282" s="8"/>
      <x:c r="G1282" s="8"/>
      <x:c r="H1282" s="6"/>
      <x:c r="I1282" s="27"/>
      <x:c r="J1282" s="6"/>
      <x:c r="K1282" s="6"/>
      <x:c r="L1282" s="6"/>
      <x:c r="M1282" s="6"/>
      <x:c r="N1282" s="6"/>
      <x:c r="O1282" s="6"/>
      <x:c r="P1282" s="6"/>
      <x:c r="Q1282" s="6"/>
      <x:c r="R1282"/>
      <x:c r="S1282"/>
      <x:c r="T1282"/>
    </x:row>
    <x:row r="1283" spans="1:20" ht="15.75" x14ac:dyDescent="0.25">
      <x:c r="A1283"/>
      <x:c r="B1283"/>
      <x:c r="C1283"/>
      <x:c r="D1283"/>
      <x:c r="E1283" s="31"/>
      <x:c r="F1283" s="8"/>
      <x:c r="G1283" s="8"/>
      <x:c r="H1283" s="6"/>
      <x:c r="I1283" s="27"/>
      <x:c r="J1283" s="6"/>
      <x:c r="K1283" s="6"/>
      <x:c r="L1283" s="6"/>
      <x:c r="M1283" s="6"/>
      <x:c r="N1283" s="6"/>
      <x:c r="O1283" s="6"/>
      <x:c r="P1283" s="6"/>
      <x:c r="Q1283" s="6"/>
      <x:c r="R1283"/>
      <x:c r="S1283"/>
      <x:c r="T1283"/>
    </x:row>
    <x:row r="1284" spans="1:20" ht="15.75" x14ac:dyDescent="0.25">
      <x:c r="A1284"/>
      <x:c r="B1284"/>
      <x:c r="C1284"/>
      <x:c r="D1284"/>
      <x:c r="E1284" s="31"/>
      <x:c r="F1284" s="8"/>
      <x:c r="G1284" s="8"/>
      <x:c r="H1284" s="6"/>
      <x:c r="I1284" s="27"/>
      <x:c r="J1284" s="6"/>
      <x:c r="K1284" s="6"/>
      <x:c r="L1284" s="6"/>
      <x:c r="M1284" s="6"/>
      <x:c r="N1284" s="6"/>
      <x:c r="O1284" s="6"/>
      <x:c r="P1284" s="6"/>
      <x:c r="Q1284" s="6"/>
      <x:c r="R1284"/>
      <x:c r="S1284"/>
      <x:c r="T1284"/>
    </x:row>
    <x:row r="1285" spans="1:20" ht="15.75" x14ac:dyDescent="0.25">
      <x:c r="A1285"/>
      <x:c r="B1285"/>
      <x:c r="C1285"/>
      <x:c r="D1285"/>
      <x:c r="E1285" s="31"/>
      <x:c r="F1285" s="8"/>
      <x:c r="G1285" s="8"/>
      <x:c r="H1285" s="6"/>
      <x:c r="I1285" s="27"/>
      <x:c r="J1285" s="6"/>
      <x:c r="K1285" s="6"/>
      <x:c r="L1285" s="6"/>
      <x:c r="M1285" s="6"/>
      <x:c r="N1285" s="6"/>
      <x:c r="O1285" s="6"/>
      <x:c r="P1285" s="6"/>
      <x:c r="Q1285" s="6"/>
      <x:c r="R1285"/>
      <x:c r="S1285"/>
      <x:c r="T1285"/>
    </x:row>
    <x:row r="1286" spans="1:20" ht="15.75" x14ac:dyDescent="0.25">
      <x:c r="A1286"/>
      <x:c r="B1286"/>
      <x:c r="C1286"/>
      <x:c r="D1286"/>
      <x:c r="E1286" s="31"/>
      <x:c r="F1286" s="8"/>
      <x:c r="G1286" s="8"/>
      <x:c r="H1286" s="6"/>
      <x:c r="I1286" s="27"/>
      <x:c r="J1286" s="6"/>
      <x:c r="K1286" s="6"/>
      <x:c r="L1286" s="6"/>
      <x:c r="M1286" s="6"/>
      <x:c r="N1286" s="6"/>
      <x:c r="O1286" s="6"/>
      <x:c r="P1286" s="6"/>
      <x:c r="Q1286" s="6"/>
      <x:c r="R1286"/>
      <x:c r="S1286"/>
      <x:c r="T1286"/>
    </x:row>
    <x:row r="1287" spans="1:20" ht="15.75" x14ac:dyDescent="0.25">
      <x:c r="A1287"/>
      <x:c r="B1287"/>
      <x:c r="C1287"/>
      <x:c r="D1287"/>
      <x:c r="E1287" s="31"/>
      <x:c r="F1287" s="8"/>
      <x:c r="G1287" s="8"/>
      <x:c r="H1287" s="6"/>
      <x:c r="I1287" s="27"/>
      <x:c r="J1287" s="6"/>
      <x:c r="K1287" s="6"/>
      <x:c r="L1287" s="6"/>
      <x:c r="M1287" s="6"/>
      <x:c r="N1287" s="6"/>
      <x:c r="O1287" s="6"/>
      <x:c r="P1287" s="6"/>
      <x:c r="Q1287" s="6"/>
      <x:c r="R1287"/>
      <x:c r="S1287"/>
      <x:c r="T1287"/>
    </x:row>
    <x:row r="1288" spans="1:20" ht="15.75" x14ac:dyDescent="0.25">
      <x:c r="A1288"/>
      <x:c r="B1288"/>
      <x:c r="C1288"/>
      <x:c r="D1288"/>
      <x:c r="E1288" s="31"/>
      <x:c r="F1288" s="8"/>
      <x:c r="G1288" s="8"/>
      <x:c r="H1288" s="6"/>
      <x:c r="I1288" s="27"/>
      <x:c r="J1288" s="6"/>
      <x:c r="K1288" s="6"/>
      <x:c r="L1288" s="6"/>
      <x:c r="M1288" s="6"/>
      <x:c r="N1288" s="6"/>
      <x:c r="O1288" s="6"/>
      <x:c r="P1288" s="6"/>
      <x:c r="Q1288" s="6"/>
      <x:c r="R1288"/>
      <x:c r="S1288"/>
      <x:c r="T1288"/>
    </x:row>
    <x:row r="1289" spans="1:20" ht="15.75" x14ac:dyDescent="0.25">
      <x:c r="A1289"/>
      <x:c r="B1289"/>
      <x:c r="C1289"/>
      <x:c r="D1289"/>
      <x:c r="E1289" s="31"/>
      <x:c r="F1289" s="8"/>
      <x:c r="G1289" s="8"/>
      <x:c r="H1289" s="6"/>
      <x:c r="I1289" s="27"/>
      <x:c r="J1289" s="6"/>
      <x:c r="K1289" s="6"/>
      <x:c r="L1289" s="6"/>
      <x:c r="M1289" s="6"/>
      <x:c r="N1289" s="6"/>
      <x:c r="O1289" s="6"/>
      <x:c r="P1289" s="6"/>
      <x:c r="Q1289" s="6"/>
      <x:c r="R1289"/>
      <x:c r="S1289"/>
      <x:c r="T1289"/>
    </x:row>
    <x:row r="1290" spans="1:20" ht="15.75" x14ac:dyDescent="0.25">
      <x:c r="A1290"/>
      <x:c r="B1290"/>
      <x:c r="C1290"/>
      <x:c r="D1290"/>
      <x:c r="E1290" s="31"/>
      <x:c r="F1290" s="8"/>
      <x:c r="G1290" s="8"/>
      <x:c r="H1290" s="6"/>
      <x:c r="I1290" s="27"/>
      <x:c r="J1290" s="6"/>
      <x:c r="K1290" s="6"/>
      <x:c r="L1290" s="6"/>
      <x:c r="M1290" s="6"/>
      <x:c r="N1290" s="6"/>
      <x:c r="O1290" s="6"/>
      <x:c r="P1290" s="6"/>
      <x:c r="Q1290" s="6"/>
      <x:c r="R1290"/>
      <x:c r="S1290"/>
      <x:c r="T1290"/>
    </x:row>
    <x:row r="1291" spans="1:20" ht="15.75" x14ac:dyDescent="0.25">
      <x:c r="A1291"/>
      <x:c r="B1291"/>
      <x:c r="C1291"/>
      <x:c r="D1291"/>
      <x:c r="E1291" s="31"/>
      <x:c r="F1291" s="8"/>
      <x:c r="G1291" s="8"/>
      <x:c r="H1291" s="6"/>
      <x:c r="I1291" s="27"/>
      <x:c r="J1291" s="6"/>
      <x:c r="K1291" s="6"/>
      <x:c r="L1291" s="6"/>
      <x:c r="M1291" s="6"/>
      <x:c r="N1291" s="6"/>
      <x:c r="O1291" s="6"/>
      <x:c r="P1291" s="6"/>
      <x:c r="Q1291" s="6"/>
      <x:c r="R1291"/>
      <x:c r="S1291"/>
      <x:c r="T1291"/>
    </x:row>
    <x:row r="1292" spans="1:20" ht="15.75" x14ac:dyDescent="0.25">
      <x:c r="A1292"/>
      <x:c r="B1292"/>
      <x:c r="C1292"/>
      <x:c r="D1292"/>
      <x:c r="E1292" s="31"/>
      <x:c r="F1292" s="8"/>
      <x:c r="G1292" s="8"/>
      <x:c r="H1292" s="6"/>
      <x:c r="I1292" s="27"/>
      <x:c r="J1292" s="6"/>
      <x:c r="K1292" s="6"/>
      <x:c r="L1292" s="6"/>
      <x:c r="M1292" s="6"/>
      <x:c r="N1292" s="6"/>
      <x:c r="O1292" s="6"/>
      <x:c r="P1292" s="6"/>
      <x:c r="Q1292" s="6"/>
      <x:c r="R1292"/>
      <x:c r="S1292"/>
      <x:c r="T1292"/>
    </x:row>
    <x:row r="1293" spans="1:20" ht="15.75" x14ac:dyDescent="0.25">
      <x:c r="A1293"/>
      <x:c r="B1293"/>
      <x:c r="C1293"/>
      <x:c r="D1293"/>
      <x:c r="E1293" s="31"/>
      <x:c r="F1293" s="8"/>
      <x:c r="G1293" s="8"/>
      <x:c r="H1293" s="6"/>
      <x:c r="I1293" s="27"/>
      <x:c r="J1293" s="6"/>
      <x:c r="K1293" s="6"/>
      <x:c r="L1293" s="6"/>
      <x:c r="M1293" s="6"/>
      <x:c r="N1293" s="6"/>
      <x:c r="O1293" s="6"/>
      <x:c r="P1293" s="6"/>
      <x:c r="Q1293" s="6"/>
      <x:c r="R1293"/>
      <x:c r="S1293"/>
      <x:c r="T1293"/>
    </x:row>
    <x:row r="1294" spans="1:20" ht="15.75" x14ac:dyDescent="0.25">
      <x:c r="A1294"/>
      <x:c r="B1294"/>
      <x:c r="C1294"/>
      <x:c r="D1294"/>
      <x:c r="E1294" s="31"/>
      <x:c r="F1294" s="8"/>
      <x:c r="G1294" s="8"/>
      <x:c r="H1294" s="6"/>
      <x:c r="I1294" s="27"/>
      <x:c r="J1294" s="6"/>
      <x:c r="K1294" s="6"/>
      <x:c r="L1294" s="6"/>
      <x:c r="M1294" s="6"/>
      <x:c r="N1294" s="6"/>
      <x:c r="O1294" s="6"/>
      <x:c r="P1294" s="6"/>
      <x:c r="Q1294" s="6"/>
      <x:c r="R1294"/>
      <x:c r="S1294"/>
      <x:c r="T1294"/>
    </x:row>
    <x:row r="1295" spans="1:20" ht="15.75" x14ac:dyDescent="0.25">
      <x:c r="A1295"/>
      <x:c r="B1295"/>
      <x:c r="C1295"/>
      <x:c r="D1295"/>
      <x:c r="E1295" s="31"/>
      <x:c r="F1295" s="8"/>
      <x:c r="G1295" s="8"/>
      <x:c r="H1295" s="6"/>
      <x:c r="I1295" s="27"/>
      <x:c r="J1295" s="6"/>
      <x:c r="K1295" s="6"/>
      <x:c r="L1295" s="6"/>
      <x:c r="M1295" s="6"/>
      <x:c r="N1295" s="6"/>
      <x:c r="O1295" s="6"/>
      <x:c r="P1295" s="6"/>
      <x:c r="Q1295" s="6"/>
      <x:c r="R1295"/>
      <x:c r="S1295"/>
      <x:c r="T1295"/>
    </x:row>
    <x:row r="1296" spans="1:20" ht="15.75" x14ac:dyDescent="0.25">
      <x:c r="A1296"/>
      <x:c r="B1296"/>
      <x:c r="C1296"/>
      <x:c r="D1296"/>
      <x:c r="E1296" s="31"/>
      <x:c r="F1296" s="8"/>
      <x:c r="G1296" s="8"/>
      <x:c r="H1296" s="6"/>
      <x:c r="I1296" s="27"/>
      <x:c r="J1296" s="6"/>
      <x:c r="K1296" s="6"/>
      <x:c r="L1296" s="6"/>
      <x:c r="M1296" s="6"/>
      <x:c r="N1296" s="6"/>
      <x:c r="O1296" s="6"/>
      <x:c r="P1296" s="6"/>
      <x:c r="Q1296" s="6"/>
      <x:c r="R1296"/>
      <x:c r="S1296"/>
      <x:c r="T1296"/>
    </x:row>
    <x:row r="1297" spans="1:20" ht="15.75" x14ac:dyDescent="0.25">
      <x:c r="A1297"/>
      <x:c r="B1297"/>
      <x:c r="C1297"/>
      <x:c r="D1297"/>
      <x:c r="E1297" s="31"/>
      <x:c r="F1297" s="8"/>
      <x:c r="G1297" s="8"/>
      <x:c r="H1297" s="6"/>
      <x:c r="I1297" s="27"/>
      <x:c r="J1297" s="6"/>
      <x:c r="K1297" s="6"/>
      <x:c r="L1297" s="6"/>
      <x:c r="M1297" s="6"/>
      <x:c r="N1297" s="6"/>
      <x:c r="O1297" s="6"/>
      <x:c r="P1297" s="6"/>
      <x:c r="Q1297" s="6"/>
      <x:c r="R1297"/>
      <x:c r="S1297"/>
      <x:c r="T1297"/>
    </x:row>
    <x:row r="1298" spans="1:20" ht="15.75" x14ac:dyDescent="0.25">
      <x:c r="A1298"/>
      <x:c r="B1298"/>
      <x:c r="C1298"/>
      <x:c r="D1298"/>
      <x:c r="E1298" s="31"/>
      <x:c r="F1298" s="8"/>
      <x:c r="G1298" s="8"/>
      <x:c r="H1298" s="6"/>
      <x:c r="I1298" s="27"/>
      <x:c r="J1298" s="6"/>
      <x:c r="K1298" s="6"/>
      <x:c r="L1298" s="6"/>
      <x:c r="M1298" s="6"/>
      <x:c r="N1298" s="6"/>
      <x:c r="O1298" s="6"/>
      <x:c r="P1298" s="6"/>
      <x:c r="Q1298" s="6"/>
      <x:c r="R1298"/>
      <x:c r="S1298"/>
      <x:c r="T1298"/>
    </x:row>
    <x:row r="1299" spans="1:20" ht="15.75" x14ac:dyDescent="0.25">
      <x:c r="A1299"/>
      <x:c r="B1299"/>
      <x:c r="C1299"/>
      <x:c r="D1299"/>
      <x:c r="E1299" s="31"/>
      <x:c r="F1299" s="8"/>
      <x:c r="G1299" s="8"/>
      <x:c r="H1299" s="6"/>
      <x:c r="I1299" s="27"/>
      <x:c r="J1299" s="6"/>
      <x:c r="K1299" s="6"/>
      <x:c r="L1299" s="6"/>
      <x:c r="M1299" s="6"/>
      <x:c r="N1299" s="6"/>
      <x:c r="O1299" s="6"/>
      <x:c r="P1299" s="6"/>
      <x:c r="Q1299" s="6"/>
      <x:c r="R1299"/>
      <x:c r="S1299"/>
      <x:c r="T1299"/>
    </x:row>
    <x:row r="1300" spans="1:20" ht="15.75" x14ac:dyDescent="0.25">
      <x:c r="A1300"/>
      <x:c r="B1300"/>
      <x:c r="C1300"/>
      <x:c r="D1300"/>
      <x:c r="E1300" s="31"/>
      <x:c r="F1300" s="8"/>
      <x:c r="G1300" s="8"/>
      <x:c r="H1300" s="6"/>
      <x:c r="I1300" s="27"/>
      <x:c r="J1300" s="6"/>
      <x:c r="K1300" s="6"/>
      <x:c r="L1300" s="6"/>
      <x:c r="M1300" s="6"/>
      <x:c r="N1300" s="6"/>
      <x:c r="O1300" s="6"/>
      <x:c r="P1300" s="6"/>
      <x:c r="Q1300" s="6"/>
      <x:c r="R1300"/>
      <x:c r="S1300"/>
      <x:c r="T1300"/>
    </x:row>
    <x:row r="1301" spans="1:20" ht="15.75" x14ac:dyDescent="0.25">
      <x:c r="A1301"/>
      <x:c r="B1301"/>
      <x:c r="C1301"/>
      <x:c r="D1301"/>
      <x:c r="E1301" s="31"/>
      <x:c r="F1301" s="8"/>
      <x:c r="G1301" s="8"/>
      <x:c r="H1301" s="6"/>
      <x:c r="I1301" s="27"/>
      <x:c r="J1301" s="6"/>
      <x:c r="K1301" s="6"/>
      <x:c r="L1301" s="6"/>
      <x:c r="M1301" s="6"/>
      <x:c r="N1301" s="6"/>
      <x:c r="O1301" s="6"/>
      <x:c r="P1301" s="6"/>
      <x:c r="Q1301" s="6"/>
      <x:c r="R1301"/>
      <x:c r="S1301"/>
      <x:c r="T1301"/>
    </x:row>
    <x:row r="1302" spans="1:20" ht="15.75" x14ac:dyDescent="0.25">
      <x:c r="A1302"/>
      <x:c r="B1302"/>
      <x:c r="C1302"/>
      <x:c r="D1302"/>
      <x:c r="E1302" s="31"/>
      <x:c r="F1302" s="8"/>
      <x:c r="G1302" s="8"/>
      <x:c r="H1302" s="6"/>
      <x:c r="I1302" s="27"/>
      <x:c r="J1302" s="6"/>
      <x:c r="K1302" s="6"/>
      <x:c r="L1302" s="6"/>
      <x:c r="M1302" s="6"/>
      <x:c r="N1302" s="6"/>
      <x:c r="O1302" s="6"/>
      <x:c r="P1302" s="6"/>
      <x:c r="Q1302" s="6"/>
      <x:c r="R1302"/>
      <x:c r="S1302"/>
      <x:c r="T1302"/>
    </x:row>
    <x:row r="1303" spans="1:20" ht="15.75" x14ac:dyDescent="0.25">
      <x:c r="A1303"/>
      <x:c r="B1303"/>
      <x:c r="C1303"/>
      <x:c r="D1303"/>
      <x:c r="E1303" s="31"/>
      <x:c r="F1303" s="8"/>
      <x:c r="G1303" s="8"/>
      <x:c r="H1303" s="6"/>
      <x:c r="I1303" s="27"/>
      <x:c r="J1303" s="6"/>
      <x:c r="K1303" s="6"/>
      <x:c r="L1303" s="6"/>
      <x:c r="M1303" s="6"/>
      <x:c r="N1303" s="6"/>
      <x:c r="O1303" s="6"/>
      <x:c r="P1303" s="6"/>
      <x:c r="Q1303" s="6"/>
      <x:c r="R1303"/>
      <x:c r="S1303"/>
      <x:c r="T1303"/>
    </x:row>
    <x:row r="1304" spans="1:20" ht="15.75" x14ac:dyDescent="0.25">
      <x:c r="A1304"/>
      <x:c r="B1304"/>
      <x:c r="C1304"/>
      <x:c r="D1304"/>
      <x:c r="E1304" s="31"/>
      <x:c r="F1304" s="8"/>
      <x:c r="G1304" s="8"/>
      <x:c r="H1304" s="6"/>
      <x:c r="I1304" s="27"/>
      <x:c r="J1304" s="6"/>
      <x:c r="K1304" s="6"/>
      <x:c r="L1304" s="6"/>
      <x:c r="M1304" s="6"/>
      <x:c r="N1304" s="6"/>
      <x:c r="O1304" s="6"/>
      <x:c r="P1304" s="6"/>
      <x:c r="Q1304" s="6"/>
      <x:c r="R1304"/>
      <x:c r="S1304"/>
      <x:c r="T1304"/>
    </x:row>
    <x:row r="1305" spans="1:20" ht="15.75" x14ac:dyDescent="0.25">
      <x:c r="A1305"/>
      <x:c r="B1305"/>
      <x:c r="C1305"/>
      <x:c r="D1305"/>
      <x:c r="E1305" s="31"/>
      <x:c r="F1305" s="8"/>
      <x:c r="G1305" s="8"/>
      <x:c r="H1305" s="6"/>
      <x:c r="I1305" s="27"/>
      <x:c r="J1305" s="6"/>
      <x:c r="K1305" s="6"/>
      <x:c r="L1305" s="6"/>
      <x:c r="M1305" s="6"/>
      <x:c r="N1305" s="6"/>
      <x:c r="O1305" s="6"/>
      <x:c r="P1305" s="6"/>
      <x:c r="Q1305" s="6"/>
      <x:c r="R1305"/>
      <x:c r="S1305"/>
      <x:c r="T1305"/>
    </x:row>
    <x:row r="1306" spans="1:20" ht="15.75" x14ac:dyDescent="0.25">
      <x:c r="A1306"/>
      <x:c r="B1306"/>
      <x:c r="C1306"/>
      <x:c r="D1306"/>
      <x:c r="E1306" s="31"/>
      <x:c r="F1306" s="8"/>
      <x:c r="G1306" s="8"/>
      <x:c r="H1306" s="6"/>
      <x:c r="I1306" s="27"/>
      <x:c r="J1306" s="6"/>
      <x:c r="K1306" s="6"/>
      <x:c r="L1306" s="6"/>
      <x:c r="M1306" s="6"/>
      <x:c r="N1306" s="6"/>
      <x:c r="O1306" s="6"/>
      <x:c r="P1306" s="6"/>
      <x:c r="Q1306" s="6"/>
      <x:c r="R1306"/>
      <x:c r="S1306"/>
      <x:c r="T1306"/>
    </x:row>
    <x:row r="1307" spans="1:20" ht="15.75" x14ac:dyDescent="0.25">
      <x:c r="A1307"/>
      <x:c r="B1307"/>
      <x:c r="C1307"/>
      <x:c r="D1307"/>
      <x:c r="E1307" s="31"/>
      <x:c r="F1307" s="8"/>
      <x:c r="G1307" s="8"/>
      <x:c r="H1307" s="6"/>
      <x:c r="I1307" s="27"/>
      <x:c r="J1307" s="6"/>
      <x:c r="K1307" s="6"/>
      <x:c r="L1307" s="6"/>
      <x:c r="M1307" s="6"/>
      <x:c r="N1307" s="6"/>
      <x:c r="O1307" s="6"/>
      <x:c r="P1307" s="6"/>
      <x:c r="Q1307" s="6"/>
      <x:c r="R1307"/>
      <x:c r="S1307"/>
      <x:c r="T1307"/>
    </x:row>
    <x:row r="1308" spans="1:20" ht="15.75" x14ac:dyDescent="0.25">
      <x:c r="A1308"/>
      <x:c r="B1308"/>
      <x:c r="C1308"/>
      <x:c r="D1308"/>
      <x:c r="E1308" s="31"/>
      <x:c r="F1308" s="8"/>
      <x:c r="G1308" s="8"/>
      <x:c r="H1308" s="6"/>
      <x:c r="I1308" s="27"/>
      <x:c r="J1308" s="6"/>
      <x:c r="K1308" s="6"/>
      <x:c r="L1308" s="6"/>
      <x:c r="M1308" s="6"/>
      <x:c r="N1308" s="6"/>
      <x:c r="O1308" s="6"/>
      <x:c r="P1308" s="6"/>
      <x:c r="Q1308" s="6"/>
      <x:c r="R1308"/>
      <x:c r="S1308"/>
      <x:c r="T1308"/>
    </x:row>
    <x:row r="1309" spans="1:20" ht="15.75" x14ac:dyDescent="0.25">
      <x:c r="A1309"/>
      <x:c r="B1309"/>
      <x:c r="C1309"/>
      <x:c r="D1309"/>
      <x:c r="E1309" s="31"/>
      <x:c r="F1309" s="8"/>
      <x:c r="G1309" s="8"/>
      <x:c r="H1309" s="6"/>
      <x:c r="I1309" s="27"/>
      <x:c r="J1309" s="6"/>
      <x:c r="K1309" s="6"/>
      <x:c r="L1309" s="6"/>
      <x:c r="M1309" s="6"/>
      <x:c r="N1309" s="6"/>
      <x:c r="O1309" s="6"/>
      <x:c r="P1309" s="6"/>
      <x:c r="Q1309" s="6"/>
      <x:c r="R1309"/>
      <x:c r="S1309"/>
      <x:c r="T1309"/>
    </x:row>
    <x:row r="1310" spans="1:20" ht="15.75" x14ac:dyDescent="0.25">
      <x:c r="A1310"/>
      <x:c r="B1310"/>
      <x:c r="C1310"/>
      <x:c r="D1310"/>
      <x:c r="E1310" s="31"/>
      <x:c r="F1310" s="8"/>
      <x:c r="G1310" s="8"/>
      <x:c r="H1310" s="6"/>
      <x:c r="I1310" s="27"/>
      <x:c r="J1310" s="6"/>
      <x:c r="K1310" s="6"/>
      <x:c r="L1310" s="6"/>
      <x:c r="M1310" s="6"/>
      <x:c r="N1310" s="6"/>
      <x:c r="O1310" s="6"/>
      <x:c r="P1310" s="6"/>
      <x:c r="Q1310" s="6"/>
      <x:c r="R1310"/>
      <x:c r="S1310"/>
      <x:c r="T1310"/>
    </x:row>
    <x:row r="1311" spans="1:20" ht="15.75" x14ac:dyDescent="0.25">
      <x:c r="A1311"/>
      <x:c r="B1311"/>
      <x:c r="C1311"/>
      <x:c r="D1311"/>
      <x:c r="E1311" s="31"/>
      <x:c r="F1311" s="8"/>
      <x:c r="G1311" s="8"/>
      <x:c r="H1311" s="6"/>
      <x:c r="I1311" s="27"/>
      <x:c r="J1311" s="6"/>
      <x:c r="K1311" s="6"/>
      <x:c r="L1311" s="6"/>
      <x:c r="M1311" s="6"/>
      <x:c r="N1311" s="6"/>
      <x:c r="O1311" s="6"/>
      <x:c r="P1311" s="6"/>
      <x:c r="Q1311" s="6"/>
      <x:c r="R1311"/>
      <x:c r="S1311"/>
      <x:c r="T1311"/>
    </x:row>
    <x:row r="1312" spans="1:20" ht="15.75" x14ac:dyDescent="0.25">
      <x:c r="A1312"/>
      <x:c r="B1312"/>
      <x:c r="C1312"/>
      <x:c r="D1312"/>
      <x:c r="E1312" s="31"/>
      <x:c r="F1312" s="8"/>
      <x:c r="G1312" s="8"/>
      <x:c r="H1312" s="6"/>
      <x:c r="I1312" s="27"/>
      <x:c r="J1312" s="6"/>
      <x:c r="K1312" s="6"/>
      <x:c r="L1312" s="6"/>
      <x:c r="M1312" s="6"/>
      <x:c r="N1312" s="6"/>
      <x:c r="O1312" s="6"/>
      <x:c r="P1312" s="6"/>
      <x:c r="Q1312" s="6"/>
      <x:c r="R1312"/>
      <x:c r="S1312"/>
      <x:c r="T1312"/>
    </x:row>
    <x:row r="1313" spans="1:20" ht="15.75" x14ac:dyDescent="0.25">
      <x:c r="A1313"/>
      <x:c r="B1313"/>
      <x:c r="C1313"/>
      <x:c r="D1313"/>
      <x:c r="E1313" s="31"/>
      <x:c r="F1313" s="8"/>
      <x:c r="G1313" s="8"/>
      <x:c r="H1313" s="6"/>
      <x:c r="I1313" s="27"/>
      <x:c r="J1313" s="6"/>
      <x:c r="K1313" s="6"/>
      <x:c r="L1313" s="6"/>
      <x:c r="M1313" s="6"/>
      <x:c r="N1313" s="6"/>
      <x:c r="O1313" s="6"/>
      <x:c r="P1313" s="6"/>
      <x:c r="Q1313" s="6"/>
      <x:c r="R1313"/>
      <x:c r="S1313"/>
      <x:c r="T1313"/>
    </x:row>
    <x:row r="1314" spans="1:20" ht="15.75" x14ac:dyDescent="0.25">
      <x:c r="A1314"/>
      <x:c r="B1314"/>
      <x:c r="C1314"/>
      <x:c r="D1314"/>
      <x:c r="E1314" s="31"/>
      <x:c r="F1314" s="8"/>
      <x:c r="G1314" s="8"/>
      <x:c r="H1314" s="6"/>
      <x:c r="I1314" s="27"/>
      <x:c r="J1314" s="6"/>
      <x:c r="K1314" s="6"/>
      <x:c r="L1314" s="6"/>
      <x:c r="M1314" s="6"/>
      <x:c r="N1314" s="6"/>
      <x:c r="O1314" s="6"/>
      <x:c r="P1314" s="6"/>
      <x:c r="Q1314" s="6"/>
      <x:c r="R1314"/>
      <x:c r="S1314"/>
      <x:c r="T1314"/>
    </x:row>
    <x:row r="1315" spans="1:20" ht="15.75" x14ac:dyDescent="0.25">
      <x:c r="A1315"/>
      <x:c r="B1315"/>
      <x:c r="C1315"/>
      <x:c r="D1315"/>
      <x:c r="E1315" s="31"/>
      <x:c r="F1315" s="8"/>
      <x:c r="G1315" s="8"/>
      <x:c r="H1315" s="6"/>
      <x:c r="I1315" s="27"/>
      <x:c r="J1315" s="6"/>
      <x:c r="K1315" s="6"/>
      <x:c r="L1315" s="6"/>
      <x:c r="M1315" s="6"/>
      <x:c r="N1315" s="6"/>
      <x:c r="O1315" s="6"/>
      <x:c r="P1315" s="6"/>
      <x:c r="Q1315" s="6"/>
      <x:c r="R1315"/>
      <x:c r="S1315"/>
      <x:c r="T1315"/>
    </x:row>
    <x:row r="1316" spans="1:20" ht="15.75" x14ac:dyDescent="0.25">
      <x:c r="A1316"/>
      <x:c r="B1316"/>
      <x:c r="C1316"/>
      <x:c r="D1316"/>
      <x:c r="E1316" s="31"/>
      <x:c r="F1316" s="8"/>
      <x:c r="G1316" s="8"/>
      <x:c r="H1316" s="6"/>
      <x:c r="I1316" s="27"/>
      <x:c r="J1316" s="6"/>
      <x:c r="K1316" s="6"/>
      <x:c r="L1316" s="6"/>
      <x:c r="M1316" s="6"/>
      <x:c r="N1316" s="6"/>
      <x:c r="O1316" s="6"/>
      <x:c r="P1316" s="6"/>
      <x:c r="Q1316" s="6"/>
      <x:c r="R1316"/>
      <x:c r="S1316"/>
      <x:c r="T1316"/>
    </x:row>
    <x:row r="1317" spans="1:20" ht="15.75" x14ac:dyDescent="0.25">
      <x:c r="A1317"/>
      <x:c r="B1317"/>
      <x:c r="C1317"/>
      <x:c r="D1317"/>
      <x:c r="E1317" s="31"/>
      <x:c r="F1317" s="8"/>
      <x:c r="G1317" s="8"/>
      <x:c r="H1317" s="6"/>
      <x:c r="I1317" s="27"/>
      <x:c r="J1317" s="6"/>
      <x:c r="K1317" s="6"/>
      <x:c r="L1317" s="6"/>
      <x:c r="M1317" s="6"/>
      <x:c r="N1317" s="6"/>
      <x:c r="O1317" s="6"/>
      <x:c r="P1317" s="6"/>
      <x:c r="Q1317" s="6"/>
      <x:c r="R1317"/>
      <x:c r="S1317"/>
      <x:c r="T1317"/>
    </x:row>
    <x:row r="1318" spans="1:20" ht="15.75" x14ac:dyDescent="0.25">
      <x:c r="A1318"/>
      <x:c r="B1318"/>
      <x:c r="C1318"/>
      <x:c r="D1318"/>
      <x:c r="E1318" s="31"/>
      <x:c r="F1318" s="8"/>
      <x:c r="G1318" s="8"/>
      <x:c r="H1318" s="6"/>
      <x:c r="I1318" s="27"/>
      <x:c r="J1318" s="6"/>
      <x:c r="K1318" s="6"/>
      <x:c r="L1318" s="6"/>
      <x:c r="M1318" s="6"/>
      <x:c r="N1318" s="6"/>
      <x:c r="O1318" s="6"/>
      <x:c r="P1318" s="6"/>
      <x:c r="Q1318" s="6"/>
      <x:c r="R1318"/>
      <x:c r="S1318"/>
      <x:c r="T1318"/>
    </x:row>
    <x:row r="1319" spans="1:20" ht="15.75" x14ac:dyDescent="0.25">
      <x:c r="A1319"/>
      <x:c r="B1319"/>
      <x:c r="C1319"/>
      <x:c r="D1319"/>
      <x:c r="E1319" s="31"/>
      <x:c r="F1319" s="8"/>
      <x:c r="G1319" s="8"/>
      <x:c r="H1319" s="6"/>
      <x:c r="I1319" s="27"/>
      <x:c r="J1319" s="6"/>
      <x:c r="K1319" s="6"/>
      <x:c r="L1319" s="6"/>
      <x:c r="M1319" s="6"/>
      <x:c r="N1319" s="6"/>
      <x:c r="O1319" s="6"/>
      <x:c r="P1319" s="6"/>
      <x:c r="Q1319" s="6"/>
      <x:c r="R1319"/>
      <x:c r="S1319"/>
      <x:c r="T1319"/>
    </x:row>
    <x:row r="1320" spans="1:20" ht="15.75" x14ac:dyDescent="0.25">
      <x:c r="A1320"/>
      <x:c r="B1320"/>
      <x:c r="C1320"/>
      <x:c r="D1320"/>
      <x:c r="E1320" s="31"/>
      <x:c r="F1320" s="8"/>
      <x:c r="G1320" s="8"/>
      <x:c r="H1320" s="6"/>
      <x:c r="I1320" s="27"/>
      <x:c r="J1320" s="6"/>
      <x:c r="K1320" s="6"/>
      <x:c r="L1320" s="6"/>
      <x:c r="M1320" s="6"/>
      <x:c r="N1320" s="6"/>
      <x:c r="O1320" s="6"/>
      <x:c r="P1320" s="6"/>
      <x:c r="Q1320" s="6"/>
      <x:c r="R1320"/>
      <x:c r="S1320"/>
      <x:c r="T1320"/>
    </x:row>
    <x:row r="1321" spans="1:20" ht="15.75" x14ac:dyDescent="0.25">
      <x:c r="A1321"/>
      <x:c r="B1321"/>
      <x:c r="C1321"/>
      <x:c r="D1321"/>
      <x:c r="E1321" s="31"/>
      <x:c r="F1321" s="8"/>
      <x:c r="G1321" s="8"/>
      <x:c r="H1321" s="6"/>
      <x:c r="I1321" s="27"/>
      <x:c r="J1321" s="6"/>
      <x:c r="K1321" s="6"/>
      <x:c r="L1321" s="6"/>
      <x:c r="M1321" s="6"/>
      <x:c r="N1321" s="6"/>
      <x:c r="O1321" s="6"/>
      <x:c r="P1321" s="6"/>
      <x:c r="Q1321" s="6"/>
      <x:c r="R1321"/>
      <x:c r="S1321"/>
      <x:c r="T1321"/>
    </x:row>
    <x:row r="1322" spans="1:20" ht="15.75" x14ac:dyDescent="0.25">
      <x:c r="A1322"/>
      <x:c r="B1322"/>
      <x:c r="C1322"/>
      <x:c r="D1322"/>
      <x:c r="E1322" s="31"/>
      <x:c r="F1322" s="8"/>
      <x:c r="G1322" s="8"/>
      <x:c r="H1322" s="6"/>
      <x:c r="I1322" s="27"/>
      <x:c r="J1322" s="6"/>
      <x:c r="K1322" s="6"/>
      <x:c r="L1322" s="6"/>
      <x:c r="M1322" s="6"/>
      <x:c r="N1322" s="6"/>
      <x:c r="O1322" s="6"/>
      <x:c r="P1322" s="6"/>
      <x:c r="Q1322" s="6"/>
      <x:c r="R1322"/>
      <x:c r="S1322"/>
      <x:c r="T1322"/>
    </x:row>
    <x:row r="1323" spans="1:20" ht="15.75" x14ac:dyDescent="0.25">
      <x:c r="A1323"/>
      <x:c r="B1323"/>
      <x:c r="C1323"/>
      <x:c r="D1323"/>
      <x:c r="E1323" s="31"/>
      <x:c r="F1323" s="8"/>
      <x:c r="G1323" s="8"/>
      <x:c r="H1323" s="6"/>
      <x:c r="I1323" s="27"/>
      <x:c r="J1323" s="6"/>
      <x:c r="K1323" s="6"/>
      <x:c r="L1323" s="6"/>
      <x:c r="M1323" s="6"/>
      <x:c r="N1323" s="6"/>
      <x:c r="O1323" s="6"/>
      <x:c r="P1323" s="6"/>
      <x:c r="Q1323" s="6"/>
      <x:c r="R1323"/>
      <x:c r="S1323"/>
      <x:c r="T1323"/>
    </x:row>
    <x:row r="1324" spans="1:20" ht="15.75" x14ac:dyDescent="0.25">
      <x:c r="A1324"/>
      <x:c r="B1324"/>
      <x:c r="C1324"/>
      <x:c r="D1324"/>
      <x:c r="E1324" s="31"/>
      <x:c r="F1324" s="8"/>
      <x:c r="G1324" s="8"/>
      <x:c r="H1324" s="6"/>
      <x:c r="I1324" s="27"/>
      <x:c r="J1324" s="6"/>
      <x:c r="K1324" s="6"/>
      <x:c r="L1324" s="6"/>
      <x:c r="M1324" s="6"/>
      <x:c r="N1324" s="6"/>
      <x:c r="O1324" s="6"/>
      <x:c r="P1324" s="6"/>
      <x:c r="Q1324" s="6"/>
      <x:c r="R1324"/>
      <x:c r="S1324"/>
      <x:c r="T1324"/>
    </x:row>
    <x:row r="1325" spans="1:20" ht="15.75" x14ac:dyDescent="0.25">
      <x:c r="A1325"/>
      <x:c r="B1325"/>
      <x:c r="C1325"/>
      <x:c r="D1325"/>
      <x:c r="E1325" s="31"/>
      <x:c r="F1325" s="8"/>
      <x:c r="G1325" s="8"/>
      <x:c r="H1325" s="6"/>
      <x:c r="I1325" s="27"/>
      <x:c r="J1325" s="6"/>
      <x:c r="K1325" s="6"/>
      <x:c r="L1325" s="6"/>
      <x:c r="M1325" s="6"/>
      <x:c r="N1325" s="6"/>
      <x:c r="O1325" s="6"/>
      <x:c r="P1325" s="6"/>
      <x:c r="Q1325" s="6"/>
      <x:c r="R1325"/>
      <x:c r="S1325"/>
      <x:c r="T1325"/>
    </x:row>
    <x:row r="1326" spans="1:20" ht="15.75" x14ac:dyDescent="0.25">
      <x:c r="A1326"/>
      <x:c r="B1326"/>
      <x:c r="C1326"/>
      <x:c r="D1326"/>
      <x:c r="E1326" s="31"/>
      <x:c r="F1326" s="8"/>
      <x:c r="G1326" s="8"/>
      <x:c r="H1326" s="6"/>
      <x:c r="I1326" s="27"/>
      <x:c r="J1326" s="6"/>
      <x:c r="K1326" s="6"/>
      <x:c r="L1326" s="6"/>
      <x:c r="M1326" s="6"/>
      <x:c r="N1326" s="6"/>
      <x:c r="O1326" s="6"/>
      <x:c r="P1326" s="6"/>
      <x:c r="Q1326" s="6"/>
      <x:c r="R1326"/>
      <x:c r="S1326"/>
      <x:c r="T1326"/>
    </x:row>
    <x:row r="1327" spans="1:20" ht="15.75" x14ac:dyDescent="0.25">
      <x:c r="A1327"/>
      <x:c r="B1327"/>
      <x:c r="C1327"/>
      <x:c r="D1327"/>
      <x:c r="E1327" s="31"/>
      <x:c r="F1327" s="8"/>
      <x:c r="G1327" s="8"/>
      <x:c r="H1327" s="6"/>
      <x:c r="I1327" s="27"/>
      <x:c r="J1327" s="6"/>
      <x:c r="K1327" s="6"/>
      <x:c r="L1327" s="6"/>
      <x:c r="M1327" s="6"/>
      <x:c r="N1327" s="6"/>
      <x:c r="O1327" s="6"/>
      <x:c r="P1327" s="6"/>
      <x:c r="Q1327" s="6"/>
      <x:c r="R1327"/>
      <x:c r="S1327"/>
      <x:c r="T1327"/>
    </x:row>
    <x:row r="1328" spans="1:20" ht="15.75" x14ac:dyDescent="0.25">
      <x:c r="A1328"/>
      <x:c r="B1328"/>
      <x:c r="C1328"/>
      <x:c r="D1328"/>
      <x:c r="E1328" s="31"/>
      <x:c r="F1328" s="8"/>
      <x:c r="G1328" s="8"/>
      <x:c r="H1328" s="6"/>
      <x:c r="I1328" s="27"/>
      <x:c r="J1328" s="6"/>
      <x:c r="K1328" s="6"/>
      <x:c r="L1328" s="6"/>
      <x:c r="M1328" s="6"/>
      <x:c r="N1328" s="6"/>
      <x:c r="O1328" s="6"/>
      <x:c r="P1328" s="6"/>
      <x:c r="Q1328" s="6"/>
      <x:c r="R1328"/>
      <x:c r="S1328"/>
      <x:c r="T1328"/>
    </x:row>
    <x:row r="1329" spans="1:20" ht="15.75" x14ac:dyDescent="0.25">
      <x:c r="A1329"/>
      <x:c r="B1329"/>
      <x:c r="C1329"/>
      <x:c r="D1329"/>
      <x:c r="E1329" s="31"/>
      <x:c r="F1329" s="8"/>
      <x:c r="G1329" s="8"/>
      <x:c r="H1329" s="6"/>
      <x:c r="I1329" s="27"/>
      <x:c r="J1329" s="6"/>
      <x:c r="K1329" s="6"/>
      <x:c r="L1329" s="6"/>
      <x:c r="M1329" s="6"/>
      <x:c r="N1329" s="6"/>
      <x:c r="O1329" s="6"/>
      <x:c r="P1329" s="6"/>
      <x:c r="Q1329" s="6"/>
      <x:c r="R1329"/>
      <x:c r="S1329"/>
      <x:c r="T1329"/>
    </x:row>
    <x:row r="1330" spans="1:20" ht="15.75" x14ac:dyDescent="0.25">
      <x:c r="A1330"/>
      <x:c r="B1330"/>
      <x:c r="C1330"/>
      <x:c r="D1330"/>
      <x:c r="E1330" s="31"/>
      <x:c r="F1330" s="8"/>
      <x:c r="G1330" s="8"/>
      <x:c r="H1330" s="6"/>
      <x:c r="I1330" s="27"/>
      <x:c r="J1330" s="6"/>
      <x:c r="K1330" s="6"/>
      <x:c r="L1330" s="6"/>
      <x:c r="M1330" s="6"/>
      <x:c r="N1330" s="6"/>
      <x:c r="O1330" s="6"/>
      <x:c r="P1330" s="6"/>
      <x:c r="Q1330" s="6"/>
      <x:c r="R1330"/>
      <x:c r="S1330"/>
      <x:c r="T1330"/>
    </x:row>
    <x:row r="1331" spans="1:20" ht="15.75" x14ac:dyDescent="0.25">
      <x:c r="A1331"/>
      <x:c r="B1331"/>
      <x:c r="C1331"/>
      <x:c r="D1331"/>
      <x:c r="E1331" s="31"/>
      <x:c r="F1331" s="8"/>
      <x:c r="G1331" s="8"/>
      <x:c r="H1331" s="6"/>
      <x:c r="I1331" s="27"/>
      <x:c r="J1331" s="6"/>
      <x:c r="K1331" s="6"/>
      <x:c r="L1331" s="6"/>
      <x:c r="M1331" s="6"/>
      <x:c r="N1331" s="6"/>
      <x:c r="O1331" s="6"/>
      <x:c r="P1331" s="6"/>
      <x:c r="Q1331" s="6"/>
      <x:c r="R1331"/>
      <x:c r="S1331"/>
      <x:c r="T1331"/>
    </x:row>
    <x:row r="1332" spans="1:20" ht="15.75" x14ac:dyDescent="0.25">
      <x:c r="A1332"/>
      <x:c r="B1332"/>
      <x:c r="C1332"/>
      <x:c r="D1332"/>
      <x:c r="E1332" s="31"/>
      <x:c r="F1332" s="8"/>
      <x:c r="G1332" s="8"/>
      <x:c r="H1332" s="6"/>
      <x:c r="I1332" s="27"/>
      <x:c r="J1332" s="6"/>
      <x:c r="K1332" s="6"/>
      <x:c r="L1332" s="6"/>
      <x:c r="M1332" s="6"/>
      <x:c r="N1332" s="6"/>
      <x:c r="O1332" s="6"/>
      <x:c r="P1332" s="6"/>
      <x:c r="Q1332" s="6"/>
      <x:c r="R1332"/>
      <x:c r="S1332"/>
      <x:c r="T1332"/>
    </x:row>
    <x:row r="1333" spans="1:20" ht="15.75" x14ac:dyDescent="0.25">
      <x:c r="A1333"/>
      <x:c r="B1333"/>
      <x:c r="C1333"/>
      <x:c r="D1333"/>
      <x:c r="E1333" s="31"/>
      <x:c r="F1333" s="8"/>
      <x:c r="G1333" s="8"/>
      <x:c r="H1333" s="6"/>
      <x:c r="I1333" s="27"/>
      <x:c r="J1333" s="6"/>
      <x:c r="K1333" s="6"/>
      <x:c r="L1333" s="6"/>
      <x:c r="M1333" s="6"/>
      <x:c r="N1333" s="6"/>
      <x:c r="O1333" s="6"/>
      <x:c r="P1333" s="6"/>
      <x:c r="Q1333" s="6"/>
      <x:c r="R1333"/>
      <x:c r="S1333"/>
      <x:c r="T1333"/>
    </x:row>
    <x:row r="1334" spans="1:20" ht="15.75" x14ac:dyDescent="0.25">
      <x:c r="A1334"/>
      <x:c r="B1334"/>
      <x:c r="C1334"/>
      <x:c r="D1334"/>
      <x:c r="E1334" s="31"/>
      <x:c r="F1334" s="8"/>
      <x:c r="G1334" s="8"/>
      <x:c r="H1334" s="6"/>
      <x:c r="I1334" s="27"/>
      <x:c r="J1334" s="6"/>
      <x:c r="K1334" s="6"/>
      <x:c r="L1334" s="6"/>
      <x:c r="M1334" s="6"/>
      <x:c r="N1334" s="6"/>
      <x:c r="O1334" s="6"/>
      <x:c r="P1334" s="6"/>
      <x:c r="Q1334" s="6"/>
      <x:c r="R1334"/>
      <x:c r="S1334"/>
      <x:c r="T1334"/>
    </x:row>
    <x:row r="1335" spans="1:20" ht="15.75" x14ac:dyDescent="0.25">
      <x:c r="A1335"/>
      <x:c r="B1335"/>
      <x:c r="C1335"/>
      <x:c r="D1335"/>
      <x:c r="E1335" s="31"/>
      <x:c r="F1335" s="8"/>
      <x:c r="G1335" s="8"/>
      <x:c r="H1335" s="6"/>
      <x:c r="I1335" s="27"/>
      <x:c r="J1335" s="6"/>
      <x:c r="K1335" s="6"/>
      <x:c r="L1335" s="6"/>
      <x:c r="M1335" s="6"/>
      <x:c r="N1335" s="6"/>
      <x:c r="O1335" s="6"/>
      <x:c r="P1335" s="6"/>
      <x:c r="Q1335" s="6"/>
      <x:c r="R1335"/>
      <x:c r="S1335"/>
      <x:c r="T1335"/>
    </x:row>
    <x:row r="1336" spans="1:20" ht="15.75" x14ac:dyDescent="0.25">
      <x:c r="A1336"/>
      <x:c r="B1336"/>
      <x:c r="C1336"/>
      <x:c r="D1336"/>
      <x:c r="E1336" s="31"/>
      <x:c r="F1336" s="8"/>
      <x:c r="G1336" s="8"/>
      <x:c r="H1336" s="6"/>
      <x:c r="I1336" s="27"/>
      <x:c r="J1336" s="6"/>
      <x:c r="K1336" s="6"/>
      <x:c r="L1336" s="6"/>
      <x:c r="M1336" s="6"/>
      <x:c r="N1336" s="6"/>
      <x:c r="O1336" s="6"/>
      <x:c r="P1336" s="6"/>
      <x:c r="Q1336" s="6"/>
      <x:c r="R1336"/>
      <x:c r="S1336"/>
      <x:c r="T1336"/>
    </x:row>
    <x:row r="1337" spans="1:20" ht="15.75" x14ac:dyDescent="0.25">
      <x:c r="A1337"/>
      <x:c r="B1337"/>
      <x:c r="C1337"/>
      <x:c r="D1337"/>
      <x:c r="E1337" s="31"/>
      <x:c r="F1337" s="8"/>
      <x:c r="G1337" s="8"/>
      <x:c r="H1337" s="6"/>
      <x:c r="I1337" s="27"/>
      <x:c r="J1337" s="6"/>
      <x:c r="K1337" s="6"/>
      <x:c r="L1337" s="6"/>
      <x:c r="M1337" s="6"/>
      <x:c r="N1337" s="6"/>
      <x:c r="O1337" s="6"/>
      <x:c r="P1337" s="6"/>
      <x:c r="Q1337" s="6"/>
      <x:c r="R1337"/>
      <x:c r="S1337"/>
      <x:c r="T1337"/>
    </x:row>
    <x:row r="1338" spans="1:20" ht="15.75" x14ac:dyDescent="0.25">
      <x:c r="A1338"/>
      <x:c r="B1338"/>
      <x:c r="C1338"/>
      <x:c r="D1338"/>
      <x:c r="E1338" s="31"/>
      <x:c r="F1338" s="8"/>
      <x:c r="G1338" s="8"/>
      <x:c r="H1338" s="6"/>
      <x:c r="I1338" s="27"/>
      <x:c r="J1338" s="6"/>
      <x:c r="K1338" s="6"/>
      <x:c r="L1338" s="6"/>
      <x:c r="M1338" s="6"/>
      <x:c r="N1338" s="6"/>
      <x:c r="O1338" s="6"/>
      <x:c r="P1338" s="6"/>
      <x:c r="Q1338" s="6"/>
      <x:c r="R1338"/>
      <x:c r="S1338"/>
      <x:c r="T1338"/>
    </x:row>
    <x:row r="1339" spans="1:20" ht="15.75" x14ac:dyDescent="0.25">
      <x:c r="A1339"/>
      <x:c r="B1339"/>
      <x:c r="C1339"/>
      <x:c r="D1339"/>
      <x:c r="E1339" s="31"/>
      <x:c r="F1339" s="8"/>
      <x:c r="G1339" s="8"/>
      <x:c r="H1339" s="6"/>
      <x:c r="I1339" s="27"/>
      <x:c r="J1339" s="6"/>
      <x:c r="K1339" s="6"/>
      <x:c r="L1339" s="6"/>
      <x:c r="M1339" s="6"/>
      <x:c r="N1339" s="6"/>
      <x:c r="O1339" s="6"/>
      <x:c r="P1339" s="6"/>
      <x:c r="Q1339" s="6"/>
      <x:c r="R1339"/>
      <x:c r="S1339"/>
      <x:c r="T1339"/>
    </x:row>
    <x:row r="1340" spans="1:20" ht="15.75" x14ac:dyDescent="0.25">
      <x:c r="A1340"/>
      <x:c r="B1340"/>
      <x:c r="C1340"/>
      <x:c r="D1340"/>
      <x:c r="E1340" s="31"/>
      <x:c r="F1340" s="8"/>
      <x:c r="G1340" s="8"/>
      <x:c r="H1340" s="6"/>
      <x:c r="I1340" s="27"/>
      <x:c r="J1340" s="6"/>
      <x:c r="K1340" s="6"/>
      <x:c r="L1340" s="6"/>
      <x:c r="M1340" s="6"/>
      <x:c r="N1340" s="6"/>
      <x:c r="O1340" s="6"/>
      <x:c r="P1340" s="6"/>
      <x:c r="Q1340" s="6"/>
      <x:c r="R1340"/>
      <x:c r="S1340"/>
      <x:c r="T1340"/>
    </x:row>
    <x:row r="1341" spans="1:20" ht="15.75" x14ac:dyDescent="0.25">
      <x:c r="A1341"/>
      <x:c r="B1341"/>
      <x:c r="C1341"/>
      <x:c r="D1341"/>
      <x:c r="E1341" s="31"/>
      <x:c r="F1341" s="8"/>
      <x:c r="G1341" s="8"/>
      <x:c r="H1341" s="6"/>
      <x:c r="I1341" s="27"/>
      <x:c r="J1341" s="6"/>
      <x:c r="K1341" s="6"/>
      <x:c r="L1341" s="6"/>
      <x:c r="M1341" s="6"/>
      <x:c r="N1341" s="6"/>
      <x:c r="O1341" s="6"/>
      <x:c r="P1341" s="6"/>
      <x:c r="Q1341" s="6"/>
      <x:c r="R1341"/>
      <x:c r="S1341"/>
      <x:c r="T1341"/>
    </x:row>
    <x:row r="1342" spans="1:20" ht="15.75" x14ac:dyDescent="0.25">
      <x:c r="A1342"/>
      <x:c r="B1342"/>
      <x:c r="C1342"/>
      <x:c r="D1342"/>
      <x:c r="E1342" s="31"/>
      <x:c r="F1342" s="8"/>
      <x:c r="G1342" s="8"/>
      <x:c r="H1342" s="6"/>
      <x:c r="I1342" s="27"/>
      <x:c r="J1342" s="6"/>
      <x:c r="K1342" s="6"/>
      <x:c r="L1342" s="6"/>
      <x:c r="M1342" s="6"/>
      <x:c r="N1342" s="6"/>
      <x:c r="O1342" s="6"/>
      <x:c r="P1342" s="6"/>
      <x:c r="Q1342" s="6"/>
      <x:c r="R1342"/>
      <x:c r="S1342"/>
      <x:c r="T1342"/>
    </x:row>
    <x:row r="1343" spans="1:20" ht="15.75" x14ac:dyDescent="0.25">
      <x:c r="A1343"/>
      <x:c r="B1343"/>
      <x:c r="C1343"/>
      <x:c r="D1343"/>
      <x:c r="E1343" s="31"/>
      <x:c r="F1343" s="8"/>
      <x:c r="G1343" s="8"/>
      <x:c r="H1343" s="6"/>
      <x:c r="I1343" s="27"/>
      <x:c r="J1343" s="6"/>
      <x:c r="K1343" s="6"/>
      <x:c r="L1343" s="6"/>
      <x:c r="M1343" s="6"/>
      <x:c r="N1343" s="6"/>
      <x:c r="O1343" s="6"/>
      <x:c r="P1343" s="6"/>
      <x:c r="Q1343" s="6"/>
      <x:c r="R1343"/>
      <x:c r="S1343"/>
      <x:c r="T1343"/>
    </x:row>
    <x:row r="1344" spans="1:20" ht="15.75" x14ac:dyDescent="0.25">
      <x:c r="A1344"/>
      <x:c r="B1344"/>
      <x:c r="C1344"/>
      <x:c r="D1344"/>
      <x:c r="E1344" s="31"/>
      <x:c r="F1344" s="8"/>
      <x:c r="G1344" s="8"/>
      <x:c r="H1344" s="6"/>
      <x:c r="I1344" s="27"/>
      <x:c r="J1344" s="6"/>
      <x:c r="K1344" s="6"/>
      <x:c r="L1344" s="6"/>
      <x:c r="M1344" s="6"/>
      <x:c r="N1344" s="6"/>
      <x:c r="O1344" s="6"/>
      <x:c r="P1344" s="6"/>
      <x:c r="Q1344" s="6"/>
      <x:c r="R1344"/>
      <x:c r="S1344"/>
      <x:c r="T1344"/>
    </x:row>
    <x:row r="1345" spans="1:20" ht="15.75" x14ac:dyDescent="0.25">
      <x:c r="A1345"/>
      <x:c r="B1345"/>
      <x:c r="C1345"/>
      <x:c r="D1345"/>
      <x:c r="E1345" s="31"/>
      <x:c r="F1345" s="8"/>
      <x:c r="G1345" s="8"/>
      <x:c r="H1345" s="6"/>
      <x:c r="I1345" s="27"/>
      <x:c r="J1345" s="6"/>
      <x:c r="K1345" s="6"/>
      <x:c r="L1345" s="6"/>
      <x:c r="M1345" s="6"/>
      <x:c r="N1345" s="6"/>
      <x:c r="O1345" s="6"/>
      <x:c r="P1345" s="6"/>
      <x:c r="Q1345" s="6"/>
      <x:c r="R1345"/>
      <x:c r="S1345"/>
      <x:c r="T1345"/>
    </x:row>
    <x:row r="1346" spans="1:20" ht="15.75" x14ac:dyDescent="0.25">
      <x:c r="A1346"/>
      <x:c r="B1346"/>
      <x:c r="C1346"/>
      <x:c r="D1346"/>
      <x:c r="E1346" s="31"/>
      <x:c r="F1346" s="8"/>
      <x:c r="G1346" s="8"/>
      <x:c r="H1346" s="6"/>
      <x:c r="I1346" s="27"/>
      <x:c r="J1346" s="6"/>
      <x:c r="K1346" s="6"/>
      <x:c r="L1346" s="6"/>
      <x:c r="M1346" s="6"/>
      <x:c r="N1346" s="6"/>
      <x:c r="O1346" s="6"/>
      <x:c r="P1346" s="6"/>
      <x:c r="Q1346" s="6"/>
      <x:c r="R1346"/>
      <x:c r="S1346"/>
      <x:c r="T1346"/>
    </x:row>
    <x:row r="1347" spans="1:20" ht="15.75" x14ac:dyDescent="0.25">
      <x:c r="A1347"/>
      <x:c r="B1347"/>
      <x:c r="C1347"/>
      <x:c r="D1347"/>
      <x:c r="E1347" s="31"/>
      <x:c r="F1347" s="8"/>
      <x:c r="G1347" s="8"/>
      <x:c r="H1347" s="6"/>
      <x:c r="I1347" s="27"/>
      <x:c r="J1347" s="6"/>
      <x:c r="K1347" s="6"/>
      <x:c r="L1347" s="6"/>
      <x:c r="M1347" s="6"/>
      <x:c r="N1347" s="6"/>
      <x:c r="O1347" s="6"/>
      <x:c r="P1347" s="6"/>
      <x:c r="Q1347" s="6"/>
      <x:c r="R1347"/>
      <x:c r="S1347"/>
      <x:c r="T1347"/>
    </x:row>
    <x:row r="1348" spans="1:20" ht="15.75" x14ac:dyDescent="0.25">
      <x:c r="A1348"/>
      <x:c r="B1348"/>
      <x:c r="C1348"/>
      <x:c r="D1348"/>
      <x:c r="E1348" s="31"/>
      <x:c r="F1348" s="8"/>
      <x:c r="G1348" s="8"/>
      <x:c r="H1348" s="6"/>
      <x:c r="I1348" s="27"/>
      <x:c r="J1348" s="6"/>
      <x:c r="K1348" s="6"/>
      <x:c r="L1348" s="6"/>
      <x:c r="M1348" s="6"/>
      <x:c r="N1348" s="6"/>
      <x:c r="O1348" s="6"/>
      <x:c r="P1348" s="6"/>
      <x:c r="Q1348" s="6"/>
      <x:c r="R1348"/>
      <x:c r="S1348"/>
      <x:c r="T1348"/>
    </x:row>
    <x:row r="1349" spans="1:20" ht="15.75" x14ac:dyDescent="0.25">
      <x:c r="A1349"/>
      <x:c r="B1349"/>
      <x:c r="C1349"/>
      <x:c r="D1349"/>
      <x:c r="E1349" s="31"/>
      <x:c r="F1349" s="8"/>
      <x:c r="G1349" s="8"/>
      <x:c r="H1349" s="6"/>
      <x:c r="I1349" s="27"/>
      <x:c r="J1349" s="6"/>
      <x:c r="K1349" s="6"/>
      <x:c r="L1349" s="6"/>
      <x:c r="M1349" s="6"/>
      <x:c r="N1349" s="6"/>
      <x:c r="O1349" s="6"/>
      <x:c r="P1349" s="6"/>
      <x:c r="Q1349" s="6"/>
      <x:c r="R1349"/>
      <x:c r="S1349"/>
      <x:c r="T1349"/>
    </x:row>
    <x:row r="1350" spans="1:20" ht="15.75" x14ac:dyDescent="0.25">
      <x:c r="A1350"/>
      <x:c r="B1350"/>
      <x:c r="C1350"/>
      <x:c r="D1350"/>
      <x:c r="E1350" s="31"/>
      <x:c r="F1350" s="8"/>
      <x:c r="G1350" s="8"/>
      <x:c r="H1350" s="6"/>
      <x:c r="I1350" s="27"/>
      <x:c r="J1350" s="6"/>
      <x:c r="K1350" s="6"/>
      <x:c r="L1350" s="6"/>
      <x:c r="M1350" s="6"/>
      <x:c r="N1350" s="6"/>
      <x:c r="O1350" s="6"/>
      <x:c r="P1350" s="6"/>
      <x:c r="Q1350" s="6"/>
      <x:c r="R1350"/>
      <x:c r="S1350"/>
      <x:c r="T1350"/>
    </x:row>
    <x:row r="1351" spans="1:20" ht="15.75" x14ac:dyDescent="0.25">
      <x:c r="A1351"/>
      <x:c r="B1351"/>
      <x:c r="C1351"/>
      <x:c r="D1351"/>
      <x:c r="E1351" s="31"/>
      <x:c r="F1351" s="8"/>
      <x:c r="G1351" s="8"/>
      <x:c r="H1351" s="6"/>
      <x:c r="I1351" s="27"/>
      <x:c r="J1351" s="6"/>
      <x:c r="K1351" s="6"/>
      <x:c r="L1351" s="6"/>
      <x:c r="M1351" s="6"/>
      <x:c r="N1351" s="6"/>
      <x:c r="O1351" s="6"/>
      <x:c r="P1351" s="6"/>
      <x:c r="Q1351" s="6"/>
      <x:c r="R1351"/>
      <x:c r="S1351"/>
      <x:c r="T1351"/>
    </x:row>
    <x:row r="1352" spans="1:20" ht="15.75" x14ac:dyDescent="0.25">
      <x:c r="A1352"/>
      <x:c r="B1352"/>
      <x:c r="C1352"/>
      <x:c r="D1352"/>
      <x:c r="E1352" s="31"/>
      <x:c r="F1352" s="8"/>
      <x:c r="G1352" s="8"/>
      <x:c r="H1352" s="6"/>
      <x:c r="I1352" s="27"/>
      <x:c r="J1352" s="6"/>
      <x:c r="K1352" s="6"/>
      <x:c r="L1352" s="6"/>
      <x:c r="M1352" s="6"/>
      <x:c r="N1352" s="6"/>
      <x:c r="O1352" s="6"/>
      <x:c r="P1352" s="6"/>
      <x:c r="Q1352" s="6"/>
      <x:c r="R1352"/>
      <x:c r="S1352"/>
      <x:c r="T1352"/>
    </x:row>
    <x:row r="1353" spans="1:20" ht="15.75" x14ac:dyDescent="0.25">
      <x:c r="A1353"/>
      <x:c r="B1353"/>
      <x:c r="C1353"/>
      <x:c r="D1353"/>
      <x:c r="E1353" s="31"/>
      <x:c r="F1353" s="8"/>
      <x:c r="G1353" s="8"/>
      <x:c r="H1353" s="6"/>
      <x:c r="I1353" s="27"/>
      <x:c r="J1353" s="6"/>
      <x:c r="K1353" s="6"/>
      <x:c r="L1353" s="6"/>
      <x:c r="M1353" s="6"/>
      <x:c r="N1353" s="6"/>
      <x:c r="O1353" s="6"/>
      <x:c r="P1353" s="6"/>
      <x:c r="Q1353" s="6"/>
      <x:c r="R1353"/>
      <x:c r="S1353"/>
      <x:c r="T1353"/>
    </x:row>
    <x:row r="1354" spans="1:20" ht="15.75" x14ac:dyDescent="0.25">
      <x:c r="A1354"/>
      <x:c r="B1354"/>
      <x:c r="C1354"/>
      <x:c r="D1354"/>
      <x:c r="E1354" s="31"/>
      <x:c r="F1354" s="8"/>
      <x:c r="G1354" s="8"/>
      <x:c r="H1354" s="6"/>
      <x:c r="I1354" s="27"/>
      <x:c r="J1354" s="6"/>
      <x:c r="K1354" s="6"/>
      <x:c r="L1354" s="6"/>
      <x:c r="M1354" s="6"/>
      <x:c r="N1354" s="6"/>
      <x:c r="O1354" s="6"/>
      <x:c r="P1354" s="6"/>
      <x:c r="Q1354" s="6"/>
      <x:c r="R1354"/>
      <x:c r="S1354"/>
      <x:c r="T1354"/>
    </x:row>
    <x:row r="1355" spans="1:20" ht="15.75" x14ac:dyDescent="0.25">
      <x:c r="A1355"/>
      <x:c r="B1355"/>
      <x:c r="C1355"/>
      <x:c r="D1355"/>
      <x:c r="E1355" s="31"/>
      <x:c r="F1355" s="8"/>
      <x:c r="G1355" s="8"/>
      <x:c r="H1355" s="6"/>
      <x:c r="I1355" s="27"/>
      <x:c r="J1355" s="6"/>
      <x:c r="K1355" s="6"/>
      <x:c r="L1355" s="6"/>
      <x:c r="M1355" s="6"/>
      <x:c r="N1355" s="6"/>
      <x:c r="O1355" s="6"/>
      <x:c r="P1355" s="6"/>
      <x:c r="Q1355" s="6"/>
      <x:c r="R1355"/>
      <x:c r="S1355"/>
      <x:c r="T1355"/>
    </x:row>
    <x:row r="1356" spans="1:20" ht="15.75" x14ac:dyDescent="0.25">
      <x:c r="A1356"/>
      <x:c r="B1356"/>
      <x:c r="C1356"/>
      <x:c r="D1356"/>
      <x:c r="E1356" s="31"/>
      <x:c r="F1356" s="8"/>
      <x:c r="G1356" s="8"/>
      <x:c r="H1356" s="6"/>
      <x:c r="I1356" s="27"/>
      <x:c r="J1356" s="6"/>
      <x:c r="K1356" s="6"/>
      <x:c r="L1356" s="6"/>
      <x:c r="M1356" s="6"/>
      <x:c r="N1356" s="6"/>
      <x:c r="O1356" s="6"/>
      <x:c r="P1356" s="6"/>
      <x:c r="Q1356" s="6"/>
      <x:c r="R1356"/>
      <x:c r="S1356"/>
      <x:c r="T1356"/>
    </x:row>
    <x:row r="1357" spans="1:20" ht="15.75" x14ac:dyDescent="0.25">
      <x:c r="A1357"/>
      <x:c r="B1357"/>
      <x:c r="C1357"/>
      <x:c r="D1357"/>
      <x:c r="E1357" s="31"/>
      <x:c r="F1357" s="8"/>
      <x:c r="G1357" s="8"/>
      <x:c r="H1357" s="6"/>
      <x:c r="I1357" s="27"/>
      <x:c r="J1357" s="6"/>
      <x:c r="K1357" s="6"/>
      <x:c r="L1357" s="6"/>
      <x:c r="M1357" s="6"/>
      <x:c r="N1357" s="6"/>
      <x:c r="O1357" s="6"/>
      <x:c r="P1357" s="6"/>
      <x:c r="Q1357" s="6"/>
      <x:c r="R1357"/>
      <x:c r="S1357"/>
      <x:c r="T1357"/>
    </x:row>
    <x:row r="1358" spans="1:20" ht="15.75" x14ac:dyDescent="0.25">
      <x:c r="A1358"/>
      <x:c r="B1358"/>
      <x:c r="C1358"/>
      <x:c r="D1358"/>
      <x:c r="E1358" s="31"/>
      <x:c r="F1358" s="8"/>
      <x:c r="G1358" s="8"/>
      <x:c r="H1358" s="6"/>
      <x:c r="I1358" s="27"/>
      <x:c r="J1358" s="6"/>
      <x:c r="K1358" s="6"/>
      <x:c r="L1358" s="6"/>
      <x:c r="M1358" s="6"/>
      <x:c r="N1358" s="6"/>
      <x:c r="O1358" s="6"/>
      <x:c r="P1358" s="6"/>
      <x:c r="Q1358" s="6"/>
      <x:c r="R1358"/>
      <x:c r="S1358"/>
      <x:c r="T1358"/>
    </x:row>
    <x:row r="1359" spans="1:20" ht="15.75" x14ac:dyDescent="0.25">
      <x:c r="A1359"/>
      <x:c r="B1359"/>
      <x:c r="C1359"/>
      <x:c r="D1359"/>
      <x:c r="E1359" s="31"/>
      <x:c r="F1359" s="8"/>
      <x:c r="G1359" s="8"/>
      <x:c r="H1359" s="6"/>
      <x:c r="I1359" s="27"/>
      <x:c r="J1359" s="6"/>
      <x:c r="K1359" s="6"/>
      <x:c r="L1359" s="6"/>
      <x:c r="M1359" s="6"/>
      <x:c r="N1359" s="6"/>
      <x:c r="O1359" s="6"/>
      <x:c r="P1359" s="6"/>
      <x:c r="Q1359" s="6"/>
      <x:c r="R1359"/>
      <x:c r="S1359"/>
      <x:c r="T1359"/>
    </x:row>
    <x:row r="1360" spans="1:20" ht="15.75" x14ac:dyDescent="0.25">
      <x:c r="A1360"/>
      <x:c r="B1360"/>
      <x:c r="C1360"/>
      <x:c r="D1360"/>
      <x:c r="E1360" s="31"/>
      <x:c r="F1360" s="8"/>
      <x:c r="G1360" s="8"/>
      <x:c r="H1360" s="6"/>
      <x:c r="I1360" s="27"/>
      <x:c r="J1360" s="6"/>
      <x:c r="K1360" s="6"/>
      <x:c r="L1360" s="6"/>
      <x:c r="M1360" s="6"/>
      <x:c r="N1360" s="6"/>
      <x:c r="O1360" s="6"/>
      <x:c r="P1360" s="6"/>
      <x:c r="Q1360" s="6"/>
      <x:c r="R1360"/>
      <x:c r="S1360"/>
      <x:c r="T1360"/>
    </x:row>
    <x:row r="1361" spans="1:20" ht="15.75" x14ac:dyDescent="0.25">
      <x:c r="A1361"/>
      <x:c r="B1361"/>
      <x:c r="C1361"/>
      <x:c r="D1361"/>
      <x:c r="E1361" s="31"/>
      <x:c r="F1361" s="8"/>
      <x:c r="G1361" s="8"/>
      <x:c r="H1361" s="6"/>
      <x:c r="I1361" s="27"/>
      <x:c r="J1361" s="6"/>
      <x:c r="K1361" s="6"/>
      <x:c r="L1361" s="6"/>
      <x:c r="M1361" s="6"/>
      <x:c r="N1361" s="6"/>
      <x:c r="O1361" s="6"/>
      <x:c r="P1361" s="6"/>
      <x:c r="Q1361" s="6"/>
      <x:c r="R1361"/>
      <x:c r="S1361"/>
      <x:c r="T1361"/>
    </x:row>
    <x:row r="1362" spans="1:20" ht="15.75" x14ac:dyDescent="0.25">
      <x:c r="A1362"/>
      <x:c r="B1362"/>
      <x:c r="C1362"/>
      <x:c r="D1362"/>
      <x:c r="E1362" s="31"/>
      <x:c r="F1362" s="8"/>
      <x:c r="G1362" s="8"/>
      <x:c r="H1362" s="6"/>
      <x:c r="I1362" s="27"/>
      <x:c r="J1362" s="6"/>
      <x:c r="K1362" s="6"/>
      <x:c r="L1362" s="6"/>
      <x:c r="M1362" s="6"/>
      <x:c r="N1362" s="6"/>
      <x:c r="O1362" s="6"/>
      <x:c r="P1362" s="6"/>
      <x:c r="Q1362" s="6"/>
      <x:c r="R1362"/>
      <x:c r="S1362"/>
      <x:c r="T1362"/>
    </x:row>
    <x:row r="1363" spans="1:20" ht="15.75" x14ac:dyDescent="0.25">
      <x:c r="A1363"/>
      <x:c r="B1363"/>
      <x:c r="C1363"/>
      <x:c r="D1363"/>
      <x:c r="E1363" s="31"/>
      <x:c r="F1363" s="8"/>
      <x:c r="G1363" s="8"/>
      <x:c r="H1363" s="6"/>
      <x:c r="I1363" s="27"/>
      <x:c r="J1363" s="6"/>
      <x:c r="K1363" s="6"/>
      <x:c r="L1363" s="6"/>
      <x:c r="M1363" s="6"/>
      <x:c r="N1363" s="6"/>
      <x:c r="O1363" s="6"/>
      <x:c r="P1363" s="6"/>
      <x:c r="Q1363" s="6"/>
      <x:c r="R1363"/>
      <x:c r="S1363"/>
      <x:c r="T1363"/>
    </x:row>
    <x:row r="1364" spans="1:20" ht="15.75" x14ac:dyDescent="0.25">
      <x:c r="A1364"/>
      <x:c r="B1364"/>
      <x:c r="C1364"/>
      <x:c r="D1364"/>
      <x:c r="E1364" s="31"/>
      <x:c r="F1364" s="8"/>
      <x:c r="G1364" s="8"/>
      <x:c r="H1364" s="6"/>
      <x:c r="I1364" s="27"/>
      <x:c r="J1364" s="6"/>
      <x:c r="K1364" s="6"/>
      <x:c r="L1364" s="6"/>
      <x:c r="M1364" s="6"/>
      <x:c r="N1364" s="6"/>
      <x:c r="O1364" s="6"/>
      <x:c r="P1364" s="6"/>
      <x:c r="Q1364" s="6"/>
      <x:c r="R1364"/>
      <x:c r="S1364"/>
      <x:c r="T1364"/>
    </x:row>
    <x:row r="1365" spans="1:20" ht="15.75" x14ac:dyDescent="0.25">
      <x:c r="A1365"/>
      <x:c r="B1365"/>
      <x:c r="C1365"/>
      <x:c r="D1365"/>
      <x:c r="E1365" s="31"/>
      <x:c r="F1365" s="8"/>
      <x:c r="G1365" s="8"/>
      <x:c r="H1365" s="6"/>
      <x:c r="I1365" s="27"/>
      <x:c r="J1365" s="6"/>
      <x:c r="K1365" s="6"/>
      <x:c r="L1365" s="6"/>
      <x:c r="M1365" s="6"/>
      <x:c r="N1365" s="6"/>
      <x:c r="O1365" s="6"/>
      <x:c r="P1365" s="6"/>
      <x:c r="Q1365" s="6"/>
      <x:c r="R1365"/>
      <x:c r="S1365"/>
      <x:c r="T1365"/>
    </x:row>
    <x:row r="1366" spans="1:20" ht="15.75" x14ac:dyDescent="0.25">
      <x:c r="A1366"/>
      <x:c r="B1366"/>
      <x:c r="C1366"/>
      <x:c r="D1366"/>
      <x:c r="E1366" s="31"/>
      <x:c r="F1366" s="8"/>
      <x:c r="G1366" s="8"/>
      <x:c r="H1366" s="6"/>
      <x:c r="I1366" s="27"/>
      <x:c r="J1366" s="6"/>
      <x:c r="K1366" s="6"/>
      <x:c r="L1366" s="6"/>
      <x:c r="M1366" s="6"/>
      <x:c r="N1366" s="6"/>
      <x:c r="O1366" s="6"/>
      <x:c r="P1366" s="6"/>
      <x:c r="Q1366" s="6"/>
      <x:c r="R1366"/>
      <x:c r="S1366"/>
      <x:c r="T1366"/>
    </x:row>
    <x:row r="1367" spans="1:20" ht="15.75" x14ac:dyDescent="0.25">
      <x:c r="A1367"/>
      <x:c r="B1367"/>
      <x:c r="C1367"/>
      <x:c r="D1367"/>
      <x:c r="E1367" s="31"/>
      <x:c r="F1367" s="8"/>
      <x:c r="G1367" s="8"/>
      <x:c r="H1367" s="6"/>
      <x:c r="I1367" s="27"/>
      <x:c r="J1367" s="6"/>
      <x:c r="K1367" s="6"/>
      <x:c r="L1367" s="6"/>
      <x:c r="M1367" s="6"/>
      <x:c r="N1367" s="6"/>
      <x:c r="O1367" s="6"/>
      <x:c r="P1367" s="6"/>
      <x:c r="Q1367" s="6"/>
      <x:c r="R1367"/>
      <x:c r="S1367"/>
      <x:c r="T1367"/>
    </x:row>
    <x:row r="1368" spans="1:20" ht="15.75" x14ac:dyDescent="0.25">
      <x:c r="A1368"/>
      <x:c r="B1368"/>
      <x:c r="C1368"/>
      <x:c r="D1368"/>
      <x:c r="E1368" s="31"/>
      <x:c r="F1368" s="8"/>
      <x:c r="G1368" s="8"/>
      <x:c r="H1368" s="6"/>
      <x:c r="I1368" s="27"/>
      <x:c r="J1368" s="6"/>
      <x:c r="K1368" s="6"/>
      <x:c r="L1368" s="6"/>
      <x:c r="M1368" s="6"/>
      <x:c r="N1368" s="6"/>
      <x:c r="O1368" s="6"/>
      <x:c r="P1368" s="6"/>
      <x:c r="Q1368" s="6"/>
      <x:c r="R1368"/>
      <x:c r="S1368"/>
      <x:c r="T1368"/>
    </x:row>
    <x:row r="1369" spans="1:20" ht="15.75" x14ac:dyDescent="0.25">
      <x:c r="A1369"/>
      <x:c r="B1369"/>
      <x:c r="C1369"/>
      <x:c r="D1369"/>
      <x:c r="E1369" s="31"/>
      <x:c r="F1369" s="8"/>
      <x:c r="G1369" s="8"/>
      <x:c r="H1369" s="6"/>
      <x:c r="I1369" s="27"/>
      <x:c r="J1369" s="6"/>
      <x:c r="K1369" s="6"/>
      <x:c r="L1369" s="6"/>
      <x:c r="M1369" s="6"/>
      <x:c r="N1369" s="6"/>
      <x:c r="O1369" s="6"/>
      <x:c r="P1369" s="6"/>
      <x:c r="Q1369" s="6"/>
      <x:c r="R1369"/>
      <x:c r="S1369"/>
      <x:c r="T1369"/>
    </x:row>
    <x:row r="1370" spans="1:20" ht="15.75" x14ac:dyDescent="0.25">
      <x:c r="A1370"/>
      <x:c r="B1370"/>
      <x:c r="C1370"/>
      <x:c r="D1370"/>
      <x:c r="E1370" s="31"/>
      <x:c r="F1370" s="8"/>
      <x:c r="G1370" s="8"/>
      <x:c r="H1370" s="6"/>
      <x:c r="I1370" s="27"/>
      <x:c r="J1370" s="6"/>
      <x:c r="K1370" s="6"/>
      <x:c r="L1370" s="6"/>
      <x:c r="M1370" s="6"/>
      <x:c r="N1370" s="6"/>
      <x:c r="O1370" s="6"/>
      <x:c r="P1370" s="6"/>
      <x:c r="Q1370" s="6"/>
      <x:c r="R1370"/>
      <x:c r="S1370"/>
      <x:c r="T1370"/>
    </x:row>
    <x:row r="1371" spans="1:20" ht="15.75" x14ac:dyDescent="0.25">
      <x:c r="A1371"/>
      <x:c r="B1371"/>
      <x:c r="C1371"/>
      <x:c r="D1371"/>
      <x:c r="E1371" s="31"/>
      <x:c r="F1371" s="8"/>
      <x:c r="G1371" s="8"/>
      <x:c r="H1371" s="6"/>
      <x:c r="I1371" s="27"/>
      <x:c r="J1371" s="6"/>
      <x:c r="K1371" s="6"/>
      <x:c r="L1371" s="6"/>
      <x:c r="M1371" s="6"/>
      <x:c r="N1371" s="6"/>
      <x:c r="O1371" s="6"/>
      <x:c r="P1371" s="6"/>
      <x:c r="Q1371" s="6"/>
      <x:c r="R1371"/>
      <x:c r="S1371"/>
      <x:c r="T1371"/>
    </x:row>
    <x:row r="1372" spans="1:20" ht="15.75" x14ac:dyDescent="0.25">
      <x:c r="A1372"/>
      <x:c r="B1372"/>
      <x:c r="C1372"/>
      <x:c r="D1372"/>
      <x:c r="E1372" s="31"/>
      <x:c r="F1372" s="8"/>
      <x:c r="G1372" s="8"/>
      <x:c r="H1372" s="6"/>
      <x:c r="I1372" s="27"/>
      <x:c r="J1372" s="6"/>
      <x:c r="K1372" s="6"/>
      <x:c r="L1372" s="6"/>
      <x:c r="M1372" s="6"/>
      <x:c r="N1372" s="6"/>
      <x:c r="O1372" s="6"/>
      <x:c r="P1372" s="6"/>
      <x:c r="Q1372" s="6"/>
      <x:c r="R1372"/>
      <x:c r="S1372"/>
      <x:c r="T1372"/>
    </x:row>
    <x:row r="1373" spans="1:20" ht="15.75" x14ac:dyDescent="0.25">
      <x:c r="A1373"/>
      <x:c r="B1373"/>
      <x:c r="C1373"/>
      <x:c r="D1373"/>
      <x:c r="E1373" s="31"/>
      <x:c r="F1373" s="8"/>
      <x:c r="G1373" s="8"/>
      <x:c r="H1373" s="6"/>
      <x:c r="I1373" s="27"/>
      <x:c r="J1373" s="6"/>
      <x:c r="K1373" s="6"/>
      <x:c r="L1373" s="6"/>
      <x:c r="M1373" s="6"/>
      <x:c r="N1373" s="6"/>
      <x:c r="O1373" s="6"/>
      <x:c r="P1373" s="6"/>
      <x:c r="Q1373" s="6"/>
      <x:c r="R1373"/>
      <x:c r="S1373"/>
      <x:c r="T1373"/>
    </x:row>
    <x:row r="1374" spans="1:20" ht="15.75" x14ac:dyDescent="0.25">
      <x:c r="A1374"/>
      <x:c r="B1374"/>
      <x:c r="C1374"/>
      <x:c r="D1374"/>
      <x:c r="E1374" s="31"/>
      <x:c r="F1374" s="8"/>
      <x:c r="G1374" s="8"/>
      <x:c r="H1374" s="6"/>
      <x:c r="I1374" s="27"/>
      <x:c r="J1374" s="6"/>
      <x:c r="K1374" s="6"/>
      <x:c r="L1374" s="6"/>
      <x:c r="M1374" s="6"/>
      <x:c r="N1374" s="6"/>
      <x:c r="O1374" s="6"/>
      <x:c r="P1374" s="6"/>
      <x:c r="Q1374" s="6"/>
      <x:c r="R1374"/>
      <x:c r="S1374"/>
      <x:c r="T1374"/>
    </x:row>
    <x:row r="1375" spans="1:20" ht="15.75" x14ac:dyDescent="0.25">
      <x:c r="A1375"/>
      <x:c r="B1375"/>
      <x:c r="C1375"/>
      <x:c r="D1375"/>
      <x:c r="E1375" s="31"/>
      <x:c r="F1375" s="8"/>
      <x:c r="G1375" s="8"/>
      <x:c r="H1375" s="6"/>
      <x:c r="I1375" s="27"/>
      <x:c r="J1375" s="6"/>
      <x:c r="K1375" s="6"/>
      <x:c r="L1375" s="6"/>
      <x:c r="M1375" s="6"/>
      <x:c r="N1375" s="6"/>
      <x:c r="O1375" s="6"/>
      <x:c r="P1375" s="6"/>
      <x:c r="Q1375" s="6"/>
      <x:c r="R1375"/>
      <x:c r="S1375"/>
      <x:c r="T1375"/>
    </x:row>
    <x:row r="1376" spans="1:20" ht="15.75" x14ac:dyDescent="0.25">
      <x:c r="A1376"/>
      <x:c r="B1376"/>
      <x:c r="C1376"/>
      <x:c r="D1376"/>
      <x:c r="E1376" s="31"/>
      <x:c r="F1376" s="8"/>
      <x:c r="G1376" s="8"/>
      <x:c r="H1376" s="6"/>
      <x:c r="I1376" s="27"/>
      <x:c r="J1376" s="6"/>
      <x:c r="K1376" s="6"/>
      <x:c r="L1376" s="6"/>
      <x:c r="M1376" s="6"/>
      <x:c r="N1376" s="6"/>
      <x:c r="O1376" s="6"/>
      <x:c r="P1376" s="6"/>
      <x:c r="Q1376" s="6"/>
      <x:c r="R1376"/>
      <x:c r="S1376"/>
      <x:c r="T1376"/>
    </x:row>
    <x:row r="1377" spans="1:20" ht="15.75" x14ac:dyDescent="0.25">
      <x:c r="A1377"/>
      <x:c r="B1377"/>
      <x:c r="C1377"/>
      <x:c r="D1377"/>
      <x:c r="E1377" s="31"/>
      <x:c r="F1377" s="8"/>
      <x:c r="G1377" s="8"/>
      <x:c r="H1377" s="6"/>
      <x:c r="I1377" s="27"/>
      <x:c r="J1377" s="6"/>
      <x:c r="K1377" s="6"/>
      <x:c r="L1377" s="6"/>
      <x:c r="M1377" s="6"/>
      <x:c r="N1377" s="6"/>
      <x:c r="O1377" s="6"/>
      <x:c r="P1377" s="6"/>
      <x:c r="Q1377" s="6"/>
      <x:c r="R1377"/>
      <x:c r="S1377"/>
      <x:c r="T1377"/>
    </x:row>
    <x:row r="1378" spans="1:20" ht="15.75" x14ac:dyDescent="0.25">
      <x:c r="A1378"/>
      <x:c r="B1378"/>
      <x:c r="C1378"/>
      <x:c r="D1378"/>
      <x:c r="E1378" s="31"/>
      <x:c r="F1378" s="8"/>
      <x:c r="G1378" s="8"/>
      <x:c r="H1378" s="6"/>
      <x:c r="I1378" s="27"/>
      <x:c r="J1378" s="6"/>
      <x:c r="K1378" s="6"/>
      <x:c r="L1378" s="6"/>
      <x:c r="M1378" s="6"/>
      <x:c r="N1378" s="6"/>
      <x:c r="O1378" s="6"/>
      <x:c r="P1378" s="6"/>
      <x:c r="Q1378" s="6"/>
      <x:c r="R1378"/>
      <x:c r="S1378"/>
      <x:c r="T1378"/>
    </x:row>
    <x:row r="1379" spans="1:20" ht="15.75" x14ac:dyDescent="0.25">
      <x:c r="A1379"/>
      <x:c r="B1379"/>
      <x:c r="C1379"/>
      <x:c r="D1379"/>
      <x:c r="E1379" s="31"/>
      <x:c r="F1379" s="8"/>
      <x:c r="G1379" s="8"/>
      <x:c r="H1379" s="6"/>
      <x:c r="I1379" s="27"/>
      <x:c r="J1379" s="6"/>
      <x:c r="K1379" s="6"/>
      <x:c r="L1379" s="6"/>
      <x:c r="M1379" s="6"/>
      <x:c r="N1379" s="6"/>
      <x:c r="O1379" s="6"/>
      <x:c r="P1379" s="6"/>
      <x:c r="Q1379" s="6"/>
      <x:c r="R1379"/>
      <x:c r="S1379"/>
      <x:c r="T1379"/>
    </x:row>
    <x:row r="1380" spans="1:20" ht="15.75" x14ac:dyDescent="0.25">
      <x:c r="A1380"/>
      <x:c r="B1380"/>
      <x:c r="C1380"/>
      <x:c r="D1380"/>
      <x:c r="E1380" s="31"/>
      <x:c r="F1380" s="8"/>
      <x:c r="G1380" s="8"/>
      <x:c r="H1380" s="6"/>
      <x:c r="I1380" s="27"/>
      <x:c r="J1380" s="6"/>
      <x:c r="K1380" s="6"/>
      <x:c r="L1380" s="6"/>
      <x:c r="M1380" s="6"/>
      <x:c r="N1380" s="6"/>
      <x:c r="O1380" s="6"/>
      <x:c r="P1380" s="6"/>
      <x:c r="Q1380" s="6"/>
      <x:c r="R1380"/>
      <x:c r="S1380"/>
      <x:c r="T1380"/>
    </x:row>
    <x:row r="1381" spans="1:20" ht="15.75" x14ac:dyDescent="0.25">
      <x:c r="A1381"/>
      <x:c r="B1381"/>
      <x:c r="C1381"/>
      <x:c r="D1381"/>
      <x:c r="E1381" s="31"/>
      <x:c r="F1381" s="8"/>
      <x:c r="G1381" s="8"/>
      <x:c r="H1381" s="6"/>
      <x:c r="I1381" s="27"/>
      <x:c r="J1381" s="6"/>
      <x:c r="K1381" s="6"/>
      <x:c r="L1381" s="6"/>
      <x:c r="M1381" s="6"/>
      <x:c r="N1381" s="6"/>
      <x:c r="O1381" s="6"/>
      <x:c r="P1381" s="6"/>
      <x:c r="Q1381" s="6"/>
      <x:c r="R1381"/>
      <x:c r="S1381"/>
      <x:c r="T1381"/>
    </x:row>
    <x:row r="1382" spans="1:20" ht="15.75" x14ac:dyDescent="0.25">
      <x:c r="A1382"/>
      <x:c r="B1382"/>
      <x:c r="C1382"/>
      <x:c r="D1382"/>
      <x:c r="E1382" s="31"/>
      <x:c r="F1382" s="8"/>
      <x:c r="G1382" s="8"/>
      <x:c r="H1382" s="6"/>
      <x:c r="I1382" s="27"/>
      <x:c r="J1382" s="6"/>
      <x:c r="K1382" s="6"/>
      <x:c r="L1382" s="6"/>
      <x:c r="M1382" s="6"/>
      <x:c r="N1382" s="6"/>
      <x:c r="O1382" s="6"/>
      <x:c r="P1382" s="6"/>
      <x:c r="Q1382" s="6"/>
      <x:c r="R1382"/>
      <x:c r="S1382"/>
      <x:c r="T1382"/>
    </x:row>
    <x:row r="1383" spans="1:20" ht="15.75" x14ac:dyDescent="0.25">
      <x:c r="A1383"/>
      <x:c r="B1383"/>
      <x:c r="C1383"/>
      <x:c r="D1383"/>
      <x:c r="E1383" s="31"/>
      <x:c r="F1383" s="8"/>
      <x:c r="G1383" s="8"/>
      <x:c r="H1383" s="6"/>
      <x:c r="I1383" s="27"/>
      <x:c r="J1383" s="6"/>
      <x:c r="K1383" s="6"/>
      <x:c r="L1383" s="6"/>
      <x:c r="M1383" s="6"/>
      <x:c r="N1383" s="6"/>
      <x:c r="O1383" s="6"/>
      <x:c r="P1383" s="6"/>
      <x:c r="Q1383" s="6"/>
      <x:c r="R1383"/>
      <x:c r="S1383"/>
      <x:c r="T1383"/>
    </x:row>
    <x:row r="1384" spans="1:20" ht="15.75" x14ac:dyDescent="0.25">
      <x:c r="A1384"/>
      <x:c r="B1384"/>
      <x:c r="C1384"/>
      <x:c r="D1384"/>
      <x:c r="E1384" s="31"/>
      <x:c r="F1384" s="8"/>
      <x:c r="G1384" s="8"/>
      <x:c r="H1384" s="6"/>
      <x:c r="I1384" s="27"/>
      <x:c r="J1384" s="6"/>
      <x:c r="K1384" s="6"/>
      <x:c r="L1384" s="6"/>
      <x:c r="M1384" s="6"/>
      <x:c r="N1384" s="6"/>
      <x:c r="O1384" s="6"/>
      <x:c r="P1384" s="6"/>
      <x:c r="Q1384" s="6"/>
      <x:c r="R1384"/>
      <x:c r="S1384"/>
      <x:c r="T1384"/>
    </x:row>
    <x:row r="1385" spans="1:20" ht="15.75" x14ac:dyDescent="0.25">
      <x:c r="A1385"/>
      <x:c r="B1385"/>
      <x:c r="C1385"/>
      <x:c r="D1385"/>
      <x:c r="E1385" s="31"/>
      <x:c r="F1385" s="8"/>
      <x:c r="G1385" s="8"/>
      <x:c r="H1385" s="6"/>
      <x:c r="I1385" s="27"/>
      <x:c r="J1385" s="6"/>
      <x:c r="K1385" s="6"/>
      <x:c r="L1385" s="6"/>
      <x:c r="M1385" s="6"/>
      <x:c r="N1385" s="6"/>
      <x:c r="O1385" s="6"/>
      <x:c r="P1385" s="6"/>
      <x:c r="Q1385" s="6"/>
      <x:c r="R1385"/>
      <x:c r="S1385"/>
      <x:c r="T1385"/>
    </x:row>
    <x:row r="1386" spans="1:20" ht="15.75" x14ac:dyDescent="0.25">
      <x:c r="A1386"/>
      <x:c r="B1386"/>
      <x:c r="C1386"/>
      <x:c r="D1386"/>
      <x:c r="E1386" s="31"/>
      <x:c r="F1386" s="8"/>
      <x:c r="G1386" s="8"/>
      <x:c r="H1386" s="6"/>
      <x:c r="I1386" s="27"/>
      <x:c r="J1386" s="6"/>
      <x:c r="K1386" s="6"/>
      <x:c r="L1386" s="6"/>
      <x:c r="M1386" s="6"/>
      <x:c r="N1386" s="6"/>
      <x:c r="O1386" s="6"/>
      <x:c r="P1386" s="6"/>
      <x:c r="Q1386" s="6"/>
      <x:c r="R1386"/>
      <x:c r="S1386"/>
      <x:c r="T1386"/>
    </x:row>
    <x:row r="1387" spans="1:20" ht="15.75" x14ac:dyDescent="0.25">
      <x:c r="A1387"/>
      <x:c r="B1387"/>
      <x:c r="C1387"/>
      <x:c r="D1387"/>
      <x:c r="E1387" s="31"/>
      <x:c r="F1387" s="8"/>
      <x:c r="G1387" s="8"/>
      <x:c r="H1387" s="6"/>
      <x:c r="I1387" s="27"/>
      <x:c r="J1387" s="6"/>
      <x:c r="K1387" s="6"/>
      <x:c r="L1387" s="6"/>
      <x:c r="M1387" s="6"/>
      <x:c r="N1387" s="6"/>
      <x:c r="O1387" s="6"/>
      <x:c r="P1387" s="6"/>
      <x:c r="Q1387" s="6"/>
      <x:c r="R1387"/>
      <x:c r="S1387"/>
      <x:c r="T1387"/>
    </x:row>
    <x:row r="1388" spans="1:20" ht="15.75" x14ac:dyDescent="0.25">
      <x:c r="A1388"/>
      <x:c r="B1388"/>
      <x:c r="C1388"/>
      <x:c r="D1388"/>
      <x:c r="E1388" s="31"/>
      <x:c r="F1388" s="8"/>
      <x:c r="G1388" s="8"/>
      <x:c r="H1388" s="6"/>
      <x:c r="I1388" s="27"/>
      <x:c r="J1388" s="6"/>
      <x:c r="K1388" s="6"/>
      <x:c r="L1388" s="6"/>
      <x:c r="M1388" s="6"/>
      <x:c r="N1388" s="6"/>
      <x:c r="O1388" s="6"/>
      <x:c r="P1388" s="6"/>
      <x:c r="Q1388" s="6"/>
      <x:c r="R1388"/>
      <x:c r="S1388"/>
      <x:c r="T1388"/>
    </x:row>
    <x:row r="1389" spans="1:20" ht="15.75" x14ac:dyDescent="0.25">
      <x:c r="A1389"/>
      <x:c r="B1389"/>
      <x:c r="C1389"/>
      <x:c r="D1389"/>
      <x:c r="E1389" s="31"/>
      <x:c r="F1389" s="8"/>
      <x:c r="G1389" s="8"/>
      <x:c r="H1389" s="6"/>
      <x:c r="I1389" s="27"/>
      <x:c r="J1389" s="6"/>
      <x:c r="K1389" s="6"/>
      <x:c r="L1389" s="6"/>
      <x:c r="M1389" s="6"/>
      <x:c r="N1389" s="6"/>
      <x:c r="O1389" s="6"/>
      <x:c r="P1389" s="6"/>
      <x:c r="Q1389" s="6"/>
      <x:c r="R1389"/>
      <x:c r="S1389"/>
      <x:c r="T1389"/>
    </x:row>
    <x:row r="1390" spans="1:20" ht="15.75" x14ac:dyDescent="0.25">
      <x:c r="A1390"/>
      <x:c r="B1390"/>
      <x:c r="C1390"/>
      <x:c r="D1390"/>
      <x:c r="E1390" s="31"/>
      <x:c r="F1390" s="8"/>
      <x:c r="G1390" s="8"/>
      <x:c r="H1390" s="6"/>
      <x:c r="I1390" s="27"/>
      <x:c r="J1390" s="6"/>
      <x:c r="K1390" s="6"/>
      <x:c r="L1390" s="6"/>
      <x:c r="M1390" s="6"/>
      <x:c r="N1390" s="6"/>
      <x:c r="O1390" s="6"/>
      <x:c r="P1390" s="6"/>
      <x:c r="Q1390" s="6"/>
      <x:c r="R1390"/>
      <x:c r="S1390"/>
      <x:c r="T1390"/>
    </x:row>
    <x:row r="1391" spans="1:20" ht="15.75" x14ac:dyDescent="0.25">
      <x:c r="A1391"/>
      <x:c r="B1391"/>
      <x:c r="C1391"/>
      <x:c r="D1391"/>
      <x:c r="E1391" s="31"/>
      <x:c r="F1391" s="8"/>
      <x:c r="G1391" s="8"/>
      <x:c r="H1391" s="6"/>
      <x:c r="I1391" s="27"/>
      <x:c r="J1391" s="6"/>
      <x:c r="K1391" s="6"/>
      <x:c r="L1391" s="6"/>
      <x:c r="M1391" s="6"/>
      <x:c r="N1391" s="6"/>
      <x:c r="O1391" s="6"/>
      <x:c r="P1391" s="6"/>
      <x:c r="Q1391" s="6"/>
      <x:c r="R1391"/>
      <x:c r="S1391"/>
      <x:c r="T1391"/>
    </x:row>
    <x:row r="1392" spans="1:20" ht="15.75" x14ac:dyDescent="0.25">
      <x:c r="A1392"/>
      <x:c r="B1392"/>
      <x:c r="C1392"/>
      <x:c r="D1392"/>
      <x:c r="E1392" s="31"/>
      <x:c r="F1392" s="8"/>
      <x:c r="G1392" s="8"/>
      <x:c r="H1392" s="6"/>
      <x:c r="I1392" s="27"/>
      <x:c r="J1392" s="6"/>
      <x:c r="K1392" s="6"/>
      <x:c r="L1392" s="6"/>
      <x:c r="M1392" s="6"/>
      <x:c r="N1392" s="6"/>
      <x:c r="O1392" s="6"/>
      <x:c r="P1392" s="6"/>
      <x:c r="Q1392" s="6"/>
      <x:c r="R1392"/>
      <x:c r="S1392"/>
      <x:c r="T1392"/>
    </x:row>
    <x:row r="1393" spans="1:20" ht="15.75" x14ac:dyDescent="0.25">
      <x:c r="A1393"/>
      <x:c r="B1393"/>
      <x:c r="C1393"/>
      <x:c r="D1393"/>
      <x:c r="E1393" s="31"/>
      <x:c r="F1393" s="8"/>
      <x:c r="G1393" s="8"/>
      <x:c r="H1393" s="6"/>
      <x:c r="I1393" s="27"/>
      <x:c r="J1393" s="6"/>
      <x:c r="K1393" s="6"/>
      <x:c r="L1393" s="6"/>
      <x:c r="M1393" s="6"/>
      <x:c r="N1393" s="6"/>
      <x:c r="O1393" s="6"/>
      <x:c r="P1393" s="6"/>
      <x:c r="Q1393" s="6"/>
      <x:c r="R1393"/>
      <x:c r="S1393"/>
      <x:c r="T1393"/>
    </x:row>
    <x:row r="1394" spans="1:20" ht="15.75" x14ac:dyDescent="0.25">
      <x:c r="A1394"/>
      <x:c r="B1394"/>
      <x:c r="C1394"/>
      <x:c r="D1394"/>
      <x:c r="E1394" s="31"/>
      <x:c r="F1394" s="8"/>
      <x:c r="G1394" s="8"/>
      <x:c r="H1394" s="6"/>
      <x:c r="I1394" s="27"/>
      <x:c r="J1394" s="6"/>
      <x:c r="K1394" s="6"/>
      <x:c r="L1394" s="6"/>
      <x:c r="M1394" s="6"/>
      <x:c r="N1394" s="6"/>
      <x:c r="O1394" s="6"/>
      <x:c r="P1394" s="6"/>
      <x:c r="Q1394" s="6"/>
      <x:c r="R1394"/>
      <x:c r="S1394"/>
      <x:c r="T1394"/>
    </x:row>
    <x:row r="1395" spans="1:20" ht="15.75" x14ac:dyDescent="0.25">
      <x:c r="A1395"/>
      <x:c r="B1395"/>
      <x:c r="C1395"/>
      <x:c r="D1395"/>
      <x:c r="E1395" s="31"/>
      <x:c r="F1395" s="8"/>
      <x:c r="G1395" s="8"/>
      <x:c r="H1395" s="6"/>
      <x:c r="I1395" s="27"/>
      <x:c r="J1395" s="6"/>
      <x:c r="K1395" s="6"/>
      <x:c r="L1395" s="6"/>
      <x:c r="M1395" s="6"/>
      <x:c r="N1395" s="6"/>
      <x:c r="O1395" s="6"/>
      <x:c r="P1395" s="6"/>
      <x:c r="Q1395" s="6"/>
      <x:c r="R1395"/>
      <x:c r="S1395"/>
      <x:c r="T1395"/>
    </x:row>
    <x:row r="1396" spans="1:20" ht="15.75" x14ac:dyDescent="0.25">
      <x:c r="A1396"/>
      <x:c r="B1396"/>
      <x:c r="C1396"/>
      <x:c r="D1396"/>
      <x:c r="E1396" s="31"/>
      <x:c r="F1396" s="8"/>
      <x:c r="G1396" s="8"/>
      <x:c r="H1396" s="6"/>
      <x:c r="I1396" s="27"/>
      <x:c r="J1396" s="6"/>
      <x:c r="K1396" s="6"/>
      <x:c r="L1396" s="6"/>
      <x:c r="M1396" s="6"/>
      <x:c r="N1396" s="6"/>
      <x:c r="O1396" s="6"/>
      <x:c r="P1396" s="6"/>
      <x:c r="Q1396" s="6"/>
      <x:c r="R1396"/>
      <x:c r="S1396"/>
      <x:c r="T1396"/>
    </x:row>
    <x:row r="1397" spans="1:20" ht="15.75" x14ac:dyDescent="0.25">
      <x:c r="A1397"/>
      <x:c r="B1397"/>
      <x:c r="C1397"/>
      <x:c r="D1397"/>
      <x:c r="E1397" s="31"/>
      <x:c r="F1397" s="8"/>
      <x:c r="G1397" s="8"/>
      <x:c r="H1397" s="6"/>
      <x:c r="I1397" s="27"/>
      <x:c r="J1397" s="6"/>
      <x:c r="K1397" s="6"/>
      <x:c r="L1397" s="6"/>
      <x:c r="M1397" s="6"/>
      <x:c r="N1397" s="6"/>
      <x:c r="O1397" s="6"/>
      <x:c r="P1397" s="6"/>
      <x:c r="Q1397" s="6"/>
      <x:c r="R1397"/>
      <x:c r="S1397"/>
      <x:c r="T1397"/>
    </x:row>
    <x:row r="1398" spans="1:20" ht="15.75" x14ac:dyDescent="0.25">
      <x:c r="A1398"/>
      <x:c r="B1398"/>
      <x:c r="C1398"/>
      <x:c r="D1398"/>
      <x:c r="E1398" s="31"/>
      <x:c r="F1398" s="8"/>
      <x:c r="G1398" s="8"/>
      <x:c r="H1398" s="6"/>
      <x:c r="I1398" s="27"/>
      <x:c r="J1398" s="6"/>
      <x:c r="K1398" s="6"/>
      <x:c r="L1398" s="6"/>
      <x:c r="M1398" s="6"/>
      <x:c r="N1398" s="6"/>
      <x:c r="O1398" s="6"/>
      <x:c r="P1398" s="6"/>
      <x:c r="Q1398" s="6"/>
      <x:c r="R1398"/>
      <x:c r="S1398"/>
      <x:c r="T1398"/>
    </x:row>
    <x:row r="1399" spans="1:20" ht="15.75" x14ac:dyDescent="0.25">
      <x:c r="A1399"/>
      <x:c r="B1399"/>
      <x:c r="C1399"/>
      <x:c r="D1399"/>
      <x:c r="E1399" s="31"/>
      <x:c r="F1399" s="8"/>
      <x:c r="G1399" s="8"/>
      <x:c r="H1399" s="6"/>
      <x:c r="I1399" s="27"/>
      <x:c r="J1399" s="6"/>
      <x:c r="K1399" s="6"/>
      <x:c r="L1399" s="6"/>
      <x:c r="M1399" s="6"/>
      <x:c r="N1399" s="6"/>
      <x:c r="O1399" s="6"/>
      <x:c r="P1399" s="6"/>
      <x:c r="Q1399" s="6"/>
      <x:c r="R1399"/>
      <x:c r="S1399"/>
      <x:c r="T1399"/>
    </x:row>
    <x:row r="1400" spans="1:20" ht="15.75" x14ac:dyDescent="0.25">
      <x:c r="A1400"/>
      <x:c r="B1400"/>
      <x:c r="C1400"/>
      <x:c r="D1400"/>
      <x:c r="E1400" s="31"/>
      <x:c r="F1400" s="8"/>
      <x:c r="G1400" s="8"/>
      <x:c r="H1400" s="6"/>
      <x:c r="I1400" s="27"/>
      <x:c r="J1400" s="6"/>
      <x:c r="K1400" s="6"/>
      <x:c r="L1400" s="6"/>
      <x:c r="M1400" s="6"/>
      <x:c r="N1400" s="6"/>
      <x:c r="O1400" s="6"/>
      <x:c r="P1400" s="6"/>
      <x:c r="Q1400" s="6"/>
      <x:c r="R1400"/>
      <x:c r="S1400"/>
      <x:c r="T1400"/>
    </x:row>
    <x:row r="1401" spans="1:20" ht="15.75" x14ac:dyDescent="0.25">
      <x:c r="A1401"/>
      <x:c r="B1401"/>
      <x:c r="C1401"/>
      <x:c r="D1401"/>
      <x:c r="E1401" s="31"/>
      <x:c r="F1401" s="8"/>
      <x:c r="G1401" s="8"/>
      <x:c r="H1401" s="6"/>
      <x:c r="I1401" s="27"/>
      <x:c r="J1401" s="6"/>
      <x:c r="K1401" s="6"/>
      <x:c r="L1401" s="6"/>
      <x:c r="M1401" s="6"/>
      <x:c r="N1401" s="6"/>
      <x:c r="O1401" s="6"/>
      <x:c r="P1401" s="6"/>
      <x:c r="Q1401" s="6"/>
      <x:c r="R1401"/>
      <x:c r="S1401"/>
      <x:c r="T1401"/>
    </x:row>
    <x:row r="1402" spans="1:20" ht="15.75" x14ac:dyDescent="0.25">
      <x:c r="A1402"/>
      <x:c r="B1402"/>
      <x:c r="C1402"/>
      <x:c r="D1402"/>
      <x:c r="E1402" s="31"/>
      <x:c r="F1402" s="8"/>
      <x:c r="G1402" s="8"/>
      <x:c r="H1402" s="6"/>
      <x:c r="I1402" s="27"/>
      <x:c r="J1402" s="6"/>
      <x:c r="K1402" s="6"/>
      <x:c r="L1402" s="6"/>
      <x:c r="M1402" s="6"/>
      <x:c r="N1402" s="6"/>
      <x:c r="O1402" s="6"/>
      <x:c r="P1402" s="6"/>
      <x:c r="Q1402" s="6"/>
      <x:c r="R1402"/>
      <x:c r="S1402"/>
      <x:c r="T1402"/>
    </x:row>
    <x:row r="1403" spans="1:20" ht="15.75" x14ac:dyDescent="0.25">
      <x:c r="A1403"/>
      <x:c r="B1403"/>
      <x:c r="C1403"/>
      <x:c r="D1403"/>
      <x:c r="E1403" s="31"/>
      <x:c r="F1403" s="8"/>
      <x:c r="G1403" s="8"/>
      <x:c r="H1403" s="6"/>
      <x:c r="I1403" s="27"/>
      <x:c r="J1403" s="6"/>
      <x:c r="K1403" s="6"/>
      <x:c r="L1403" s="6"/>
      <x:c r="M1403" s="6"/>
      <x:c r="N1403" s="6"/>
      <x:c r="O1403" s="6"/>
      <x:c r="P1403" s="6"/>
      <x:c r="Q1403" s="6"/>
      <x:c r="R1403"/>
      <x:c r="S1403"/>
      <x:c r="T1403"/>
    </x:row>
    <x:row r="1404" spans="1:20" ht="15.75" x14ac:dyDescent="0.25">
      <x:c r="A1404"/>
      <x:c r="B1404"/>
      <x:c r="C1404"/>
      <x:c r="D1404"/>
      <x:c r="E1404" s="31"/>
      <x:c r="F1404" s="8"/>
      <x:c r="G1404" s="8"/>
      <x:c r="H1404" s="6"/>
      <x:c r="I1404" s="27"/>
      <x:c r="J1404" s="6"/>
      <x:c r="K1404" s="6"/>
      <x:c r="L1404" s="6"/>
      <x:c r="M1404" s="6"/>
      <x:c r="N1404" s="6"/>
      <x:c r="O1404" s="6"/>
      <x:c r="P1404" s="6"/>
      <x:c r="Q1404" s="6"/>
      <x:c r="R1404"/>
      <x:c r="S1404"/>
      <x:c r="T1404"/>
    </x:row>
    <x:row r="1405" spans="1:20" ht="15.75" x14ac:dyDescent="0.25">
      <x:c r="A1405"/>
      <x:c r="B1405"/>
      <x:c r="C1405"/>
      <x:c r="D1405"/>
      <x:c r="E1405" s="31"/>
      <x:c r="F1405" s="8"/>
      <x:c r="G1405" s="8"/>
      <x:c r="H1405" s="6"/>
      <x:c r="I1405" s="27"/>
      <x:c r="J1405" s="6"/>
      <x:c r="K1405" s="6"/>
      <x:c r="L1405" s="6"/>
      <x:c r="M1405" s="6"/>
      <x:c r="N1405" s="6"/>
      <x:c r="O1405" s="6"/>
      <x:c r="P1405" s="6"/>
      <x:c r="Q1405" s="6"/>
      <x:c r="R1405"/>
      <x:c r="S1405"/>
      <x:c r="T1405"/>
    </x:row>
    <x:row r="1406" spans="1:20" ht="15.75" x14ac:dyDescent="0.25">
      <x:c r="A1406"/>
      <x:c r="B1406"/>
      <x:c r="C1406"/>
      <x:c r="D1406"/>
      <x:c r="E1406" s="31"/>
      <x:c r="F1406" s="8"/>
      <x:c r="G1406" s="8"/>
      <x:c r="H1406" s="6"/>
      <x:c r="I1406" s="27"/>
      <x:c r="J1406" s="6"/>
      <x:c r="K1406" s="6"/>
      <x:c r="L1406" s="6"/>
      <x:c r="M1406" s="6"/>
      <x:c r="N1406" s="6"/>
      <x:c r="O1406" s="6"/>
      <x:c r="P1406" s="6"/>
      <x:c r="Q1406" s="6"/>
      <x:c r="R1406"/>
      <x:c r="S1406"/>
      <x:c r="T1406"/>
    </x:row>
    <x:row r="1407" spans="1:20" ht="15.75" x14ac:dyDescent="0.25">
      <x:c r="A1407"/>
      <x:c r="B1407"/>
      <x:c r="C1407"/>
      <x:c r="D1407"/>
      <x:c r="E1407" s="31"/>
      <x:c r="F1407" s="8"/>
      <x:c r="G1407" s="8"/>
      <x:c r="H1407" s="6"/>
      <x:c r="I1407" s="27"/>
      <x:c r="J1407" s="6"/>
      <x:c r="K1407" s="6"/>
      <x:c r="L1407" s="6"/>
      <x:c r="M1407" s="6"/>
      <x:c r="N1407" s="6"/>
      <x:c r="O1407" s="6"/>
      <x:c r="P1407" s="6"/>
      <x:c r="Q1407" s="6"/>
      <x:c r="R1407"/>
      <x:c r="S1407"/>
      <x:c r="T1407"/>
    </x:row>
    <x:row r="1408" spans="1:20" ht="15.75" x14ac:dyDescent="0.25">
      <x:c r="A1408"/>
      <x:c r="B1408"/>
      <x:c r="C1408"/>
      <x:c r="D1408"/>
      <x:c r="E1408" s="31"/>
      <x:c r="F1408" s="8"/>
      <x:c r="G1408" s="8"/>
      <x:c r="H1408" s="6"/>
      <x:c r="I1408" s="27"/>
      <x:c r="J1408" s="6"/>
      <x:c r="K1408" s="6"/>
      <x:c r="L1408" s="6"/>
      <x:c r="M1408" s="6"/>
      <x:c r="N1408" s="6"/>
      <x:c r="O1408" s="6"/>
      <x:c r="P1408" s="6"/>
      <x:c r="Q1408" s="6"/>
      <x:c r="R1408"/>
      <x:c r="S1408"/>
      <x:c r="T1408"/>
    </x:row>
    <x:row r="1409" spans="1:20" ht="15.75" x14ac:dyDescent="0.25">
      <x:c r="A1409"/>
      <x:c r="B1409"/>
      <x:c r="C1409"/>
      <x:c r="D1409"/>
      <x:c r="E1409" s="31"/>
      <x:c r="F1409" s="8"/>
      <x:c r="G1409" s="8"/>
      <x:c r="H1409" s="6"/>
      <x:c r="I1409" s="27"/>
      <x:c r="J1409" s="6"/>
      <x:c r="K1409" s="6"/>
      <x:c r="L1409" s="6"/>
      <x:c r="M1409" s="6"/>
      <x:c r="N1409" s="6"/>
      <x:c r="O1409" s="6"/>
      <x:c r="P1409" s="6"/>
      <x:c r="Q1409" s="6"/>
      <x:c r="R1409"/>
      <x:c r="S1409"/>
      <x:c r="T1409"/>
    </x:row>
    <x:row r="1410" spans="1:20" ht="15.75" x14ac:dyDescent="0.25">
      <x:c r="A1410"/>
      <x:c r="B1410"/>
      <x:c r="C1410"/>
      <x:c r="D1410"/>
      <x:c r="E1410" s="31"/>
      <x:c r="F1410" s="8"/>
      <x:c r="G1410" s="8"/>
      <x:c r="H1410" s="6"/>
      <x:c r="I1410" s="27"/>
      <x:c r="J1410" s="6"/>
      <x:c r="K1410" s="6"/>
      <x:c r="L1410" s="6"/>
      <x:c r="M1410" s="6"/>
      <x:c r="N1410" s="6"/>
      <x:c r="O1410" s="6"/>
      <x:c r="P1410" s="6"/>
      <x:c r="Q1410" s="6"/>
      <x:c r="R1410"/>
      <x:c r="S1410"/>
      <x:c r="T1410"/>
    </x:row>
    <x:row r="1411" spans="1:20" ht="15.75" x14ac:dyDescent="0.25">
      <x:c r="A1411"/>
      <x:c r="B1411"/>
      <x:c r="C1411"/>
      <x:c r="D1411"/>
      <x:c r="E1411" s="31"/>
      <x:c r="F1411" s="8"/>
      <x:c r="G1411" s="8"/>
      <x:c r="H1411" s="6"/>
      <x:c r="I1411" s="27"/>
      <x:c r="J1411" s="6"/>
      <x:c r="K1411" s="6"/>
      <x:c r="L1411" s="6"/>
      <x:c r="M1411" s="6"/>
      <x:c r="N1411" s="6"/>
      <x:c r="O1411" s="6"/>
      <x:c r="P1411" s="6"/>
      <x:c r="Q1411" s="6"/>
      <x:c r="R1411"/>
      <x:c r="S1411"/>
      <x:c r="T1411"/>
    </x:row>
    <x:row r="1412" spans="1:20" ht="15.75" x14ac:dyDescent="0.25">
      <x:c r="A1412"/>
      <x:c r="B1412"/>
      <x:c r="C1412"/>
      <x:c r="D1412"/>
      <x:c r="E1412" s="31"/>
      <x:c r="F1412" s="8"/>
      <x:c r="G1412" s="8"/>
      <x:c r="H1412" s="6"/>
      <x:c r="I1412" s="27"/>
      <x:c r="J1412" s="6"/>
      <x:c r="K1412" s="6"/>
      <x:c r="L1412" s="6"/>
      <x:c r="M1412" s="6"/>
      <x:c r="N1412" s="6"/>
      <x:c r="O1412" s="6"/>
      <x:c r="P1412" s="6"/>
      <x:c r="Q1412" s="6"/>
      <x:c r="R1412"/>
      <x:c r="S1412"/>
      <x:c r="T1412"/>
    </x:row>
    <x:row r="1413" spans="1:20" ht="15.75" x14ac:dyDescent="0.25">
      <x:c r="A1413"/>
      <x:c r="B1413"/>
      <x:c r="C1413"/>
      <x:c r="D1413"/>
      <x:c r="E1413" s="31"/>
      <x:c r="F1413" s="8"/>
      <x:c r="G1413" s="8"/>
      <x:c r="H1413" s="6"/>
      <x:c r="I1413" s="27"/>
      <x:c r="J1413" s="6"/>
      <x:c r="K1413" s="6"/>
      <x:c r="L1413" s="6"/>
      <x:c r="M1413" s="6"/>
      <x:c r="N1413" s="6"/>
      <x:c r="O1413" s="6"/>
      <x:c r="P1413" s="6"/>
      <x:c r="Q1413" s="6"/>
      <x:c r="R1413"/>
      <x:c r="S1413"/>
      <x:c r="T1413"/>
    </x:row>
    <x:row r="1414" spans="1:20" ht="15.75" x14ac:dyDescent="0.25">
      <x:c r="A1414"/>
      <x:c r="B1414"/>
      <x:c r="C1414"/>
      <x:c r="D1414"/>
      <x:c r="E1414" s="31"/>
      <x:c r="F1414" s="8"/>
      <x:c r="G1414" s="8"/>
      <x:c r="H1414" s="6"/>
      <x:c r="I1414" s="27"/>
      <x:c r="J1414" s="6"/>
      <x:c r="K1414" s="6"/>
      <x:c r="L1414" s="6"/>
      <x:c r="M1414" s="6"/>
      <x:c r="N1414" s="6"/>
      <x:c r="O1414" s="6"/>
      <x:c r="P1414" s="6"/>
      <x:c r="Q1414" s="6"/>
      <x:c r="R1414"/>
      <x:c r="S1414"/>
      <x:c r="T1414"/>
    </x:row>
    <x:row r="1415" spans="1:20" ht="15.75" x14ac:dyDescent="0.25">
      <x:c r="A1415"/>
      <x:c r="B1415"/>
      <x:c r="C1415"/>
      <x:c r="D1415"/>
      <x:c r="E1415" s="31"/>
      <x:c r="F1415" s="8"/>
      <x:c r="G1415" s="8"/>
      <x:c r="H1415" s="6"/>
      <x:c r="I1415" s="27"/>
      <x:c r="J1415" s="6"/>
      <x:c r="K1415" s="6"/>
      <x:c r="L1415" s="6"/>
      <x:c r="M1415" s="6"/>
      <x:c r="N1415" s="6"/>
      <x:c r="O1415" s="6"/>
      <x:c r="P1415" s="6"/>
      <x:c r="Q1415" s="6"/>
      <x:c r="R1415"/>
      <x:c r="S1415"/>
      <x:c r="T1415"/>
    </x:row>
    <x:row r="1416" spans="1:20" ht="15.75" x14ac:dyDescent="0.25">
      <x:c r="A1416"/>
      <x:c r="B1416"/>
      <x:c r="C1416"/>
      <x:c r="D1416"/>
      <x:c r="E1416" s="31"/>
      <x:c r="F1416" s="8"/>
      <x:c r="G1416" s="8"/>
      <x:c r="H1416" s="6"/>
      <x:c r="I1416" s="27"/>
      <x:c r="J1416" s="6"/>
      <x:c r="K1416" s="6"/>
      <x:c r="L1416" s="6"/>
      <x:c r="M1416" s="6"/>
      <x:c r="N1416" s="6"/>
      <x:c r="O1416" s="6"/>
      <x:c r="P1416" s="6"/>
      <x:c r="Q1416" s="6"/>
      <x:c r="R1416"/>
      <x:c r="S1416"/>
      <x:c r="T1416"/>
    </x:row>
    <x:row r="1417" spans="1:20" ht="15.75" x14ac:dyDescent="0.25">
      <x:c r="A1417"/>
      <x:c r="B1417"/>
      <x:c r="C1417"/>
      <x:c r="D1417"/>
      <x:c r="E1417" s="31"/>
      <x:c r="F1417" s="8"/>
      <x:c r="G1417" s="8"/>
      <x:c r="H1417" s="6"/>
      <x:c r="I1417" s="27"/>
      <x:c r="J1417" s="6"/>
      <x:c r="K1417" s="6"/>
      <x:c r="L1417" s="6"/>
      <x:c r="M1417" s="6"/>
      <x:c r="N1417" s="6"/>
      <x:c r="O1417" s="6"/>
      <x:c r="P1417" s="6"/>
      <x:c r="Q1417" s="6"/>
      <x:c r="R1417"/>
      <x:c r="S1417"/>
      <x:c r="T1417"/>
    </x:row>
    <x:row r="1418" spans="1:20" ht="15.75" x14ac:dyDescent="0.25">
      <x:c r="A1418"/>
      <x:c r="B1418"/>
      <x:c r="C1418"/>
      <x:c r="D1418"/>
      <x:c r="E1418" s="31"/>
      <x:c r="F1418" s="8"/>
      <x:c r="G1418" s="8"/>
      <x:c r="H1418" s="6"/>
      <x:c r="I1418" s="27"/>
      <x:c r="J1418" s="6"/>
      <x:c r="K1418" s="6"/>
      <x:c r="L1418" s="6"/>
      <x:c r="M1418" s="6"/>
      <x:c r="N1418" s="6"/>
      <x:c r="O1418" s="6"/>
      <x:c r="P1418" s="6"/>
      <x:c r="Q1418" s="6"/>
      <x:c r="R1418"/>
      <x:c r="S1418"/>
      <x:c r="T1418"/>
    </x:row>
    <x:row r="1419" spans="1:20" ht="15.75" x14ac:dyDescent="0.25">
      <x:c r="A1419"/>
      <x:c r="B1419"/>
      <x:c r="C1419"/>
      <x:c r="D1419"/>
      <x:c r="E1419" s="31"/>
      <x:c r="F1419" s="8"/>
      <x:c r="G1419" s="8"/>
      <x:c r="H1419" s="6"/>
      <x:c r="I1419" s="27"/>
      <x:c r="J1419" s="6"/>
      <x:c r="K1419" s="6"/>
      <x:c r="L1419" s="6"/>
      <x:c r="M1419" s="6"/>
      <x:c r="N1419" s="6"/>
      <x:c r="O1419" s="6"/>
      <x:c r="P1419" s="6"/>
      <x:c r="Q1419" s="6"/>
      <x:c r="R1419"/>
      <x:c r="S1419"/>
      <x:c r="T1419"/>
    </x:row>
    <x:row r="1420" spans="1:20" ht="15.75" x14ac:dyDescent="0.25">
      <x:c r="A1420"/>
      <x:c r="B1420"/>
      <x:c r="C1420"/>
      <x:c r="D1420"/>
      <x:c r="E1420" s="31"/>
      <x:c r="F1420" s="8"/>
      <x:c r="G1420" s="8"/>
      <x:c r="H1420" s="6"/>
      <x:c r="I1420" s="27"/>
      <x:c r="J1420" s="6"/>
      <x:c r="K1420" s="6"/>
      <x:c r="L1420" s="6"/>
      <x:c r="M1420" s="6"/>
      <x:c r="N1420" s="6"/>
      <x:c r="O1420" s="6"/>
      <x:c r="P1420" s="6"/>
      <x:c r="Q1420" s="6"/>
      <x:c r="R1420"/>
      <x:c r="S1420"/>
      <x:c r="T1420"/>
    </x:row>
    <x:row r="1421" spans="1:20" ht="15.75" x14ac:dyDescent="0.25">
      <x:c r="A1421"/>
      <x:c r="B1421"/>
      <x:c r="C1421"/>
      <x:c r="D1421"/>
      <x:c r="E1421" s="31"/>
      <x:c r="F1421" s="8"/>
      <x:c r="G1421" s="8"/>
      <x:c r="H1421" s="6"/>
      <x:c r="I1421" s="27"/>
      <x:c r="J1421" s="6"/>
      <x:c r="K1421" s="6"/>
      <x:c r="L1421" s="6"/>
      <x:c r="M1421" s="6"/>
      <x:c r="N1421" s="6"/>
      <x:c r="O1421" s="6"/>
      <x:c r="P1421" s="6"/>
      <x:c r="Q1421" s="6"/>
      <x:c r="R1421"/>
      <x:c r="S1421"/>
      <x:c r="T1421"/>
    </x:row>
    <x:row r="1422" spans="1:20" ht="15.75" x14ac:dyDescent="0.25">
      <x:c r="A1422"/>
      <x:c r="B1422"/>
      <x:c r="C1422"/>
      <x:c r="D1422"/>
      <x:c r="E1422" s="31"/>
      <x:c r="F1422" s="8"/>
      <x:c r="G1422" s="8"/>
      <x:c r="H1422" s="6"/>
      <x:c r="I1422" s="27"/>
      <x:c r="J1422" s="6"/>
      <x:c r="K1422" s="6"/>
      <x:c r="L1422" s="6"/>
      <x:c r="M1422" s="6"/>
      <x:c r="N1422" s="6"/>
      <x:c r="O1422" s="6"/>
      <x:c r="P1422" s="6"/>
      <x:c r="Q1422" s="6"/>
      <x:c r="R1422"/>
      <x:c r="S1422"/>
      <x:c r="T1422"/>
    </x:row>
    <x:row r="1423" spans="1:20" ht="15.75" x14ac:dyDescent="0.25">
      <x:c r="A1423"/>
      <x:c r="B1423"/>
      <x:c r="C1423"/>
      <x:c r="D1423"/>
      <x:c r="E1423" s="31"/>
      <x:c r="F1423" s="8"/>
      <x:c r="G1423" s="8"/>
      <x:c r="H1423" s="6"/>
      <x:c r="I1423" s="27"/>
      <x:c r="J1423" s="6"/>
      <x:c r="K1423" s="6"/>
      <x:c r="L1423" s="6"/>
      <x:c r="M1423" s="6"/>
      <x:c r="N1423" s="6"/>
      <x:c r="O1423" s="6"/>
      <x:c r="P1423" s="6"/>
      <x:c r="Q1423" s="6"/>
      <x:c r="R1423"/>
      <x:c r="S1423"/>
      <x:c r="T1423"/>
    </x:row>
    <x:row r="1424" spans="1:20" ht="15.75" x14ac:dyDescent="0.25">
      <x:c r="A1424"/>
      <x:c r="B1424"/>
      <x:c r="C1424"/>
      <x:c r="D1424"/>
      <x:c r="E1424" s="31"/>
      <x:c r="F1424" s="8"/>
      <x:c r="G1424" s="8"/>
      <x:c r="H1424" s="6"/>
      <x:c r="I1424" s="27"/>
      <x:c r="J1424" s="6"/>
      <x:c r="K1424" s="6"/>
      <x:c r="L1424" s="6"/>
      <x:c r="M1424" s="6"/>
      <x:c r="N1424" s="6"/>
      <x:c r="O1424" s="6"/>
      <x:c r="P1424" s="6"/>
      <x:c r="Q1424" s="6"/>
      <x:c r="R1424"/>
      <x:c r="S1424"/>
      <x:c r="T1424"/>
    </x:row>
    <x:row r="1425" spans="1:20" ht="15.75" x14ac:dyDescent="0.25">
      <x:c r="A1425"/>
      <x:c r="B1425"/>
      <x:c r="C1425"/>
      <x:c r="D1425"/>
      <x:c r="E1425" s="31"/>
      <x:c r="F1425" s="8"/>
      <x:c r="G1425" s="8"/>
      <x:c r="H1425" s="6"/>
      <x:c r="I1425" s="27"/>
      <x:c r="J1425" s="6"/>
      <x:c r="K1425" s="6"/>
      <x:c r="L1425" s="6"/>
      <x:c r="M1425" s="6"/>
      <x:c r="N1425" s="6"/>
      <x:c r="O1425" s="6"/>
      <x:c r="P1425" s="6"/>
      <x:c r="Q1425" s="6"/>
      <x:c r="R1425"/>
      <x:c r="S1425"/>
      <x:c r="T1425"/>
    </x:row>
    <x:row r="1426" spans="1:20" ht="15.75" x14ac:dyDescent="0.25">
      <x:c r="A1426"/>
      <x:c r="B1426"/>
      <x:c r="C1426"/>
      <x:c r="D1426"/>
      <x:c r="E1426" s="31"/>
      <x:c r="F1426" s="8"/>
      <x:c r="G1426" s="8"/>
      <x:c r="H1426" s="6"/>
      <x:c r="I1426" s="27"/>
      <x:c r="J1426" s="6"/>
      <x:c r="K1426" s="6"/>
      <x:c r="L1426" s="6"/>
      <x:c r="M1426" s="6"/>
      <x:c r="N1426" s="6"/>
      <x:c r="O1426" s="6"/>
      <x:c r="P1426" s="6"/>
      <x:c r="Q1426" s="6"/>
      <x:c r="R1426"/>
      <x:c r="S1426"/>
      <x:c r="T1426"/>
    </x:row>
    <x:row r="1427" spans="1:20" ht="15.75" x14ac:dyDescent="0.25">
      <x:c r="A1427"/>
      <x:c r="B1427"/>
      <x:c r="C1427"/>
      <x:c r="D1427"/>
      <x:c r="E1427" s="31"/>
      <x:c r="F1427" s="8"/>
      <x:c r="G1427" s="8"/>
      <x:c r="H1427" s="6"/>
      <x:c r="I1427" s="27"/>
      <x:c r="J1427" s="6"/>
      <x:c r="K1427" s="6"/>
      <x:c r="L1427" s="6"/>
      <x:c r="M1427" s="6"/>
      <x:c r="N1427" s="6"/>
      <x:c r="O1427" s="6"/>
      <x:c r="P1427" s="6"/>
      <x:c r="Q1427" s="6"/>
      <x:c r="R1427"/>
      <x:c r="S1427"/>
      <x:c r="T1427"/>
    </x:row>
    <x:row r="1428" spans="1:20" ht="15.75" x14ac:dyDescent="0.25">
      <x:c r="A1428"/>
      <x:c r="B1428"/>
      <x:c r="C1428"/>
      <x:c r="D1428"/>
      <x:c r="E1428" s="31"/>
      <x:c r="F1428" s="8"/>
      <x:c r="G1428" s="8"/>
      <x:c r="H1428" s="6"/>
      <x:c r="I1428" s="27"/>
      <x:c r="J1428" s="6"/>
      <x:c r="K1428" s="6"/>
      <x:c r="L1428" s="6"/>
      <x:c r="M1428" s="6"/>
      <x:c r="N1428" s="6"/>
      <x:c r="O1428" s="6"/>
      <x:c r="P1428" s="6"/>
      <x:c r="Q1428" s="6"/>
      <x:c r="R1428"/>
      <x:c r="S1428"/>
      <x:c r="T1428"/>
    </x:row>
    <x:row r="1429" spans="1:20" ht="15.75" x14ac:dyDescent="0.25">
      <x:c r="A1429"/>
      <x:c r="B1429"/>
      <x:c r="C1429"/>
      <x:c r="D1429"/>
      <x:c r="E1429" s="31"/>
      <x:c r="F1429" s="8"/>
      <x:c r="G1429" s="8"/>
      <x:c r="H1429" s="6"/>
      <x:c r="I1429" s="27"/>
      <x:c r="J1429" s="6"/>
      <x:c r="K1429" s="6"/>
      <x:c r="L1429" s="6"/>
      <x:c r="M1429" s="6"/>
      <x:c r="N1429" s="6"/>
      <x:c r="O1429" s="6"/>
      <x:c r="P1429" s="6"/>
      <x:c r="Q1429" s="6"/>
      <x:c r="R1429"/>
      <x:c r="S1429"/>
      <x:c r="T1429"/>
    </x:row>
    <x:row r="1430" spans="1:20" ht="15.75" x14ac:dyDescent="0.25">
      <x:c r="A1430"/>
      <x:c r="B1430"/>
      <x:c r="C1430"/>
      <x:c r="D1430"/>
      <x:c r="E1430" s="31"/>
      <x:c r="F1430" s="8"/>
      <x:c r="G1430" s="8"/>
      <x:c r="H1430" s="6"/>
      <x:c r="I1430" s="27"/>
      <x:c r="J1430" s="6"/>
      <x:c r="K1430" s="6"/>
      <x:c r="L1430" s="6"/>
      <x:c r="M1430" s="6"/>
      <x:c r="N1430" s="6"/>
      <x:c r="O1430" s="6"/>
      <x:c r="P1430" s="6"/>
      <x:c r="Q1430" s="6"/>
      <x:c r="R1430"/>
      <x:c r="S1430"/>
      <x:c r="T1430"/>
    </x:row>
    <x:row r="1431" spans="1:20" ht="15.75" x14ac:dyDescent="0.25">
      <x:c r="A1431"/>
      <x:c r="B1431"/>
      <x:c r="C1431"/>
      <x:c r="D1431"/>
      <x:c r="E1431" s="31"/>
      <x:c r="F1431" s="8"/>
      <x:c r="G1431" s="8"/>
      <x:c r="H1431" s="6"/>
      <x:c r="I1431" s="27"/>
      <x:c r="J1431" s="6"/>
      <x:c r="K1431" s="6"/>
      <x:c r="L1431" s="6"/>
      <x:c r="M1431" s="6"/>
      <x:c r="N1431" s="6"/>
      <x:c r="O1431" s="6"/>
      <x:c r="P1431" s="6"/>
      <x:c r="Q1431" s="6"/>
      <x:c r="R1431"/>
      <x:c r="S1431"/>
      <x:c r="T1431"/>
    </x:row>
    <x:row r="1432" spans="1:20" ht="15.75" x14ac:dyDescent="0.25">
      <x:c r="A1432"/>
      <x:c r="B1432"/>
      <x:c r="C1432"/>
      <x:c r="D1432"/>
      <x:c r="E1432" s="31"/>
      <x:c r="F1432" s="8"/>
      <x:c r="G1432" s="8"/>
      <x:c r="H1432" s="6"/>
      <x:c r="I1432" s="27"/>
      <x:c r="J1432" s="6"/>
      <x:c r="K1432" s="6"/>
      <x:c r="L1432" s="6"/>
      <x:c r="M1432" s="6"/>
      <x:c r="N1432" s="6"/>
      <x:c r="O1432" s="6"/>
      <x:c r="P1432" s="6"/>
      <x:c r="Q1432" s="6"/>
      <x:c r="R1432"/>
      <x:c r="S1432"/>
      <x:c r="T1432"/>
    </x:row>
    <x:row r="1433" spans="1:20" ht="15.75" x14ac:dyDescent="0.25">
      <x:c r="A1433"/>
      <x:c r="B1433"/>
      <x:c r="C1433"/>
      <x:c r="D1433"/>
      <x:c r="E1433" s="31"/>
      <x:c r="F1433" s="8"/>
      <x:c r="G1433" s="8"/>
      <x:c r="H1433" s="6"/>
      <x:c r="I1433" s="27"/>
      <x:c r="J1433" s="6"/>
      <x:c r="K1433" s="6"/>
      <x:c r="L1433" s="6"/>
      <x:c r="M1433" s="6"/>
      <x:c r="N1433" s="6"/>
      <x:c r="O1433" s="6"/>
      <x:c r="P1433" s="6"/>
      <x:c r="Q1433" s="6"/>
      <x:c r="R1433"/>
      <x:c r="S1433"/>
      <x:c r="T1433"/>
    </x:row>
    <x:row r="1434" spans="1:20" ht="15.75" x14ac:dyDescent="0.25">
      <x:c r="A1434"/>
      <x:c r="B1434"/>
      <x:c r="C1434"/>
      <x:c r="D1434"/>
      <x:c r="E1434" s="31"/>
      <x:c r="F1434" s="8"/>
      <x:c r="G1434" s="8"/>
      <x:c r="H1434" s="6"/>
      <x:c r="I1434" s="27"/>
      <x:c r="J1434" s="6"/>
      <x:c r="K1434" s="6"/>
      <x:c r="L1434" s="6"/>
      <x:c r="M1434" s="6"/>
      <x:c r="N1434" s="6"/>
      <x:c r="O1434" s="6"/>
      <x:c r="P1434" s="6"/>
      <x:c r="Q1434" s="6"/>
      <x:c r="R1434"/>
      <x:c r="S1434"/>
      <x:c r="T1434"/>
    </x:row>
    <x:row r="1435" spans="1:20" ht="15.75" x14ac:dyDescent="0.25">
      <x:c r="A1435"/>
      <x:c r="B1435"/>
      <x:c r="C1435"/>
      <x:c r="D1435"/>
      <x:c r="E1435" s="31"/>
      <x:c r="F1435" s="8"/>
      <x:c r="G1435" s="8"/>
      <x:c r="H1435" s="6"/>
      <x:c r="I1435" s="27"/>
      <x:c r="J1435" s="6"/>
      <x:c r="K1435" s="6"/>
      <x:c r="L1435" s="6"/>
      <x:c r="M1435" s="6"/>
      <x:c r="N1435" s="6"/>
      <x:c r="O1435" s="6"/>
      <x:c r="P1435" s="6"/>
      <x:c r="Q1435" s="6"/>
      <x:c r="R1435"/>
      <x:c r="S1435"/>
      <x:c r="T1435"/>
    </x:row>
    <x:row r="1436" spans="1:20" ht="15.75" x14ac:dyDescent="0.25">
      <x:c r="A1436"/>
      <x:c r="B1436"/>
      <x:c r="C1436"/>
      <x:c r="D1436"/>
      <x:c r="E1436" s="31"/>
      <x:c r="F1436" s="8"/>
      <x:c r="G1436" s="8"/>
      <x:c r="H1436" s="6"/>
      <x:c r="I1436" s="27"/>
      <x:c r="J1436" s="6"/>
      <x:c r="K1436" s="6"/>
      <x:c r="L1436" s="6"/>
      <x:c r="M1436" s="6"/>
      <x:c r="N1436" s="6"/>
      <x:c r="O1436" s="6"/>
      <x:c r="P1436" s="6"/>
      <x:c r="Q1436" s="6"/>
      <x:c r="R1436"/>
      <x:c r="S1436"/>
      <x:c r="T1436"/>
    </x:row>
    <x:row r="1437" spans="1:20" ht="15.75" x14ac:dyDescent="0.25">
      <x:c r="A1437"/>
      <x:c r="B1437"/>
      <x:c r="C1437"/>
      <x:c r="D1437"/>
      <x:c r="E1437" s="31"/>
      <x:c r="F1437" s="8"/>
      <x:c r="G1437" s="8"/>
      <x:c r="H1437" s="6"/>
      <x:c r="I1437" s="27"/>
      <x:c r="J1437" s="6"/>
      <x:c r="K1437" s="6"/>
      <x:c r="L1437" s="6"/>
      <x:c r="M1437" s="6"/>
      <x:c r="N1437" s="6"/>
      <x:c r="O1437" s="6"/>
      <x:c r="P1437" s="6"/>
      <x:c r="Q1437" s="6"/>
      <x:c r="R1437"/>
      <x:c r="S1437"/>
      <x:c r="T1437"/>
    </x:row>
    <x:row r="1438" spans="1:20" ht="15.75" x14ac:dyDescent="0.25">
      <x:c r="A1438"/>
      <x:c r="B1438"/>
      <x:c r="C1438"/>
      <x:c r="D1438"/>
      <x:c r="E1438" s="31"/>
      <x:c r="F1438" s="8"/>
      <x:c r="G1438" s="8"/>
      <x:c r="H1438" s="6"/>
      <x:c r="I1438" s="27"/>
      <x:c r="J1438" s="6"/>
      <x:c r="K1438" s="6"/>
      <x:c r="L1438" s="6"/>
      <x:c r="M1438" s="6"/>
      <x:c r="N1438" s="6"/>
      <x:c r="O1438" s="6"/>
      <x:c r="P1438" s="6"/>
      <x:c r="Q1438" s="6"/>
      <x:c r="R1438"/>
      <x:c r="S1438"/>
      <x:c r="T1438"/>
    </x:row>
    <x:row r="1439" spans="1:20" ht="15.75" x14ac:dyDescent="0.25">
      <x:c r="A1439"/>
      <x:c r="B1439"/>
      <x:c r="C1439"/>
      <x:c r="D1439"/>
      <x:c r="E1439" s="31"/>
      <x:c r="F1439" s="8"/>
      <x:c r="G1439" s="8"/>
      <x:c r="H1439" s="6"/>
      <x:c r="I1439" s="27"/>
      <x:c r="J1439" s="6"/>
      <x:c r="K1439" s="6"/>
      <x:c r="L1439" s="6"/>
      <x:c r="M1439" s="6"/>
      <x:c r="N1439" s="6"/>
      <x:c r="O1439" s="6"/>
      <x:c r="P1439" s="6"/>
      <x:c r="Q1439" s="6"/>
      <x:c r="R1439"/>
      <x:c r="S1439"/>
      <x:c r="T1439"/>
    </x:row>
    <x:row r="1440" spans="1:20" ht="15.75" x14ac:dyDescent="0.25">
      <x:c r="A1440"/>
      <x:c r="B1440"/>
      <x:c r="C1440"/>
      <x:c r="D1440"/>
      <x:c r="E1440" s="31"/>
      <x:c r="F1440" s="8"/>
      <x:c r="G1440" s="8"/>
      <x:c r="H1440" s="6"/>
      <x:c r="I1440" s="27"/>
      <x:c r="J1440" s="6"/>
      <x:c r="K1440" s="6"/>
      <x:c r="L1440" s="6"/>
      <x:c r="M1440" s="6"/>
      <x:c r="N1440" s="6"/>
      <x:c r="O1440" s="6"/>
      <x:c r="P1440" s="6"/>
      <x:c r="Q1440" s="6"/>
      <x:c r="R1440"/>
      <x:c r="S1440"/>
      <x:c r="T1440"/>
    </x:row>
    <x:row r="1441" spans="1:20" ht="15.75" x14ac:dyDescent="0.25">
      <x:c r="A1441"/>
      <x:c r="B1441"/>
      <x:c r="C1441"/>
      <x:c r="D1441"/>
      <x:c r="E1441" s="31"/>
      <x:c r="F1441" s="8"/>
      <x:c r="G1441" s="8"/>
      <x:c r="H1441" s="6"/>
      <x:c r="I1441" s="27"/>
      <x:c r="J1441" s="6"/>
      <x:c r="K1441" s="6"/>
      <x:c r="L1441" s="6"/>
      <x:c r="M1441" s="6"/>
      <x:c r="N1441" s="6"/>
      <x:c r="O1441" s="6"/>
      <x:c r="P1441" s="6"/>
      <x:c r="Q1441" s="6"/>
      <x:c r="R1441"/>
      <x:c r="S1441"/>
      <x:c r="T1441"/>
    </x:row>
    <x:row r="1442" spans="1:20" ht="15.75" x14ac:dyDescent="0.25">
      <x:c r="A1442"/>
      <x:c r="B1442"/>
      <x:c r="C1442"/>
      <x:c r="D1442"/>
      <x:c r="E1442" s="31"/>
      <x:c r="F1442" s="8"/>
      <x:c r="G1442" s="8"/>
      <x:c r="H1442" s="6"/>
      <x:c r="I1442" s="27"/>
      <x:c r="J1442" s="6"/>
      <x:c r="K1442" s="6"/>
      <x:c r="L1442" s="6"/>
      <x:c r="M1442" s="6"/>
      <x:c r="N1442" s="6"/>
      <x:c r="O1442" s="6"/>
      <x:c r="P1442" s="6"/>
      <x:c r="Q1442" s="6"/>
      <x:c r="R1442"/>
      <x:c r="S1442"/>
      <x:c r="T1442"/>
    </x:row>
    <x:row r="1443" spans="1:20" ht="15.75" x14ac:dyDescent="0.25">
      <x:c r="A1443"/>
      <x:c r="B1443"/>
      <x:c r="C1443"/>
      <x:c r="D1443"/>
      <x:c r="E1443" s="31"/>
      <x:c r="F1443" s="8"/>
      <x:c r="G1443" s="8"/>
      <x:c r="H1443" s="6"/>
      <x:c r="I1443" s="27"/>
      <x:c r="J1443" s="6"/>
      <x:c r="K1443" s="6"/>
      <x:c r="L1443" s="6"/>
      <x:c r="M1443" s="6"/>
      <x:c r="N1443" s="6"/>
      <x:c r="O1443" s="6"/>
      <x:c r="P1443" s="6"/>
      <x:c r="Q1443" s="6"/>
      <x:c r="R1443"/>
      <x:c r="S1443"/>
      <x:c r="T1443"/>
    </x:row>
    <x:row r="1444" spans="1:20" ht="15.75" x14ac:dyDescent="0.25">
      <x:c r="A1444"/>
      <x:c r="B1444"/>
      <x:c r="C1444"/>
      <x:c r="D1444"/>
      <x:c r="E1444" s="31"/>
      <x:c r="F1444" s="8"/>
      <x:c r="G1444" s="8"/>
      <x:c r="H1444" s="6"/>
      <x:c r="I1444" s="27"/>
      <x:c r="J1444" s="6"/>
      <x:c r="K1444" s="6"/>
      <x:c r="L1444" s="6"/>
      <x:c r="M1444" s="6"/>
      <x:c r="N1444" s="6"/>
      <x:c r="O1444" s="6"/>
      <x:c r="P1444" s="6"/>
      <x:c r="Q1444" s="6"/>
      <x:c r="R1444"/>
      <x:c r="S1444"/>
      <x:c r="T1444"/>
    </x:row>
    <x:row r="1445" spans="1:20" ht="15.75" x14ac:dyDescent="0.25">
      <x:c r="A1445"/>
      <x:c r="B1445"/>
      <x:c r="C1445"/>
      <x:c r="D1445"/>
      <x:c r="E1445" s="31"/>
      <x:c r="F1445" s="8"/>
      <x:c r="G1445" s="8"/>
      <x:c r="H1445" s="6"/>
      <x:c r="I1445" s="27"/>
      <x:c r="J1445" s="6"/>
      <x:c r="K1445" s="6"/>
      <x:c r="L1445" s="6"/>
      <x:c r="M1445" s="6"/>
      <x:c r="N1445" s="6"/>
      <x:c r="O1445" s="6"/>
      <x:c r="P1445" s="6"/>
      <x:c r="Q1445" s="6"/>
      <x:c r="R1445"/>
      <x:c r="S1445"/>
      <x:c r="T1445"/>
    </x:row>
    <x:row r="1446" spans="1:20" ht="15.75" x14ac:dyDescent="0.25">
      <x:c r="A1446"/>
      <x:c r="B1446"/>
      <x:c r="C1446"/>
      <x:c r="D1446"/>
      <x:c r="E1446" s="31"/>
      <x:c r="F1446" s="8"/>
      <x:c r="G1446" s="8"/>
      <x:c r="H1446" s="6"/>
      <x:c r="I1446" s="27"/>
      <x:c r="J1446" s="6"/>
      <x:c r="K1446" s="6"/>
      <x:c r="L1446" s="6"/>
      <x:c r="M1446" s="6"/>
      <x:c r="N1446" s="6"/>
      <x:c r="O1446" s="6"/>
      <x:c r="P1446" s="6"/>
      <x:c r="Q1446" s="6"/>
      <x:c r="R1446"/>
      <x:c r="S1446"/>
      <x:c r="T1446"/>
    </x:row>
    <x:row r="1447" spans="1:20" ht="15.75" x14ac:dyDescent="0.25">
      <x:c r="A1447"/>
      <x:c r="B1447"/>
      <x:c r="C1447"/>
      <x:c r="D1447"/>
      <x:c r="E1447" s="31"/>
      <x:c r="F1447" s="8"/>
      <x:c r="G1447" s="8"/>
      <x:c r="H1447" s="6"/>
      <x:c r="I1447" s="27"/>
      <x:c r="J1447" s="6"/>
      <x:c r="K1447" s="6"/>
      <x:c r="L1447" s="6"/>
      <x:c r="M1447" s="6"/>
      <x:c r="N1447" s="6"/>
      <x:c r="O1447" s="6"/>
      <x:c r="P1447" s="6"/>
      <x:c r="Q1447" s="6"/>
      <x:c r="R1447"/>
      <x:c r="S1447"/>
      <x:c r="T1447"/>
    </x:row>
    <x:row r="1448" spans="1:20" ht="15.75" x14ac:dyDescent="0.25">
      <x:c r="A1448"/>
      <x:c r="B1448"/>
      <x:c r="C1448"/>
      <x:c r="D1448"/>
      <x:c r="E1448" s="31"/>
      <x:c r="F1448" s="8"/>
      <x:c r="G1448" s="8"/>
      <x:c r="H1448" s="6"/>
      <x:c r="I1448" s="27"/>
      <x:c r="J1448" s="6"/>
      <x:c r="K1448" s="6"/>
      <x:c r="L1448" s="6"/>
      <x:c r="M1448" s="6"/>
      <x:c r="N1448" s="6"/>
      <x:c r="O1448" s="6"/>
      <x:c r="P1448" s="6"/>
      <x:c r="Q1448" s="6"/>
      <x:c r="R1448"/>
      <x:c r="S1448"/>
      <x:c r="T1448"/>
    </x:row>
    <x:row r="1449" spans="1:20" ht="15.75" x14ac:dyDescent="0.25">
      <x:c r="A1449"/>
      <x:c r="B1449"/>
      <x:c r="C1449"/>
      <x:c r="D1449"/>
      <x:c r="E1449" s="31"/>
      <x:c r="F1449" s="8"/>
      <x:c r="G1449" s="8"/>
      <x:c r="H1449" s="6"/>
      <x:c r="I1449" s="27"/>
      <x:c r="J1449" s="6"/>
      <x:c r="K1449" s="6"/>
      <x:c r="L1449" s="6"/>
      <x:c r="M1449" s="6"/>
      <x:c r="N1449" s="6"/>
      <x:c r="O1449" s="6"/>
      <x:c r="P1449" s="6"/>
      <x:c r="Q1449" s="6"/>
      <x:c r="R1449"/>
      <x:c r="S1449"/>
      <x:c r="T1449"/>
    </x:row>
    <x:row r="1450" spans="1:20" ht="15.75" x14ac:dyDescent="0.25">
      <x:c r="A1450"/>
      <x:c r="B1450"/>
      <x:c r="C1450"/>
      <x:c r="D1450"/>
      <x:c r="E1450" s="31"/>
      <x:c r="F1450" s="8"/>
      <x:c r="G1450" s="8"/>
      <x:c r="H1450" s="6"/>
      <x:c r="I1450" s="27"/>
      <x:c r="J1450" s="6"/>
      <x:c r="K1450" s="6"/>
      <x:c r="L1450" s="6"/>
      <x:c r="M1450" s="6"/>
      <x:c r="N1450" s="6"/>
      <x:c r="O1450" s="6"/>
      <x:c r="P1450" s="6"/>
      <x:c r="Q1450" s="6"/>
      <x:c r="R1450"/>
      <x:c r="S1450"/>
      <x:c r="T1450"/>
    </x:row>
    <x:row r="1451" spans="1:20" ht="15.75" x14ac:dyDescent="0.25">
      <x:c r="A1451"/>
      <x:c r="B1451"/>
      <x:c r="C1451"/>
      <x:c r="D1451"/>
      <x:c r="E1451" s="31"/>
      <x:c r="F1451" s="8"/>
      <x:c r="G1451" s="8"/>
      <x:c r="H1451" s="6"/>
      <x:c r="I1451" s="27"/>
      <x:c r="J1451" s="6"/>
      <x:c r="K1451" s="6"/>
      <x:c r="L1451" s="6"/>
      <x:c r="M1451" s="6"/>
      <x:c r="N1451" s="6"/>
      <x:c r="O1451" s="6"/>
      <x:c r="P1451" s="6"/>
      <x:c r="Q1451" s="6"/>
      <x:c r="R1451"/>
      <x:c r="S1451"/>
      <x:c r="T1451"/>
    </x:row>
    <x:row r="1452" spans="1:20" ht="15.75" x14ac:dyDescent="0.25">
      <x:c r="A1452"/>
      <x:c r="B1452"/>
      <x:c r="C1452"/>
      <x:c r="D1452"/>
      <x:c r="E1452" s="31"/>
      <x:c r="F1452" s="8"/>
      <x:c r="G1452" s="8"/>
      <x:c r="H1452" s="6"/>
      <x:c r="I1452" s="27"/>
      <x:c r="J1452" s="6"/>
      <x:c r="K1452" s="6"/>
      <x:c r="L1452" s="6"/>
      <x:c r="M1452" s="6"/>
      <x:c r="N1452" s="6"/>
      <x:c r="O1452" s="6"/>
      <x:c r="P1452" s="6"/>
      <x:c r="Q1452" s="6"/>
      <x:c r="R1452"/>
      <x:c r="S1452"/>
      <x:c r="T1452"/>
    </x:row>
    <x:row r="1453" spans="1:20" ht="15.75" x14ac:dyDescent="0.25">
      <x:c r="A1453"/>
      <x:c r="B1453"/>
      <x:c r="C1453"/>
      <x:c r="D1453"/>
      <x:c r="E1453" s="31"/>
      <x:c r="F1453" s="8"/>
      <x:c r="G1453" s="8"/>
      <x:c r="H1453" s="6"/>
      <x:c r="I1453" s="27"/>
      <x:c r="J1453" s="6"/>
      <x:c r="K1453" s="6"/>
      <x:c r="L1453" s="6"/>
      <x:c r="M1453" s="6"/>
      <x:c r="N1453" s="6"/>
      <x:c r="O1453" s="6"/>
      <x:c r="P1453" s="6"/>
      <x:c r="Q1453" s="6"/>
      <x:c r="R1453"/>
      <x:c r="S1453"/>
      <x:c r="T1453"/>
    </x:row>
    <x:row r="1454" spans="1:20" ht="15.75" x14ac:dyDescent="0.25">
      <x:c r="A1454"/>
      <x:c r="B1454"/>
      <x:c r="C1454"/>
      <x:c r="D1454"/>
      <x:c r="E1454" s="31"/>
      <x:c r="F1454" s="8"/>
      <x:c r="G1454" s="8"/>
      <x:c r="H1454" s="6"/>
      <x:c r="I1454" s="27"/>
      <x:c r="J1454" s="6"/>
      <x:c r="K1454" s="6"/>
      <x:c r="L1454" s="6"/>
      <x:c r="M1454" s="6"/>
      <x:c r="N1454" s="6"/>
      <x:c r="O1454" s="6"/>
      <x:c r="P1454" s="6"/>
      <x:c r="Q1454" s="6"/>
      <x:c r="R1454"/>
      <x:c r="S1454"/>
      <x:c r="T1454"/>
    </x:row>
    <x:row r="1455" spans="1:20" ht="15.75" x14ac:dyDescent="0.25">
      <x:c r="A1455"/>
      <x:c r="B1455"/>
      <x:c r="C1455"/>
      <x:c r="D1455"/>
      <x:c r="E1455" s="31"/>
      <x:c r="F1455" s="8"/>
      <x:c r="G1455" s="8"/>
      <x:c r="H1455" s="6"/>
      <x:c r="I1455" s="27"/>
      <x:c r="J1455" s="6"/>
      <x:c r="K1455" s="6"/>
      <x:c r="L1455" s="6"/>
      <x:c r="M1455" s="6"/>
      <x:c r="N1455" s="6"/>
      <x:c r="O1455" s="6"/>
      <x:c r="P1455" s="6"/>
      <x:c r="Q1455" s="6"/>
      <x:c r="R1455"/>
      <x:c r="S1455"/>
      <x:c r="T1455"/>
    </x:row>
    <x:row r="1456" spans="1:20" ht="15.75" x14ac:dyDescent="0.25">
      <x:c r="A1456"/>
      <x:c r="B1456"/>
      <x:c r="C1456"/>
      <x:c r="D1456"/>
      <x:c r="E1456" s="31"/>
      <x:c r="F1456" s="8"/>
      <x:c r="G1456" s="8"/>
      <x:c r="H1456" s="6"/>
      <x:c r="I1456" s="27"/>
      <x:c r="J1456" s="6"/>
      <x:c r="K1456" s="6"/>
      <x:c r="L1456" s="6"/>
      <x:c r="M1456" s="6"/>
      <x:c r="N1456" s="6"/>
      <x:c r="O1456" s="6"/>
      <x:c r="P1456" s="6"/>
      <x:c r="Q1456" s="6"/>
      <x:c r="R1456"/>
      <x:c r="S1456"/>
      <x:c r="T1456"/>
    </x:row>
    <x:row r="1457" spans="1:20" ht="15.75" x14ac:dyDescent="0.25">
      <x:c r="A1457"/>
      <x:c r="B1457"/>
      <x:c r="C1457"/>
      <x:c r="D1457"/>
      <x:c r="E1457" s="31"/>
      <x:c r="F1457" s="8"/>
      <x:c r="G1457" s="8"/>
      <x:c r="H1457" s="6"/>
      <x:c r="I1457" s="27"/>
      <x:c r="J1457" s="6"/>
      <x:c r="K1457" s="6"/>
      <x:c r="L1457" s="6"/>
      <x:c r="M1457" s="6"/>
      <x:c r="N1457" s="6"/>
      <x:c r="O1457" s="6"/>
      <x:c r="P1457" s="6"/>
      <x:c r="Q1457" s="6"/>
      <x:c r="R1457"/>
      <x:c r="S1457"/>
      <x:c r="T1457"/>
    </x:row>
    <x:row r="1458" spans="1:20" ht="15.75" x14ac:dyDescent="0.25">
      <x:c r="A1458"/>
      <x:c r="B1458"/>
      <x:c r="C1458"/>
      <x:c r="D1458"/>
      <x:c r="E1458" s="31"/>
      <x:c r="F1458" s="8"/>
      <x:c r="G1458" s="8"/>
      <x:c r="H1458" s="6"/>
      <x:c r="I1458" s="27"/>
      <x:c r="J1458" s="6"/>
      <x:c r="K1458" s="6"/>
      <x:c r="L1458" s="6"/>
      <x:c r="M1458" s="6"/>
      <x:c r="N1458" s="6"/>
      <x:c r="O1458" s="6"/>
      <x:c r="P1458" s="6"/>
      <x:c r="Q1458" s="6"/>
      <x:c r="R1458"/>
      <x:c r="S1458"/>
      <x:c r="T1458"/>
    </x:row>
    <x:row r="1459" spans="1:20" ht="15.75" x14ac:dyDescent="0.25">
      <x:c r="A1459"/>
      <x:c r="B1459"/>
      <x:c r="C1459"/>
      <x:c r="D1459"/>
      <x:c r="E1459" s="31"/>
      <x:c r="F1459" s="8"/>
      <x:c r="G1459" s="8"/>
      <x:c r="H1459" s="6"/>
      <x:c r="I1459" s="27"/>
      <x:c r="J1459" s="6"/>
      <x:c r="K1459" s="6"/>
      <x:c r="L1459" s="6"/>
      <x:c r="M1459" s="6"/>
      <x:c r="N1459" s="6"/>
      <x:c r="O1459" s="6"/>
      <x:c r="P1459" s="6"/>
      <x:c r="Q1459" s="6"/>
      <x:c r="R1459"/>
      <x:c r="S1459"/>
      <x:c r="T1459"/>
    </x:row>
    <x:row r="1460" spans="1:20" ht="15.75" x14ac:dyDescent="0.25">
      <x:c r="A1460"/>
      <x:c r="B1460"/>
      <x:c r="C1460"/>
      <x:c r="D1460"/>
      <x:c r="E1460" s="31"/>
      <x:c r="F1460" s="8"/>
      <x:c r="G1460" s="8"/>
      <x:c r="H1460" s="6"/>
      <x:c r="I1460" s="27"/>
      <x:c r="J1460" s="6"/>
      <x:c r="K1460" s="6"/>
      <x:c r="L1460" s="6"/>
      <x:c r="M1460" s="6"/>
      <x:c r="N1460" s="6"/>
      <x:c r="O1460" s="6"/>
      <x:c r="P1460" s="6"/>
      <x:c r="Q1460" s="6"/>
      <x:c r="R1460"/>
      <x:c r="S1460"/>
      <x:c r="T1460"/>
    </x:row>
    <x:row r="1461" spans="1:20" ht="15.75" x14ac:dyDescent="0.25">
      <x:c r="A1461"/>
      <x:c r="B1461"/>
      <x:c r="C1461"/>
      <x:c r="D1461"/>
      <x:c r="E1461" s="31"/>
      <x:c r="F1461" s="8"/>
      <x:c r="G1461" s="8"/>
      <x:c r="H1461" s="6"/>
      <x:c r="I1461" s="27"/>
      <x:c r="J1461" s="6"/>
      <x:c r="K1461" s="6"/>
      <x:c r="L1461" s="6"/>
      <x:c r="M1461" s="6"/>
      <x:c r="N1461" s="6"/>
      <x:c r="O1461" s="6"/>
      <x:c r="P1461" s="6"/>
      <x:c r="Q1461" s="6"/>
      <x:c r="R1461"/>
      <x:c r="S1461"/>
      <x:c r="T1461"/>
    </x:row>
    <x:row r="1462" spans="1:20" ht="15.75" x14ac:dyDescent="0.25">
      <x:c r="A1462"/>
      <x:c r="B1462"/>
      <x:c r="C1462"/>
      <x:c r="D1462"/>
      <x:c r="E1462" s="31"/>
      <x:c r="F1462" s="8"/>
      <x:c r="G1462" s="8"/>
      <x:c r="H1462" s="6"/>
      <x:c r="I1462" s="27"/>
      <x:c r="J1462" s="6"/>
      <x:c r="K1462" s="6"/>
      <x:c r="L1462" s="6"/>
      <x:c r="M1462" s="6"/>
      <x:c r="N1462" s="6"/>
      <x:c r="O1462" s="6"/>
      <x:c r="P1462" s="6"/>
      <x:c r="Q1462" s="6"/>
      <x:c r="R1462"/>
      <x:c r="S1462"/>
      <x:c r="T1462"/>
    </x:row>
    <x:row r="1463" spans="1:20" ht="15.75" x14ac:dyDescent="0.25">
      <x:c r="A1463"/>
      <x:c r="B1463"/>
      <x:c r="C1463"/>
      <x:c r="D1463"/>
      <x:c r="E1463" s="31"/>
      <x:c r="F1463" s="8"/>
      <x:c r="G1463" s="8"/>
      <x:c r="H1463" s="6"/>
      <x:c r="I1463" s="27"/>
      <x:c r="J1463" s="6"/>
      <x:c r="K1463" s="6"/>
      <x:c r="L1463" s="6"/>
      <x:c r="M1463" s="6"/>
      <x:c r="N1463" s="6"/>
      <x:c r="O1463" s="6"/>
      <x:c r="P1463" s="6"/>
      <x:c r="Q1463" s="6"/>
      <x:c r="R1463"/>
      <x:c r="S1463"/>
      <x:c r="T1463"/>
    </x:row>
    <x:row r="1464" spans="1:20" ht="15.75" x14ac:dyDescent="0.25">
      <x:c r="A1464"/>
      <x:c r="B1464"/>
      <x:c r="C1464"/>
      <x:c r="D1464"/>
      <x:c r="E1464" s="31"/>
      <x:c r="F1464" s="8"/>
      <x:c r="G1464" s="8"/>
      <x:c r="H1464" s="6"/>
      <x:c r="I1464" s="27"/>
      <x:c r="J1464" s="6"/>
      <x:c r="K1464" s="6"/>
      <x:c r="L1464" s="6"/>
      <x:c r="M1464" s="6"/>
      <x:c r="N1464" s="6"/>
      <x:c r="O1464" s="6"/>
      <x:c r="P1464" s="6"/>
      <x:c r="Q1464" s="6"/>
      <x:c r="R1464"/>
      <x:c r="S1464"/>
      <x:c r="T1464"/>
    </x:row>
    <x:row r="1465" spans="1:20" ht="15.75" x14ac:dyDescent="0.25">
      <x:c r="A1465"/>
      <x:c r="B1465"/>
      <x:c r="C1465"/>
      <x:c r="D1465"/>
      <x:c r="E1465" s="31"/>
      <x:c r="F1465" s="8"/>
      <x:c r="G1465" s="8"/>
      <x:c r="H1465" s="6"/>
      <x:c r="I1465" s="27"/>
      <x:c r="J1465" s="6"/>
      <x:c r="K1465" s="6"/>
      <x:c r="L1465" s="6"/>
      <x:c r="M1465" s="6"/>
      <x:c r="N1465" s="6"/>
      <x:c r="O1465" s="6"/>
      <x:c r="P1465" s="6"/>
      <x:c r="Q1465" s="6"/>
      <x:c r="R1465"/>
      <x:c r="S1465"/>
      <x:c r="T1465"/>
    </x:row>
    <x:row r="1466" spans="1:20" ht="15.75" x14ac:dyDescent="0.25">
      <x:c r="A1466"/>
      <x:c r="B1466"/>
      <x:c r="C1466"/>
      <x:c r="D1466"/>
      <x:c r="E1466" s="31"/>
      <x:c r="F1466" s="8"/>
      <x:c r="G1466" s="8"/>
      <x:c r="H1466" s="6"/>
      <x:c r="I1466" s="27"/>
      <x:c r="J1466" s="6"/>
      <x:c r="K1466" s="6"/>
      <x:c r="L1466" s="6"/>
      <x:c r="M1466" s="6"/>
      <x:c r="N1466" s="6"/>
      <x:c r="O1466" s="6"/>
      <x:c r="P1466" s="6"/>
      <x:c r="Q1466" s="6"/>
      <x:c r="R1466"/>
      <x:c r="S1466"/>
      <x:c r="T1466"/>
    </x:row>
    <x:row r="1467" spans="1:20" ht="15.75" x14ac:dyDescent="0.25">
      <x:c r="A1467"/>
      <x:c r="B1467"/>
      <x:c r="C1467"/>
      <x:c r="D1467"/>
      <x:c r="E1467" s="31"/>
      <x:c r="F1467" s="8"/>
      <x:c r="G1467" s="8"/>
      <x:c r="H1467" s="6"/>
      <x:c r="I1467" s="27"/>
      <x:c r="J1467" s="6"/>
      <x:c r="K1467" s="6"/>
      <x:c r="L1467" s="6"/>
      <x:c r="M1467" s="6"/>
      <x:c r="N1467" s="6"/>
      <x:c r="O1467" s="6"/>
      <x:c r="P1467" s="6"/>
      <x:c r="Q1467" s="6"/>
      <x:c r="R1467"/>
      <x:c r="S1467"/>
      <x:c r="T1467"/>
    </x:row>
    <x:row r="1468" spans="1:20" ht="15.75" x14ac:dyDescent="0.25">
      <x:c r="A1468"/>
      <x:c r="B1468"/>
      <x:c r="C1468"/>
      <x:c r="D1468"/>
      <x:c r="E1468" s="31"/>
      <x:c r="F1468" s="8"/>
      <x:c r="G1468" s="8"/>
      <x:c r="H1468" s="6"/>
      <x:c r="I1468" s="27"/>
      <x:c r="J1468" s="6"/>
      <x:c r="K1468" s="6"/>
      <x:c r="L1468" s="6"/>
      <x:c r="M1468" s="6"/>
      <x:c r="N1468" s="6"/>
      <x:c r="O1468" s="6"/>
      <x:c r="P1468" s="6"/>
      <x:c r="Q1468" s="6"/>
      <x:c r="R1468"/>
      <x:c r="S1468"/>
      <x:c r="T1468"/>
    </x:row>
    <x:row r="1469" spans="1:20" ht="15.75" x14ac:dyDescent="0.25">
      <x:c r="A1469"/>
      <x:c r="B1469"/>
      <x:c r="C1469"/>
      <x:c r="D1469"/>
      <x:c r="E1469" s="31"/>
      <x:c r="F1469" s="8"/>
      <x:c r="G1469" s="8"/>
      <x:c r="H1469" s="6"/>
      <x:c r="I1469" s="27"/>
      <x:c r="J1469" s="6"/>
      <x:c r="K1469" s="6"/>
      <x:c r="L1469" s="6"/>
      <x:c r="M1469" s="6"/>
      <x:c r="N1469" s="6"/>
      <x:c r="O1469" s="6"/>
      <x:c r="P1469" s="6"/>
      <x:c r="Q1469" s="6"/>
      <x:c r="R1469"/>
      <x:c r="S1469"/>
      <x:c r="T1469"/>
    </x:row>
    <x:row r="1470" spans="1:20" ht="15.75" x14ac:dyDescent="0.25">
      <x:c r="A1470"/>
      <x:c r="B1470"/>
      <x:c r="C1470"/>
      <x:c r="D1470"/>
      <x:c r="E1470" s="31"/>
      <x:c r="F1470" s="8"/>
      <x:c r="G1470" s="8"/>
      <x:c r="H1470" s="6"/>
      <x:c r="I1470" s="27"/>
      <x:c r="J1470" s="6"/>
      <x:c r="K1470" s="6"/>
      <x:c r="L1470" s="6"/>
      <x:c r="M1470" s="6"/>
      <x:c r="N1470" s="6"/>
      <x:c r="O1470" s="6"/>
      <x:c r="P1470" s="6"/>
      <x:c r="Q1470" s="6"/>
      <x:c r="R1470"/>
      <x:c r="S1470"/>
      <x:c r="T1470"/>
    </x:row>
    <x:row r="1471" spans="1:20" ht="15.75" x14ac:dyDescent="0.25">
      <x:c r="A1471"/>
      <x:c r="B1471"/>
      <x:c r="C1471"/>
      <x:c r="D1471"/>
      <x:c r="E1471" s="31"/>
      <x:c r="F1471" s="8"/>
      <x:c r="G1471" s="8"/>
      <x:c r="H1471" s="6"/>
      <x:c r="I1471" s="27"/>
      <x:c r="J1471" s="6"/>
      <x:c r="K1471" s="6"/>
      <x:c r="L1471" s="6"/>
      <x:c r="M1471" s="6"/>
      <x:c r="N1471" s="6"/>
      <x:c r="O1471" s="6"/>
      <x:c r="P1471" s="6"/>
      <x:c r="Q1471" s="6"/>
      <x:c r="R1471"/>
      <x:c r="S1471"/>
      <x:c r="T1471"/>
    </x:row>
    <x:row r="1472" spans="1:20" ht="15.75" x14ac:dyDescent="0.25">
      <x:c r="A1472"/>
      <x:c r="B1472"/>
      <x:c r="C1472"/>
      <x:c r="D1472"/>
      <x:c r="E1472" s="31"/>
      <x:c r="F1472" s="8"/>
      <x:c r="G1472" s="8"/>
      <x:c r="H1472" s="6"/>
      <x:c r="I1472" s="27"/>
      <x:c r="J1472" s="6"/>
      <x:c r="K1472" s="6"/>
      <x:c r="L1472" s="6"/>
      <x:c r="M1472" s="6"/>
      <x:c r="N1472" s="6"/>
      <x:c r="O1472" s="6"/>
      <x:c r="P1472" s="6"/>
      <x:c r="Q1472" s="6"/>
      <x:c r="R1472"/>
      <x:c r="S1472"/>
      <x:c r="T1472"/>
    </x:row>
    <x:row r="1473" spans="1:20" ht="15.75" x14ac:dyDescent="0.25">
      <x:c r="A1473"/>
      <x:c r="B1473"/>
      <x:c r="C1473"/>
      <x:c r="D1473"/>
      <x:c r="E1473" s="31"/>
      <x:c r="F1473" s="8"/>
      <x:c r="G1473" s="8"/>
      <x:c r="H1473" s="6"/>
      <x:c r="I1473" s="27"/>
      <x:c r="J1473" s="6"/>
      <x:c r="K1473" s="6"/>
      <x:c r="L1473" s="6"/>
      <x:c r="M1473" s="6"/>
      <x:c r="N1473" s="6"/>
      <x:c r="O1473" s="6"/>
      <x:c r="P1473" s="6"/>
      <x:c r="Q1473" s="6"/>
      <x:c r="R1473"/>
      <x:c r="S1473"/>
      <x:c r="T1473"/>
    </x:row>
    <x:row r="1474" spans="1:20" ht="15.75" x14ac:dyDescent="0.25">
      <x:c r="A1474"/>
      <x:c r="B1474"/>
      <x:c r="C1474"/>
      <x:c r="D1474"/>
      <x:c r="E1474" s="31"/>
      <x:c r="F1474" s="8"/>
      <x:c r="G1474" s="8"/>
      <x:c r="H1474" s="6"/>
      <x:c r="I1474" s="27"/>
      <x:c r="J1474" s="6"/>
      <x:c r="K1474" s="6"/>
      <x:c r="L1474" s="6"/>
      <x:c r="M1474" s="6"/>
      <x:c r="N1474" s="6"/>
      <x:c r="O1474" s="6"/>
      <x:c r="P1474" s="6"/>
      <x:c r="Q1474" s="6"/>
      <x:c r="R1474"/>
      <x:c r="S1474"/>
      <x:c r="T1474"/>
    </x:row>
    <x:row r="1475" spans="1:20" ht="15.75" x14ac:dyDescent="0.25">
      <x:c r="A1475"/>
      <x:c r="B1475"/>
      <x:c r="C1475"/>
      <x:c r="D1475"/>
      <x:c r="E1475" s="31"/>
      <x:c r="F1475" s="8"/>
      <x:c r="G1475" s="8"/>
      <x:c r="H1475" s="6"/>
      <x:c r="I1475" s="27"/>
      <x:c r="J1475" s="6"/>
      <x:c r="K1475" s="6"/>
      <x:c r="L1475" s="6"/>
      <x:c r="M1475" s="6"/>
      <x:c r="N1475" s="6"/>
      <x:c r="O1475" s="6"/>
      <x:c r="P1475" s="6"/>
      <x:c r="Q1475" s="6"/>
      <x:c r="R1475"/>
      <x:c r="S1475"/>
      <x:c r="T1475"/>
    </x:row>
    <x:row r="1476" spans="1:20" ht="15.75" x14ac:dyDescent="0.25">
      <x:c r="A1476"/>
      <x:c r="B1476"/>
      <x:c r="C1476"/>
      <x:c r="D1476"/>
      <x:c r="E1476" s="31"/>
      <x:c r="F1476" s="8"/>
      <x:c r="G1476" s="8"/>
      <x:c r="H1476" s="6"/>
      <x:c r="I1476" s="27"/>
      <x:c r="J1476" s="6"/>
      <x:c r="K1476" s="6"/>
      <x:c r="L1476" s="6"/>
      <x:c r="M1476" s="6"/>
      <x:c r="N1476" s="6"/>
      <x:c r="O1476" s="6"/>
      <x:c r="P1476" s="6"/>
      <x:c r="Q1476" s="6"/>
      <x:c r="R1476"/>
      <x:c r="S1476"/>
      <x:c r="T1476"/>
    </x:row>
    <x:row r="1477" spans="1:20" ht="15.75" x14ac:dyDescent="0.25">
      <x:c r="A1477"/>
      <x:c r="B1477"/>
      <x:c r="C1477"/>
      <x:c r="D1477"/>
      <x:c r="E1477" s="31"/>
      <x:c r="F1477" s="8"/>
      <x:c r="G1477" s="8"/>
      <x:c r="H1477" s="6"/>
      <x:c r="I1477" s="27"/>
      <x:c r="J1477" s="6"/>
      <x:c r="K1477" s="6"/>
      <x:c r="L1477" s="6"/>
      <x:c r="M1477" s="6"/>
      <x:c r="N1477" s="6"/>
      <x:c r="O1477" s="6"/>
      <x:c r="P1477" s="6"/>
      <x:c r="Q1477" s="6"/>
      <x:c r="R1477"/>
      <x:c r="S1477"/>
      <x:c r="T1477"/>
    </x:row>
    <x:row r="1478" spans="1:20" ht="15.75" x14ac:dyDescent="0.25">
      <x:c r="A1478"/>
      <x:c r="B1478"/>
      <x:c r="C1478"/>
      <x:c r="D1478"/>
      <x:c r="E1478" s="31"/>
      <x:c r="F1478" s="8"/>
      <x:c r="G1478" s="8"/>
      <x:c r="H1478" s="6"/>
      <x:c r="I1478" s="27"/>
      <x:c r="J1478" s="6"/>
      <x:c r="K1478" s="6"/>
      <x:c r="L1478" s="6"/>
      <x:c r="M1478" s="6"/>
      <x:c r="N1478" s="6"/>
      <x:c r="O1478" s="6"/>
      <x:c r="P1478" s="6"/>
      <x:c r="Q1478" s="6"/>
      <x:c r="R1478"/>
      <x:c r="S1478"/>
      <x:c r="T1478"/>
    </x:row>
    <x:row r="1479" spans="1:20" ht="15.75" x14ac:dyDescent="0.25">
      <x:c r="A1479"/>
      <x:c r="B1479"/>
      <x:c r="C1479"/>
      <x:c r="D1479"/>
      <x:c r="E1479" s="31"/>
      <x:c r="F1479" s="8"/>
      <x:c r="G1479" s="8"/>
      <x:c r="H1479" s="6"/>
      <x:c r="I1479" s="27"/>
      <x:c r="J1479" s="6"/>
      <x:c r="K1479" s="6"/>
      <x:c r="L1479" s="6"/>
      <x:c r="M1479" s="6"/>
      <x:c r="N1479" s="6"/>
      <x:c r="O1479" s="6"/>
      <x:c r="P1479" s="6"/>
      <x:c r="Q1479" s="6"/>
      <x:c r="R1479"/>
      <x:c r="S1479"/>
      <x:c r="T1479"/>
    </x:row>
    <x:row r="1480" spans="1:20" ht="15.75" x14ac:dyDescent="0.25">
      <x:c r="A1480"/>
      <x:c r="B1480"/>
      <x:c r="C1480"/>
      <x:c r="D1480"/>
      <x:c r="E1480" s="31"/>
      <x:c r="F1480" s="8"/>
      <x:c r="G1480" s="8"/>
      <x:c r="H1480" s="6"/>
      <x:c r="I1480" s="27"/>
      <x:c r="J1480" s="6"/>
      <x:c r="K1480" s="6"/>
      <x:c r="L1480" s="6"/>
      <x:c r="M1480" s="6"/>
      <x:c r="N1480" s="6"/>
      <x:c r="O1480" s="6"/>
      <x:c r="P1480" s="6"/>
      <x:c r="Q1480" s="6"/>
      <x:c r="R1480"/>
      <x:c r="S1480"/>
      <x:c r="T1480"/>
    </x:row>
    <x:row r="1481" spans="1:20" ht="15.75" x14ac:dyDescent="0.25">
      <x:c r="A1481"/>
      <x:c r="B1481"/>
      <x:c r="C1481"/>
      <x:c r="D1481"/>
      <x:c r="E1481" s="31"/>
      <x:c r="F1481" s="8"/>
      <x:c r="G1481" s="8"/>
      <x:c r="H1481" s="6"/>
      <x:c r="I1481" s="27"/>
      <x:c r="J1481" s="6"/>
      <x:c r="K1481" s="6"/>
      <x:c r="L1481" s="6"/>
      <x:c r="M1481" s="6"/>
      <x:c r="N1481" s="6"/>
      <x:c r="O1481" s="6"/>
      <x:c r="P1481" s="6"/>
      <x:c r="Q1481" s="6"/>
      <x:c r="R1481"/>
      <x:c r="S1481"/>
      <x:c r="T1481"/>
    </x:row>
    <x:row r="1482" spans="1:20" ht="15.75" x14ac:dyDescent="0.25">
      <x:c r="A1482"/>
      <x:c r="B1482"/>
      <x:c r="C1482"/>
      <x:c r="D1482"/>
      <x:c r="E1482" s="31"/>
      <x:c r="F1482" s="8"/>
      <x:c r="G1482" s="8"/>
      <x:c r="H1482" s="6"/>
      <x:c r="I1482" s="27"/>
      <x:c r="J1482" s="6"/>
      <x:c r="K1482" s="6"/>
      <x:c r="L1482" s="6"/>
      <x:c r="M1482" s="6"/>
      <x:c r="N1482" s="6"/>
      <x:c r="O1482" s="6"/>
      <x:c r="P1482" s="6"/>
      <x:c r="Q1482" s="6"/>
      <x:c r="R1482"/>
      <x:c r="S1482"/>
      <x:c r="T1482"/>
    </x:row>
    <x:row r="1483" spans="1:20" ht="15.75" x14ac:dyDescent="0.25">
      <x:c r="A1483"/>
      <x:c r="B1483"/>
      <x:c r="C1483"/>
      <x:c r="D1483"/>
      <x:c r="E1483" s="31"/>
      <x:c r="F1483" s="8"/>
      <x:c r="G1483" s="8"/>
      <x:c r="H1483" s="6"/>
      <x:c r="I1483" s="27"/>
      <x:c r="J1483" s="6"/>
      <x:c r="K1483" s="6"/>
      <x:c r="L1483" s="6"/>
      <x:c r="M1483" s="6"/>
      <x:c r="N1483" s="6"/>
      <x:c r="O1483" s="6"/>
      <x:c r="P1483" s="6"/>
      <x:c r="Q1483" s="6"/>
      <x:c r="R1483"/>
      <x:c r="S1483"/>
      <x:c r="T1483"/>
    </x:row>
    <x:row r="1484" spans="1:20" ht="15.75" x14ac:dyDescent="0.25">
      <x:c r="A1484"/>
      <x:c r="B1484"/>
      <x:c r="C1484"/>
      <x:c r="D1484"/>
      <x:c r="E1484" s="31"/>
      <x:c r="F1484" s="8"/>
      <x:c r="G1484" s="8"/>
      <x:c r="H1484" s="6"/>
      <x:c r="I1484" s="27"/>
      <x:c r="J1484" s="6"/>
      <x:c r="K1484" s="6"/>
      <x:c r="L1484" s="6"/>
      <x:c r="M1484" s="6"/>
      <x:c r="N1484" s="6"/>
      <x:c r="O1484" s="6"/>
      <x:c r="P1484" s="6"/>
      <x:c r="Q1484" s="6"/>
      <x:c r="R1484"/>
      <x:c r="S1484"/>
      <x:c r="T1484"/>
    </x:row>
    <x:row r="1485" spans="1:20" ht="15.75" x14ac:dyDescent="0.25">
      <x:c r="A1485"/>
      <x:c r="B1485"/>
      <x:c r="C1485"/>
      <x:c r="D1485"/>
      <x:c r="E1485" s="31"/>
      <x:c r="F1485" s="8"/>
      <x:c r="G1485" s="8"/>
      <x:c r="H1485" s="6"/>
      <x:c r="I1485" s="27"/>
      <x:c r="J1485" s="6"/>
      <x:c r="K1485" s="6"/>
      <x:c r="L1485" s="6"/>
      <x:c r="M1485" s="6"/>
      <x:c r="N1485" s="6"/>
      <x:c r="O1485" s="6"/>
      <x:c r="P1485" s="6"/>
      <x:c r="Q1485" s="6"/>
      <x:c r="R1485"/>
      <x:c r="S1485"/>
      <x:c r="T1485"/>
    </x:row>
    <x:row r="1486" spans="1:20" ht="15.75" x14ac:dyDescent="0.25">
      <x:c r="A1486"/>
      <x:c r="B1486"/>
      <x:c r="C1486"/>
      <x:c r="D1486"/>
      <x:c r="E1486" s="31"/>
      <x:c r="F1486" s="8"/>
      <x:c r="G1486" s="8"/>
      <x:c r="H1486" s="6"/>
      <x:c r="I1486" s="27"/>
      <x:c r="J1486" s="6"/>
      <x:c r="K1486" s="6"/>
      <x:c r="L1486" s="6"/>
      <x:c r="M1486" s="6"/>
      <x:c r="N1486" s="6"/>
      <x:c r="O1486" s="6"/>
      <x:c r="P1486" s="6"/>
      <x:c r="Q1486" s="6"/>
      <x:c r="R1486"/>
      <x:c r="S1486"/>
      <x:c r="T1486"/>
    </x:row>
    <x:row r="1487" spans="1:20" ht="15.75" x14ac:dyDescent="0.25">
      <x:c r="A1487"/>
      <x:c r="B1487"/>
      <x:c r="C1487"/>
      <x:c r="D1487"/>
      <x:c r="E1487" s="31"/>
      <x:c r="F1487" s="8"/>
      <x:c r="G1487" s="8"/>
      <x:c r="H1487" s="6"/>
      <x:c r="I1487" s="27"/>
      <x:c r="J1487" s="6"/>
      <x:c r="K1487" s="6"/>
      <x:c r="L1487" s="6"/>
      <x:c r="M1487" s="6"/>
      <x:c r="N1487" s="6"/>
      <x:c r="O1487" s="6"/>
      <x:c r="P1487" s="6"/>
      <x:c r="Q1487" s="6"/>
      <x:c r="R1487"/>
      <x:c r="S1487"/>
      <x:c r="T1487"/>
    </x:row>
    <x:row r="1488" spans="1:20" ht="15.75" x14ac:dyDescent="0.25">
      <x:c r="A1488"/>
      <x:c r="B1488"/>
      <x:c r="C1488"/>
      <x:c r="D1488"/>
      <x:c r="E1488" s="31"/>
      <x:c r="F1488" s="8"/>
      <x:c r="G1488" s="8"/>
      <x:c r="H1488" s="6"/>
      <x:c r="I1488" s="27"/>
      <x:c r="J1488" s="6"/>
      <x:c r="K1488" s="6"/>
      <x:c r="L1488" s="6"/>
      <x:c r="M1488" s="6"/>
      <x:c r="N1488" s="6"/>
      <x:c r="O1488" s="6"/>
      <x:c r="P1488" s="6"/>
      <x:c r="Q1488" s="6"/>
      <x:c r="R1488"/>
      <x:c r="S1488"/>
      <x:c r="T1488"/>
    </x:row>
    <x:row r="1489" spans="1:20" ht="15.75" x14ac:dyDescent="0.25">
      <x:c r="A1489"/>
      <x:c r="B1489"/>
      <x:c r="C1489"/>
      <x:c r="D1489"/>
      <x:c r="E1489" s="31"/>
      <x:c r="F1489" s="8"/>
      <x:c r="G1489" s="8"/>
      <x:c r="H1489" s="6"/>
      <x:c r="I1489" s="27"/>
      <x:c r="J1489" s="6"/>
      <x:c r="K1489" s="6"/>
      <x:c r="L1489" s="6"/>
      <x:c r="M1489" s="6"/>
      <x:c r="N1489" s="6"/>
      <x:c r="O1489" s="6"/>
      <x:c r="P1489" s="6"/>
      <x:c r="Q1489" s="6"/>
      <x:c r="R1489"/>
      <x:c r="S1489"/>
      <x:c r="T1489"/>
    </x:row>
    <x:row r="1490" spans="1:20" ht="15.75" x14ac:dyDescent="0.25">
      <x:c r="A1490"/>
      <x:c r="B1490"/>
      <x:c r="C1490"/>
      <x:c r="D1490"/>
      <x:c r="E1490" s="31"/>
      <x:c r="F1490" s="8"/>
      <x:c r="G1490" s="8"/>
      <x:c r="H1490" s="6"/>
      <x:c r="I1490" s="27"/>
      <x:c r="J1490" s="6"/>
      <x:c r="K1490" s="6"/>
      <x:c r="L1490" s="6"/>
      <x:c r="M1490" s="6"/>
      <x:c r="N1490" s="6"/>
      <x:c r="O1490" s="6"/>
      <x:c r="P1490" s="6"/>
      <x:c r="Q1490" s="6"/>
      <x:c r="R1490"/>
      <x:c r="S1490"/>
      <x:c r="T1490"/>
    </x:row>
    <x:row r="1491" spans="1:20" ht="15.75" x14ac:dyDescent="0.25">
      <x:c r="A1491"/>
      <x:c r="B1491"/>
      <x:c r="C1491"/>
      <x:c r="D1491"/>
      <x:c r="E1491" s="31"/>
      <x:c r="F1491" s="8"/>
      <x:c r="G1491" s="8"/>
      <x:c r="H1491" s="6"/>
      <x:c r="I1491" s="27"/>
      <x:c r="J1491" s="6"/>
      <x:c r="K1491" s="6"/>
      <x:c r="L1491" s="6"/>
      <x:c r="M1491" s="6"/>
      <x:c r="N1491" s="6"/>
      <x:c r="O1491" s="6"/>
      <x:c r="P1491" s="6"/>
      <x:c r="Q1491" s="6"/>
      <x:c r="R1491"/>
      <x:c r="S1491"/>
      <x:c r="T1491"/>
    </x:row>
    <x:row r="1492" spans="1:20" ht="15.75" x14ac:dyDescent="0.25">
      <x:c r="A1492"/>
      <x:c r="B1492"/>
      <x:c r="C1492"/>
      <x:c r="D1492"/>
      <x:c r="E1492" s="31"/>
      <x:c r="F1492" s="8"/>
      <x:c r="G1492" s="8"/>
      <x:c r="H1492" s="6"/>
      <x:c r="I1492" s="27"/>
      <x:c r="J1492" s="6"/>
      <x:c r="K1492" s="6"/>
      <x:c r="L1492" s="6"/>
      <x:c r="M1492" s="6"/>
      <x:c r="N1492" s="6"/>
      <x:c r="O1492" s="6"/>
      <x:c r="P1492" s="6"/>
      <x:c r="Q1492" s="6"/>
      <x:c r="R1492"/>
      <x:c r="S1492"/>
      <x:c r="T1492"/>
    </x:row>
    <x:row r="1493" spans="1:20" ht="15.75" x14ac:dyDescent="0.25">
      <x:c r="A1493"/>
      <x:c r="B1493"/>
      <x:c r="C1493"/>
      <x:c r="D1493"/>
      <x:c r="E1493" s="31"/>
      <x:c r="F1493" s="8"/>
      <x:c r="G1493" s="8"/>
      <x:c r="H1493" s="6"/>
      <x:c r="I1493" s="27"/>
      <x:c r="J1493" s="6"/>
      <x:c r="K1493" s="6"/>
      <x:c r="L1493" s="6"/>
      <x:c r="M1493" s="6"/>
      <x:c r="N1493" s="6"/>
      <x:c r="O1493" s="6"/>
      <x:c r="P1493" s="6"/>
      <x:c r="Q1493" s="6"/>
      <x:c r="R1493"/>
      <x:c r="S1493"/>
      <x:c r="T1493"/>
    </x:row>
    <x:row r="1494" spans="1:20" ht="15.75" x14ac:dyDescent="0.25">
      <x:c r="A1494"/>
      <x:c r="B1494"/>
      <x:c r="C1494"/>
      <x:c r="D1494"/>
      <x:c r="E1494" s="31"/>
      <x:c r="F1494" s="8"/>
      <x:c r="G1494" s="8"/>
      <x:c r="H1494" s="6"/>
      <x:c r="I1494" s="27"/>
      <x:c r="J1494" s="6"/>
      <x:c r="K1494" s="6"/>
      <x:c r="L1494" s="6"/>
      <x:c r="M1494" s="6"/>
      <x:c r="N1494" s="6"/>
      <x:c r="O1494" s="6"/>
      <x:c r="P1494" s="6"/>
      <x:c r="Q1494" s="6"/>
      <x:c r="R1494"/>
      <x:c r="S1494"/>
      <x:c r="T1494"/>
    </x:row>
    <x:row r="1495" spans="1:20" ht="15.75" x14ac:dyDescent="0.25">
      <x:c r="A1495"/>
      <x:c r="B1495"/>
      <x:c r="C1495"/>
      <x:c r="D1495"/>
      <x:c r="E1495" s="31"/>
      <x:c r="F1495" s="8"/>
      <x:c r="G1495" s="8"/>
      <x:c r="H1495" s="6"/>
      <x:c r="I1495" s="27"/>
      <x:c r="J1495" s="6"/>
      <x:c r="K1495" s="6"/>
      <x:c r="L1495" s="6"/>
      <x:c r="M1495" s="6"/>
      <x:c r="N1495" s="6"/>
      <x:c r="O1495" s="6"/>
      <x:c r="P1495" s="6"/>
      <x:c r="Q1495" s="6"/>
      <x:c r="R1495"/>
      <x:c r="S1495"/>
      <x:c r="T1495"/>
    </x:row>
    <x:row r="1496" spans="1:20" ht="15.75" x14ac:dyDescent="0.25">
      <x:c r="A1496"/>
      <x:c r="B1496"/>
      <x:c r="C1496"/>
      <x:c r="D1496"/>
      <x:c r="E1496" s="31"/>
      <x:c r="F1496" s="8"/>
      <x:c r="G1496" s="8"/>
      <x:c r="H1496" s="6"/>
      <x:c r="I1496" s="27"/>
      <x:c r="J1496" s="6"/>
      <x:c r="K1496" s="6"/>
      <x:c r="L1496" s="6"/>
      <x:c r="M1496" s="6"/>
      <x:c r="N1496" s="6"/>
      <x:c r="O1496" s="6"/>
      <x:c r="P1496" s="6"/>
      <x:c r="Q1496" s="6"/>
      <x:c r="R1496"/>
      <x:c r="S1496"/>
      <x:c r="T1496"/>
    </x:row>
    <x:row r="1497" spans="1:20" ht="15.75" x14ac:dyDescent="0.25">
      <x:c r="A1497"/>
      <x:c r="B1497"/>
      <x:c r="C1497"/>
      <x:c r="D1497"/>
      <x:c r="E1497" s="31"/>
      <x:c r="F1497" s="8"/>
      <x:c r="G1497" s="8"/>
      <x:c r="H1497" s="6"/>
      <x:c r="I1497" s="27"/>
      <x:c r="J1497" s="6"/>
      <x:c r="K1497" s="6"/>
      <x:c r="L1497" s="6"/>
      <x:c r="M1497" s="6"/>
      <x:c r="N1497" s="6"/>
      <x:c r="O1497" s="6"/>
      <x:c r="P1497" s="6"/>
      <x:c r="Q1497" s="6"/>
      <x:c r="R1497"/>
      <x:c r="S1497"/>
      <x:c r="T1497"/>
    </x:row>
    <x:row r="1498" spans="1:20" ht="15.75" x14ac:dyDescent="0.25">
      <x:c r="A1498"/>
      <x:c r="B1498"/>
      <x:c r="C1498"/>
      <x:c r="D1498"/>
      <x:c r="E1498" s="31"/>
      <x:c r="F1498" s="8"/>
      <x:c r="G1498" s="8"/>
      <x:c r="H1498" s="6"/>
      <x:c r="I1498" s="27"/>
      <x:c r="J1498" s="6"/>
      <x:c r="K1498" s="6"/>
      <x:c r="L1498" s="6"/>
      <x:c r="M1498" s="6"/>
      <x:c r="N1498" s="6"/>
      <x:c r="O1498" s="6"/>
      <x:c r="P1498" s="6"/>
      <x:c r="Q1498" s="6"/>
      <x:c r="R1498"/>
      <x:c r="S1498"/>
      <x:c r="T1498"/>
    </x:row>
    <x:row r="1499" spans="1:20" ht="15.75" x14ac:dyDescent="0.25">
      <x:c r="A1499"/>
      <x:c r="B1499"/>
      <x:c r="C1499"/>
      <x:c r="D1499"/>
      <x:c r="E1499" s="31"/>
      <x:c r="F1499" s="8"/>
      <x:c r="G1499" s="8"/>
      <x:c r="H1499" s="6"/>
      <x:c r="I1499" s="27"/>
      <x:c r="J1499" s="6"/>
      <x:c r="K1499" s="6"/>
      <x:c r="L1499" s="6"/>
      <x:c r="M1499" s="6"/>
      <x:c r="N1499" s="6"/>
      <x:c r="O1499" s="6"/>
      <x:c r="P1499" s="6"/>
      <x:c r="Q1499" s="6"/>
      <x:c r="R1499"/>
      <x:c r="S1499"/>
      <x:c r="T1499"/>
    </x:row>
    <x:row r="1500" spans="1:20" ht="15.75" x14ac:dyDescent="0.25">
      <x:c r="A1500"/>
      <x:c r="B1500"/>
      <x:c r="C1500"/>
      <x:c r="D1500"/>
      <x:c r="E1500" s="31"/>
      <x:c r="F1500" s="8"/>
      <x:c r="G1500" s="8"/>
      <x:c r="H1500" s="6"/>
      <x:c r="I1500" s="27"/>
      <x:c r="J1500" s="6"/>
      <x:c r="K1500" s="6"/>
      <x:c r="L1500" s="6"/>
      <x:c r="M1500" s="6"/>
      <x:c r="N1500" s="6"/>
      <x:c r="O1500" s="6"/>
      <x:c r="P1500" s="6"/>
      <x:c r="Q1500" s="6"/>
      <x:c r="R1500"/>
      <x:c r="S1500"/>
      <x:c r="T1500"/>
    </x:row>
    <x:row r="1501" spans="1:20" ht="15.75" x14ac:dyDescent="0.25">
      <x:c r="A1501"/>
      <x:c r="B1501"/>
      <x:c r="C1501"/>
      <x:c r="D1501"/>
      <x:c r="E1501" s="31"/>
      <x:c r="F1501" s="8"/>
      <x:c r="G1501" s="8"/>
      <x:c r="H1501" s="6"/>
      <x:c r="I1501" s="27"/>
      <x:c r="J1501" s="6"/>
      <x:c r="K1501" s="6"/>
      <x:c r="L1501" s="6"/>
      <x:c r="M1501" s="6"/>
      <x:c r="N1501" s="6"/>
      <x:c r="O1501" s="6"/>
      <x:c r="P1501" s="6"/>
      <x:c r="Q1501" s="6"/>
      <x:c r="R1501"/>
      <x:c r="S1501"/>
      <x:c r="T1501"/>
    </x:row>
    <x:row r="1502" spans="1:20" ht="15.75" x14ac:dyDescent="0.25">
      <x:c r="A1502"/>
      <x:c r="B1502"/>
      <x:c r="C1502"/>
      <x:c r="D1502"/>
      <x:c r="E1502" s="31"/>
      <x:c r="F1502" s="8"/>
      <x:c r="G1502" s="8"/>
      <x:c r="H1502" s="6"/>
      <x:c r="I1502" s="27"/>
      <x:c r="J1502" s="6"/>
      <x:c r="K1502" s="6"/>
      <x:c r="L1502" s="6"/>
      <x:c r="M1502" s="6"/>
      <x:c r="N1502" s="6"/>
      <x:c r="O1502" s="6"/>
      <x:c r="P1502" s="6"/>
      <x:c r="Q1502" s="6"/>
      <x:c r="R1502"/>
      <x:c r="S1502"/>
      <x:c r="T1502"/>
    </x:row>
    <x:row r="1503" spans="1:20" ht="15.75" x14ac:dyDescent="0.25">
      <x:c r="A1503"/>
      <x:c r="B1503"/>
      <x:c r="C1503"/>
      <x:c r="D1503"/>
      <x:c r="E1503" s="31"/>
      <x:c r="F1503" s="8"/>
      <x:c r="G1503" s="8"/>
      <x:c r="H1503" s="6"/>
      <x:c r="I1503" s="27"/>
      <x:c r="J1503" s="6"/>
      <x:c r="K1503" s="6"/>
      <x:c r="L1503" s="6"/>
      <x:c r="M1503" s="6"/>
      <x:c r="N1503" s="6"/>
      <x:c r="O1503" s="6"/>
      <x:c r="P1503" s="6"/>
      <x:c r="Q1503" s="6"/>
      <x:c r="R1503"/>
      <x:c r="S1503"/>
      <x:c r="T1503"/>
    </x:row>
    <x:row r="1504" spans="1:20" ht="15.75" x14ac:dyDescent="0.25">
      <x:c r="A1504"/>
      <x:c r="B1504"/>
      <x:c r="C1504"/>
      <x:c r="D1504"/>
      <x:c r="E1504" s="31"/>
      <x:c r="F1504" s="8"/>
      <x:c r="G1504" s="8"/>
      <x:c r="H1504" s="6"/>
      <x:c r="I1504" s="27"/>
      <x:c r="J1504" s="6"/>
      <x:c r="K1504" s="6"/>
      <x:c r="L1504" s="6"/>
      <x:c r="M1504" s="6"/>
      <x:c r="N1504" s="6"/>
      <x:c r="O1504" s="6"/>
      <x:c r="P1504" s="6"/>
      <x:c r="Q1504" s="6"/>
      <x:c r="R1504"/>
      <x:c r="S1504"/>
      <x:c r="T1504"/>
    </x:row>
    <x:row r="1505" spans="1:20" ht="15.75" x14ac:dyDescent="0.25">
      <x:c r="A1505"/>
      <x:c r="B1505"/>
      <x:c r="C1505"/>
      <x:c r="D1505"/>
      <x:c r="E1505" s="31"/>
      <x:c r="F1505" s="8"/>
      <x:c r="G1505" s="8"/>
      <x:c r="H1505" s="6"/>
      <x:c r="I1505" s="27"/>
      <x:c r="J1505" s="6"/>
      <x:c r="K1505" s="6"/>
      <x:c r="L1505" s="6"/>
      <x:c r="M1505" s="6"/>
      <x:c r="N1505" s="6"/>
      <x:c r="O1505" s="6"/>
      <x:c r="P1505" s="6"/>
      <x:c r="Q1505" s="6"/>
      <x:c r="R1505"/>
      <x:c r="S1505"/>
      <x:c r="T1505"/>
    </x:row>
    <x:row r="1506" spans="1:20" ht="15.75" x14ac:dyDescent="0.25">
      <x:c r="A1506"/>
      <x:c r="B1506"/>
      <x:c r="C1506"/>
      <x:c r="D1506"/>
      <x:c r="E1506" s="31"/>
      <x:c r="F1506" s="8"/>
      <x:c r="G1506" s="8"/>
      <x:c r="H1506" s="6"/>
      <x:c r="I1506" s="27"/>
      <x:c r="J1506" s="6"/>
      <x:c r="K1506" s="6"/>
      <x:c r="L1506" s="6"/>
      <x:c r="M1506" s="6"/>
      <x:c r="N1506" s="6"/>
      <x:c r="O1506" s="6"/>
      <x:c r="P1506" s="6"/>
      <x:c r="Q1506" s="6"/>
      <x:c r="R1506"/>
      <x:c r="S1506"/>
      <x:c r="T1506"/>
    </x:row>
    <x:row r="1507" spans="1:20" ht="15.75" x14ac:dyDescent="0.25">
      <x:c r="A1507"/>
      <x:c r="B1507"/>
      <x:c r="C1507"/>
      <x:c r="D1507"/>
      <x:c r="E1507" s="31"/>
      <x:c r="F1507" s="8"/>
      <x:c r="G1507" s="8"/>
      <x:c r="H1507" s="6"/>
      <x:c r="I1507" s="27"/>
      <x:c r="J1507" s="6"/>
      <x:c r="K1507" s="6"/>
      <x:c r="L1507" s="6"/>
      <x:c r="M1507" s="6"/>
      <x:c r="N1507" s="6"/>
      <x:c r="O1507" s="6"/>
      <x:c r="P1507" s="6"/>
      <x:c r="Q1507" s="6"/>
      <x:c r="R1507"/>
      <x:c r="S1507"/>
      <x:c r="T1507"/>
    </x:row>
    <x:row r="1508" spans="1:20" ht="15.75" x14ac:dyDescent="0.25">
      <x:c r="A1508"/>
      <x:c r="B1508"/>
      <x:c r="C1508"/>
      <x:c r="D1508"/>
      <x:c r="E1508" s="31"/>
      <x:c r="F1508" s="8"/>
      <x:c r="G1508" s="8"/>
      <x:c r="H1508" s="6"/>
      <x:c r="I1508" s="27"/>
      <x:c r="J1508" s="6"/>
      <x:c r="K1508" s="6"/>
      <x:c r="L1508" s="6"/>
      <x:c r="M1508" s="6"/>
      <x:c r="N1508" s="6"/>
      <x:c r="O1508" s="6"/>
      <x:c r="P1508" s="6"/>
      <x:c r="Q1508" s="6"/>
      <x:c r="R1508"/>
      <x:c r="S1508"/>
      <x:c r="T1508"/>
    </x:row>
    <x:row r="1509" spans="1:20" ht="15.75" x14ac:dyDescent="0.25">
      <x:c r="A1509"/>
      <x:c r="B1509"/>
      <x:c r="C1509"/>
      <x:c r="D1509"/>
      <x:c r="E1509" s="31"/>
      <x:c r="F1509" s="8"/>
      <x:c r="G1509" s="8"/>
      <x:c r="H1509" s="6"/>
      <x:c r="I1509" s="27"/>
      <x:c r="J1509" s="6"/>
      <x:c r="K1509" s="6"/>
      <x:c r="L1509" s="6"/>
      <x:c r="M1509" s="6"/>
      <x:c r="N1509" s="6"/>
      <x:c r="O1509" s="6"/>
      <x:c r="P1509" s="6"/>
      <x:c r="Q1509" s="6"/>
      <x:c r="R1509"/>
      <x:c r="S1509"/>
      <x:c r="T1509"/>
    </x:row>
    <x:row r="1510" spans="1:20" ht="15.75" x14ac:dyDescent="0.25">
      <x:c r="A1510"/>
      <x:c r="B1510"/>
      <x:c r="C1510"/>
      <x:c r="D1510"/>
      <x:c r="E1510" s="31"/>
      <x:c r="F1510" s="8"/>
      <x:c r="G1510" s="8"/>
      <x:c r="H1510" s="6"/>
      <x:c r="I1510" s="27"/>
      <x:c r="J1510" s="6"/>
      <x:c r="K1510" s="6"/>
      <x:c r="L1510" s="6"/>
      <x:c r="M1510" s="6"/>
      <x:c r="N1510" s="6"/>
      <x:c r="O1510" s="6"/>
      <x:c r="P1510" s="6"/>
      <x:c r="Q1510" s="6"/>
      <x:c r="R1510"/>
      <x:c r="S1510"/>
      <x:c r="T1510"/>
    </x:row>
    <x:row r="1511" spans="1:20" ht="15.75" x14ac:dyDescent="0.25">
      <x:c r="A1511"/>
      <x:c r="B1511"/>
      <x:c r="C1511"/>
      <x:c r="D1511"/>
      <x:c r="E1511" s="31"/>
      <x:c r="F1511" s="8"/>
      <x:c r="G1511" s="8"/>
      <x:c r="H1511" s="6"/>
      <x:c r="I1511" s="27"/>
      <x:c r="J1511" s="6"/>
      <x:c r="K1511" s="6"/>
      <x:c r="L1511" s="6"/>
      <x:c r="M1511" s="6"/>
      <x:c r="N1511" s="6"/>
      <x:c r="O1511" s="6"/>
      <x:c r="P1511" s="6"/>
      <x:c r="Q1511" s="6"/>
      <x:c r="R1511"/>
      <x:c r="S1511"/>
      <x:c r="T1511"/>
    </x:row>
    <x:row r="1512" spans="1:20" ht="15.75" x14ac:dyDescent="0.25">
      <x:c r="A1512"/>
      <x:c r="B1512"/>
      <x:c r="C1512"/>
      <x:c r="D1512"/>
      <x:c r="E1512" s="31"/>
      <x:c r="F1512" s="8"/>
      <x:c r="G1512" s="8"/>
      <x:c r="H1512" s="6"/>
      <x:c r="I1512" s="27"/>
      <x:c r="J1512" s="6"/>
      <x:c r="K1512" s="6"/>
      <x:c r="L1512" s="6"/>
      <x:c r="M1512" s="6"/>
      <x:c r="N1512" s="6"/>
      <x:c r="O1512" s="6"/>
      <x:c r="P1512" s="6"/>
      <x:c r="Q1512" s="6"/>
      <x:c r="R1512"/>
      <x:c r="S1512"/>
      <x:c r="T1512"/>
    </x:row>
    <x:row r="1513" spans="1:20" ht="15.75" x14ac:dyDescent="0.25">
      <x:c r="A1513"/>
      <x:c r="B1513"/>
      <x:c r="C1513"/>
      <x:c r="D1513"/>
      <x:c r="E1513" s="31"/>
      <x:c r="F1513" s="8"/>
      <x:c r="G1513" s="8"/>
      <x:c r="H1513" s="6"/>
      <x:c r="I1513" s="27"/>
      <x:c r="J1513" s="6"/>
      <x:c r="K1513" s="6"/>
      <x:c r="L1513" s="6"/>
      <x:c r="M1513" s="6"/>
      <x:c r="N1513" s="6"/>
      <x:c r="O1513" s="6"/>
      <x:c r="P1513" s="6"/>
      <x:c r="Q1513" s="6"/>
      <x:c r="R1513"/>
      <x:c r="S1513"/>
      <x:c r="T1513"/>
    </x:row>
    <x:row r="1514" spans="1:20" ht="15.75" x14ac:dyDescent="0.25">
      <x:c r="A1514"/>
      <x:c r="B1514"/>
      <x:c r="C1514"/>
      <x:c r="D1514"/>
      <x:c r="E1514" s="31"/>
      <x:c r="F1514" s="8"/>
      <x:c r="G1514" s="8"/>
      <x:c r="H1514" s="6"/>
      <x:c r="I1514" s="27"/>
      <x:c r="J1514" s="6"/>
      <x:c r="K1514" s="6"/>
      <x:c r="L1514" s="6"/>
      <x:c r="M1514" s="6"/>
      <x:c r="N1514" s="6"/>
      <x:c r="O1514" s="6"/>
      <x:c r="P1514" s="6"/>
      <x:c r="Q1514" s="6"/>
      <x:c r="R1514"/>
      <x:c r="S1514"/>
      <x:c r="T1514"/>
    </x:row>
    <x:row r="1515" spans="1:20" ht="15.75" x14ac:dyDescent="0.25">
      <x:c r="A1515"/>
      <x:c r="B1515"/>
      <x:c r="C1515"/>
      <x:c r="D1515"/>
      <x:c r="E1515" s="31"/>
      <x:c r="F1515" s="8"/>
      <x:c r="G1515" s="8"/>
      <x:c r="H1515" s="6"/>
      <x:c r="I1515" s="27"/>
      <x:c r="J1515" s="6"/>
      <x:c r="K1515" s="6"/>
      <x:c r="L1515" s="6"/>
      <x:c r="M1515" s="6"/>
      <x:c r="N1515" s="6"/>
      <x:c r="O1515" s="6"/>
      <x:c r="P1515" s="6"/>
      <x:c r="Q1515" s="6"/>
      <x:c r="R1515"/>
      <x:c r="S1515"/>
      <x:c r="T1515"/>
    </x:row>
    <x:row r="1516" spans="1:20" ht="15.75" x14ac:dyDescent="0.25">
      <x:c r="A1516"/>
      <x:c r="B1516"/>
      <x:c r="C1516"/>
      <x:c r="D1516"/>
      <x:c r="E1516" s="31"/>
      <x:c r="F1516" s="8"/>
      <x:c r="G1516" s="8"/>
      <x:c r="H1516" s="6"/>
      <x:c r="I1516" s="27"/>
      <x:c r="J1516" s="6"/>
      <x:c r="K1516" s="6"/>
      <x:c r="L1516" s="6"/>
      <x:c r="M1516" s="6"/>
      <x:c r="N1516" s="6"/>
      <x:c r="O1516" s="6"/>
      <x:c r="P1516" s="6"/>
      <x:c r="Q1516" s="6"/>
      <x:c r="R1516"/>
      <x:c r="S1516"/>
      <x:c r="T1516"/>
    </x:row>
    <x:row r="1517" spans="1:20" ht="15.75" x14ac:dyDescent="0.25">
      <x:c r="A1517"/>
      <x:c r="B1517"/>
      <x:c r="C1517"/>
      <x:c r="D1517"/>
      <x:c r="E1517" s="31"/>
      <x:c r="F1517" s="8"/>
      <x:c r="G1517" s="8"/>
      <x:c r="H1517" s="6"/>
      <x:c r="I1517" s="27"/>
      <x:c r="J1517" s="6"/>
      <x:c r="K1517" s="6"/>
      <x:c r="L1517" s="6"/>
      <x:c r="M1517" s="6"/>
      <x:c r="N1517" s="6"/>
      <x:c r="O1517" s="6"/>
      <x:c r="P1517" s="6"/>
      <x:c r="Q1517" s="6"/>
      <x:c r="R1517"/>
      <x:c r="S1517"/>
      <x:c r="T1517"/>
    </x:row>
    <x:row r="1518" spans="1:20" ht="15.75" x14ac:dyDescent="0.25">
      <x:c r="A1518"/>
      <x:c r="B1518"/>
      <x:c r="C1518"/>
      <x:c r="D1518"/>
      <x:c r="E1518" s="31"/>
      <x:c r="F1518" s="8"/>
      <x:c r="G1518" s="8"/>
      <x:c r="H1518" s="6"/>
      <x:c r="I1518" s="27"/>
      <x:c r="J1518" s="6"/>
      <x:c r="K1518" s="6"/>
      <x:c r="L1518" s="6"/>
      <x:c r="M1518" s="6"/>
      <x:c r="N1518" s="6"/>
      <x:c r="O1518" s="6"/>
      <x:c r="P1518" s="6"/>
      <x:c r="Q1518" s="6"/>
      <x:c r="R1518"/>
      <x:c r="S1518"/>
      <x:c r="T1518"/>
    </x:row>
    <x:row r="1519" spans="1:20" ht="15.75" x14ac:dyDescent="0.25">
      <x:c r="A1519"/>
      <x:c r="B1519"/>
      <x:c r="C1519"/>
      <x:c r="D1519"/>
      <x:c r="E1519" s="31"/>
      <x:c r="F1519" s="8"/>
      <x:c r="G1519" s="8"/>
      <x:c r="H1519" s="6"/>
      <x:c r="I1519" s="27"/>
      <x:c r="J1519" s="6"/>
      <x:c r="K1519" s="6"/>
      <x:c r="L1519" s="6"/>
      <x:c r="M1519" s="6"/>
      <x:c r="N1519" s="6"/>
      <x:c r="O1519" s="6"/>
      <x:c r="P1519" s="6"/>
      <x:c r="Q1519" s="6"/>
      <x:c r="R1519"/>
      <x:c r="S1519"/>
      <x:c r="T1519"/>
    </x:row>
    <x:row r="1520" spans="1:20" ht="15.75" x14ac:dyDescent="0.25">
      <x:c r="A1520"/>
      <x:c r="B1520"/>
      <x:c r="C1520"/>
      <x:c r="D1520"/>
      <x:c r="E1520" s="31"/>
      <x:c r="F1520" s="8"/>
      <x:c r="G1520" s="8"/>
      <x:c r="H1520" s="6"/>
      <x:c r="I1520" s="27"/>
      <x:c r="J1520" s="6"/>
      <x:c r="K1520" s="6"/>
      <x:c r="L1520" s="6"/>
      <x:c r="M1520" s="6"/>
      <x:c r="N1520" s="6"/>
      <x:c r="O1520" s="6"/>
      <x:c r="P1520" s="6"/>
      <x:c r="Q1520" s="6"/>
      <x:c r="R1520"/>
      <x:c r="S1520"/>
      <x:c r="T1520"/>
    </x:row>
    <x:row r="1521" spans="1:20" ht="15.75" x14ac:dyDescent="0.25">
      <x:c r="A1521"/>
      <x:c r="B1521"/>
      <x:c r="C1521"/>
      <x:c r="D1521"/>
      <x:c r="E1521" s="31"/>
      <x:c r="F1521" s="8"/>
      <x:c r="G1521" s="8"/>
      <x:c r="H1521" s="6"/>
      <x:c r="I1521" s="27"/>
      <x:c r="J1521" s="6"/>
      <x:c r="K1521" s="6"/>
      <x:c r="L1521" s="6"/>
      <x:c r="M1521" s="6"/>
      <x:c r="N1521" s="6"/>
      <x:c r="O1521" s="6"/>
      <x:c r="P1521" s="6"/>
      <x:c r="Q1521" s="6"/>
      <x:c r="R1521"/>
      <x:c r="S1521"/>
      <x:c r="T1521"/>
    </x:row>
    <x:row r="1522" spans="1:20" ht="15.75" x14ac:dyDescent="0.25">
      <x:c r="A1522"/>
      <x:c r="B1522"/>
      <x:c r="C1522"/>
      <x:c r="D1522"/>
      <x:c r="E1522" s="31"/>
      <x:c r="F1522" s="8"/>
      <x:c r="G1522" s="8"/>
      <x:c r="H1522" s="6"/>
      <x:c r="I1522" s="27"/>
      <x:c r="J1522" s="6"/>
      <x:c r="K1522" s="6"/>
      <x:c r="L1522" s="6"/>
      <x:c r="M1522" s="6"/>
      <x:c r="N1522" s="6"/>
      <x:c r="O1522" s="6"/>
      <x:c r="P1522" s="6"/>
      <x:c r="Q1522" s="6"/>
      <x:c r="R1522"/>
      <x:c r="S1522"/>
      <x:c r="T1522"/>
    </x:row>
    <x:row r="1523" spans="1:20" ht="15.75" x14ac:dyDescent="0.25">
      <x:c r="A1523"/>
      <x:c r="B1523"/>
      <x:c r="C1523"/>
      <x:c r="D1523"/>
      <x:c r="E1523" s="31"/>
      <x:c r="F1523" s="8"/>
      <x:c r="G1523" s="8"/>
      <x:c r="H1523" s="6"/>
      <x:c r="I1523" s="27"/>
      <x:c r="J1523" s="6"/>
      <x:c r="K1523" s="6"/>
      <x:c r="L1523" s="6"/>
      <x:c r="M1523" s="6"/>
      <x:c r="N1523" s="6"/>
      <x:c r="O1523" s="6"/>
      <x:c r="P1523" s="6"/>
      <x:c r="Q1523" s="6"/>
      <x:c r="R1523"/>
      <x:c r="S1523"/>
      <x:c r="T1523"/>
    </x:row>
    <x:row r="1524" spans="1:20" ht="15.75" x14ac:dyDescent="0.25">
      <x:c r="A1524"/>
      <x:c r="B1524"/>
      <x:c r="C1524"/>
      <x:c r="D1524"/>
      <x:c r="E1524" s="31"/>
      <x:c r="F1524" s="8"/>
      <x:c r="G1524" s="8"/>
      <x:c r="H1524" s="6"/>
      <x:c r="I1524" s="27"/>
      <x:c r="J1524" s="6"/>
      <x:c r="K1524" s="6"/>
      <x:c r="L1524" s="6"/>
      <x:c r="M1524" s="6"/>
      <x:c r="N1524" s="6"/>
      <x:c r="O1524" s="6"/>
      <x:c r="P1524" s="6"/>
      <x:c r="Q1524" s="6"/>
      <x:c r="R1524"/>
      <x:c r="S1524"/>
      <x:c r="T1524"/>
    </x:row>
    <x:row r="1525" spans="1:20" ht="15.75" x14ac:dyDescent="0.25">
      <x:c r="A1525"/>
      <x:c r="B1525"/>
      <x:c r="C1525"/>
      <x:c r="D1525"/>
      <x:c r="E1525" s="31"/>
      <x:c r="F1525" s="8"/>
      <x:c r="G1525" s="8"/>
      <x:c r="H1525" s="6"/>
      <x:c r="I1525" s="27"/>
      <x:c r="J1525" s="6"/>
      <x:c r="K1525" s="6"/>
      <x:c r="L1525" s="6"/>
      <x:c r="M1525" s="6"/>
      <x:c r="N1525" s="6"/>
      <x:c r="O1525" s="6"/>
      <x:c r="P1525" s="6"/>
      <x:c r="Q1525" s="6"/>
      <x:c r="R1525"/>
      <x:c r="S1525"/>
      <x:c r="T1525"/>
    </x:row>
    <x:row r="1526" spans="1:20" ht="15.75" x14ac:dyDescent="0.25">
      <x:c r="A1526"/>
      <x:c r="B1526"/>
      <x:c r="C1526"/>
      <x:c r="D1526"/>
      <x:c r="E1526" s="31"/>
      <x:c r="F1526" s="8"/>
      <x:c r="G1526" s="8"/>
      <x:c r="H1526" s="6"/>
      <x:c r="I1526" s="27"/>
      <x:c r="J1526" s="6"/>
      <x:c r="K1526" s="6"/>
      <x:c r="L1526" s="6"/>
      <x:c r="M1526" s="6"/>
      <x:c r="N1526" s="6"/>
      <x:c r="O1526" s="6"/>
      <x:c r="P1526" s="6"/>
      <x:c r="Q1526" s="6"/>
      <x:c r="R1526"/>
      <x:c r="S1526"/>
      <x:c r="T1526"/>
    </x:row>
    <x:row r="1527" spans="1:20" ht="15.75" x14ac:dyDescent="0.25">
      <x:c r="A1527"/>
      <x:c r="B1527"/>
      <x:c r="C1527"/>
      <x:c r="D1527"/>
      <x:c r="E1527" s="31"/>
      <x:c r="F1527" s="8"/>
      <x:c r="G1527" s="8"/>
      <x:c r="H1527" s="6"/>
      <x:c r="I1527" s="27"/>
      <x:c r="J1527" s="6"/>
      <x:c r="K1527" s="6"/>
      <x:c r="L1527" s="6"/>
      <x:c r="M1527" s="6"/>
      <x:c r="N1527" s="6"/>
      <x:c r="O1527" s="6"/>
      <x:c r="P1527" s="6"/>
      <x:c r="Q1527" s="6"/>
      <x:c r="R1527"/>
      <x:c r="S1527"/>
      <x:c r="T1527"/>
    </x:row>
    <x:row r="1528" spans="1:20" ht="15.75" x14ac:dyDescent="0.25">
      <x:c r="A1528"/>
      <x:c r="B1528"/>
      <x:c r="C1528"/>
      <x:c r="D1528"/>
      <x:c r="E1528" s="31"/>
      <x:c r="F1528" s="8"/>
      <x:c r="G1528" s="8"/>
      <x:c r="H1528" s="6"/>
      <x:c r="I1528" s="27"/>
      <x:c r="J1528" s="6"/>
      <x:c r="K1528" s="6"/>
      <x:c r="L1528" s="6"/>
      <x:c r="M1528" s="6"/>
      <x:c r="N1528" s="6"/>
      <x:c r="O1528" s="6"/>
      <x:c r="P1528" s="6"/>
      <x:c r="Q1528" s="6"/>
      <x:c r="R1528"/>
      <x:c r="S1528"/>
      <x:c r="T1528"/>
    </x:row>
    <x:row r="1529" spans="1:20" ht="15.75" x14ac:dyDescent="0.25">
      <x:c r="A1529"/>
      <x:c r="B1529"/>
      <x:c r="C1529"/>
      <x:c r="D1529"/>
      <x:c r="E1529" s="31"/>
      <x:c r="F1529" s="8"/>
      <x:c r="G1529" s="8"/>
      <x:c r="H1529" s="6"/>
      <x:c r="I1529" s="27"/>
      <x:c r="J1529" s="6"/>
      <x:c r="K1529" s="6"/>
      <x:c r="L1529" s="6"/>
      <x:c r="M1529" s="6"/>
      <x:c r="N1529" s="6"/>
      <x:c r="O1529" s="6"/>
      <x:c r="P1529" s="6"/>
      <x:c r="Q1529" s="6"/>
      <x:c r="R1529"/>
      <x:c r="S1529"/>
      <x:c r="T1529"/>
    </x:row>
    <x:row r="1530" spans="1:20" ht="15.75" x14ac:dyDescent="0.25">
      <x:c r="A1530"/>
      <x:c r="B1530"/>
      <x:c r="C1530"/>
      <x:c r="D1530"/>
      <x:c r="E1530" s="31"/>
      <x:c r="F1530" s="8"/>
      <x:c r="G1530" s="8"/>
      <x:c r="H1530" s="6"/>
      <x:c r="I1530" s="27"/>
      <x:c r="J1530" s="6"/>
      <x:c r="K1530" s="6"/>
      <x:c r="L1530" s="6"/>
      <x:c r="M1530" s="6"/>
      <x:c r="N1530" s="6"/>
      <x:c r="O1530" s="6"/>
      <x:c r="P1530" s="6"/>
      <x:c r="Q1530" s="6"/>
      <x:c r="R1530"/>
      <x:c r="S1530"/>
      <x:c r="T1530"/>
    </x:row>
    <x:row r="1531" spans="1:20" ht="15.75" x14ac:dyDescent="0.25">
      <x:c r="A1531"/>
      <x:c r="B1531"/>
      <x:c r="C1531"/>
      <x:c r="D1531"/>
      <x:c r="E1531" s="31"/>
      <x:c r="F1531" s="8"/>
      <x:c r="G1531" s="8"/>
      <x:c r="H1531" s="6"/>
      <x:c r="I1531" s="27"/>
      <x:c r="J1531" s="6"/>
      <x:c r="K1531" s="6"/>
      <x:c r="L1531" s="6"/>
      <x:c r="M1531" s="6"/>
      <x:c r="N1531" s="6"/>
      <x:c r="O1531" s="6"/>
      <x:c r="P1531" s="6"/>
      <x:c r="Q1531" s="6"/>
      <x:c r="R1531"/>
      <x:c r="S1531"/>
      <x:c r="T1531"/>
    </x:row>
    <x:row r="1532" spans="1:20" ht="15.75" x14ac:dyDescent="0.25">
      <x:c r="A1532"/>
      <x:c r="B1532"/>
      <x:c r="C1532"/>
      <x:c r="D1532"/>
      <x:c r="E1532" s="31"/>
      <x:c r="F1532" s="8"/>
      <x:c r="G1532" s="8"/>
      <x:c r="H1532" s="6"/>
      <x:c r="I1532" s="27"/>
      <x:c r="J1532" s="6"/>
      <x:c r="K1532" s="6"/>
      <x:c r="L1532" s="6"/>
      <x:c r="M1532" s="6"/>
      <x:c r="N1532" s="6"/>
      <x:c r="O1532" s="6"/>
      <x:c r="P1532" s="6"/>
      <x:c r="Q1532" s="6"/>
      <x:c r="R1532"/>
      <x:c r="S1532"/>
      <x:c r="T1532"/>
    </x:row>
    <x:row r="1533" spans="1:20" ht="15.75" x14ac:dyDescent="0.25">
      <x:c r="A1533"/>
      <x:c r="B1533"/>
      <x:c r="C1533"/>
      <x:c r="D1533"/>
      <x:c r="E1533" s="31"/>
      <x:c r="F1533" s="8"/>
      <x:c r="G1533" s="8"/>
      <x:c r="H1533" s="6"/>
      <x:c r="I1533" s="27"/>
      <x:c r="J1533" s="6"/>
      <x:c r="K1533" s="6"/>
      <x:c r="L1533" s="6"/>
      <x:c r="M1533" s="6"/>
      <x:c r="N1533" s="6"/>
      <x:c r="O1533" s="6"/>
      <x:c r="P1533" s="6"/>
      <x:c r="Q1533" s="6"/>
      <x:c r="R1533"/>
      <x:c r="S1533"/>
      <x:c r="T1533"/>
    </x:row>
    <x:row r="1534" spans="1:20" ht="15.75" x14ac:dyDescent="0.25">
      <x:c r="A1534"/>
      <x:c r="B1534"/>
      <x:c r="C1534"/>
      <x:c r="D1534"/>
      <x:c r="E1534" s="31"/>
      <x:c r="F1534" s="8"/>
      <x:c r="G1534" s="8"/>
      <x:c r="H1534" s="6"/>
      <x:c r="I1534" s="27"/>
      <x:c r="J1534" s="6"/>
      <x:c r="K1534" s="6"/>
      <x:c r="L1534" s="6"/>
      <x:c r="M1534" s="6"/>
      <x:c r="N1534" s="6"/>
      <x:c r="O1534" s="6"/>
      <x:c r="P1534" s="6"/>
      <x:c r="Q1534" s="6"/>
      <x:c r="R1534"/>
      <x:c r="S1534"/>
      <x:c r="T1534"/>
    </x:row>
    <x:row r="1535" spans="1:20" ht="15.75" x14ac:dyDescent="0.25">
      <x:c r="A1535"/>
      <x:c r="B1535"/>
      <x:c r="C1535"/>
      <x:c r="D1535"/>
      <x:c r="E1535" s="31"/>
      <x:c r="F1535" s="8"/>
      <x:c r="G1535" s="8"/>
      <x:c r="H1535" s="6"/>
      <x:c r="I1535" s="27"/>
      <x:c r="J1535" s="6"/>
      <x:c r="K1535" s="6"/>
      <x:c r="L1535" s="6"/>
      <x:c r="M1535" s="6"/>
      <x:c r="N1535" s="6"/>
      <x:c r="O1535" s="6"/>
      <x:c r="P1535" s="6"/>
      <x:c r="Q1535" s="6"/>
      <x:c r="R1535"/>
      <x:c r="S1535"/>
      <x:c r="T1535"/>
    </x:row>
    <x:row r="1536" spans="1:20" ht="15.75" x14ac:dyDescent="0.25">
      <x:c r="A1536"/>
      <x:c r="B1536"/>
      <x:c r="C1536"/>
      <x:c r="D1536"/>
      <x:c r="E1536" s="31"/>
      <x:c r="F1536" s="8"/>
      <x:c r="G1536" s="8"/>
      <x:c r="H1536" s="6"/>
      <x:c r="I1536" s="27"/>
      <x:c r="J1536" s="6"/>
      <x:c r="K1536" s="6"/>
      <x:c r="L1536" s="6"/>
      <x:c r="M1536" s="6"/>
      <x:c r="N1536" s="6"/>
      <x:c r="O1536" s="6"/>
      <x:c r="P1536" s="6"/>
      <x:c r="Q1536" s="6"/>
      <x:c r="R1536"/>
      <x:c r="S1536"/>
      <x:c r="T1536"/>
    </x:row>
    <x:row r="1537" spans="1:20" ht="15.75" x14ac:dyDescent="0.25">
      <x:c r="A1537"/>
      <x:c r="B1537"/>
      <x:c r="C1537"/>
      <x:c r="D1537"/>
      <x:c r="E1537" s="31"/>
      <x:c r="F1537" s="8"/>
      <x:c r="G1537" s="8"/>
      <x:c r="H1537" s="6"/>
      <x:c r="I1537" s="27"/>
      <x:c r="J1537" s="6"/>
      <x:c r="K1537" s="6"/>
      <x:c r="L1537" s="6"/>
      <x:c r="M1537" s="6"/>
      <x:c r="N1537" s="6"/>
      <x:c r="O1537" s="6"/>
      <x:c r="P1537" s="6"/>
      <x:c r="Q1537" s="6"/>
      <x:c r="R1537"/>
      <x:c r="S1537"/>
      <x:c r="T1537"/>
    </x:row>
    <x:row r="1538" spans="1:20" ht="15.75" x14ac:dyDescent="0.25">
      <x:c r="A1538"/>
      <x:c r="B1538"/>
      <x:c r="C1538"/>
      <x:c r="D1538"/>
      <x:c r="E1538" s="31"/>
      <x:c r="F1538" s="8"/>
      <x:c r="G1538" s="8"/>
      <x:c r="H1538" s="6"/>
      <x:c r="I1538" s="27"/>
      <x:c r="J1538" s="6"/>
      <x:c r="K1538" s="6"/>
      <x:c r="L1538" s="6"/>
      <x:c r="M1538" s="6"/>
      <x:c r="N1538" s="6"/>
      <x:c r="O1538" s="6"/>
      <x:c r="P1538" s="6"/>
      <x:c r="Q1538" s="6"/>
      <x:c r="R1538"/>
      <x:c r="S1538"/>
      <x:c r="T1538"/>
    </x:row>
    <x:row r="1539" spans="1:20" ht="15.75" x14ac:dyDescent="0.25">
      <x:c r="A1539"/>
      <x:c r="B1539"/>
      <x:c r="C1539"/>
      <x:c r="D1539"/>
      <x:c r="E1539" s="31"/>
      <x:c r="F1539" s="8"/>
      <x:c r="G1539" s="8"/>
      <x:c r="H1539" s="6"/>
      <x:c r="I1539" s="27"/>
      <x:c r="J1539" s="6"/>
      <x:c r="K1539" s="6"/>
      <x:c r="L1539" s="6"/>
      <x:c r="M1539" s="6"/>
      <x:c r="N1539" s="6"/>
      <x:c r="O1539" s="6"/>
      <x:c r="P1539" s="6"/>
      <x:c r="Q1539" s="6"/>
      <x:c r="R1539"/>
      <x:c r="S1539"/>
      <x:c r="T1539"/>
    </x:row>
    <x:row r="1540" spans="1:20" ht="15.75" x14ac:dyDescent="0.25">
      <x:c r="A1540"/>
      <x:c r="B1540"/>
      <x:c r="C1540"/>
      <x:c r="D1540"/>
      <x:c r="E1540" s="31"/>
      <x:c r="F1540" s="8"/>
      <x:c r="G1540" s="8"/>
      <x:c r="H1540" s="6"/>
      <x:c r="I1540" s="27"/>
      <x:c r="J1540" s="6"/>
      <x:c r="K1540" s="6"/>
      <x:c r="L1540" s="6"/>
      <x:c r="M1540" s="6"/>
      <x:c r="N1540" s="6"/>
      <x:c r="O1540" s="6"/>
      <x:c r="P1540" s="6"/>
      <x:c r="Q1540" s="6"/>
      <x:c r="R1540"/>
      <x:c r="S1540"/>
      <x:c r="T1540"/>
    </x:row>
    <x:row r="1541" spans="1:20" ht="15.75" x14ac:dyDescent="0.25">
      <x:c r="A1541"/>
      <x:c r="B1541"/>
      <x:c r="C1541"/>
      <x:c r="D1541"/>
      <x:c r="E1541" s="31"/>
      <x:c r="F1541" s="8"/>
      <x:c r="G1541" s="8"/>
      <x:c r="H1541" s="6"/>
      <x:c r="I1541" s="27"/>
      <x:c r="J1541" s="6"/>
      <x:c r="K1541" s="6"/>
      <x:c r="L1541" s="6"/>
      <x:c r="M1541" s="6"/>
      <x:c r="N1541" s="6"/>
      <x:c r="O1541" s="6"/>
      <x:c r="P1541" s="6"/>
      <x:c r="Q1541" s="6"/>
      <x:c r="R1541"/>
      <x:c r="S1541"/>
      <x:c r="T1541"/>
    </x:row>
    <x:row r="1542" spans="1:20" ht="15.75" x14ac:dyDescent="0.25">
      <x:c r="A1542"/>
      <x:c r="B1542"/>
      <x:c r="C1542"/>
      <x:c r="D1542"/>
      <x:c r="E1542" s="31"/>
      <x:c r="F1542" s="8"/>
      <x:c r="G1542" s="8"/>
      <x:c r="H1542" s="6"/>
      <x:c r="I1542" s="27"/>
      <x:c r="J1542" s="6"/>
      <x:c r="K1542" s="6"/>
      <x:c r="L1542" s="6"/>
      <x:c r="M1542" s="6"/>
      <x:c r="N1542" s="6"/>
      <x:c r="O1542" s="6"/>
      <x:c r="P1542" s="6"/>
      <x:c r="Q1542" s="6"/>
      <x:c r="R1542"/>
      <x:c r="S1542"/>
      <x:c r="T1542"/>
    </x:row>
    <x:row r="1543" spans="1:20" ht="15.75" x14ac:dyDescent="0.25">
      <x:c r="A1543"/>
      <x:c r="B1543"/>
      <x:c r="C1543"/>
      <x:c r="D1543"/>
      <x:c r="E1543" s="31"/>
      <x:c r="F1543" s="8"/>
      <x:c r="G1543" s="8"/>
      <x:c r="H1543" s="6"/>
      <x:c r="I1543" s="27"/>
      <x:c r="J1543" s="6"/>
      <x:c r="K1543" s="6"/>
      <x:c r="L1543" s="6"/>
      <x:c r="M1543" s="6"/>
      <x:c r="N1543" s="6"/>
      <x:c r="O1543" s="6"/>
      <x:c r="P1543" s="6"/>
      <x:c r="Q1543" s="6"/>
      <x:c r="R1543"/>
      <x:c r="S1543"/>
      <x:c r="T1543"/>
    </x:row>
    <x:row r="1544" spans="1:20" ht="15.75" x14ac:dyDescent="0.25">
      <x:c r="A1544"/>
      <x:c r="B1544"/>
      <x:c r="C1544"/>
      <x:c r="D1544"/>
      <x:c r="E1544" s="31"/>
      <x:c r="F1544" s="8"/>
      <x:c r="G1544" s="8"/>
      <x:c r="H1544" s="6"/>
      <x:c r="I1544" s="27"/>
      <x:c r="J1544" s="6"/>
      <x:c r="K1544" s="6"/>
      <x:c r="L1544" s="6"/>
      <x:c r="M1544" s="6"/>
      <x:c r="N1544" s="6"/>
      <x:c r="O1544" s="6"/>
      <x:c r="P1544" s="6"/>
      <x:c r="Q1544" s="6"/>
      <x:c r="R1544"/>
      <x:c r="S1544"/>
      <x:c r="T1544"/>
    </x:row>
    <x:row r="1545" spans="1:20" ht="15.75" x14ac:dyDescent="0.25">
      <x:c r="A1545"/>
      <x:c r="B1545"/>
      <x:c r="C1545"/>
      <x:c r="D1545"/>
      <x:c r="E1545" s="31"/>
      <x:c r="F1545" s="8"/>
      <x:c r="G1545" s="8"/>
      <x:c r="H1545" s="6"/>
      <x:c r="I1545" s="27"/>
      <x:c r="J1545" s="6"/>
      <x:c r="K1545" s="6"/>
      <x:c r="L1545" s="6"/>
      <x:c r="M1545" s="6"/>
      <x:c r="N1545" s="6"/>
      <x:c r="O1545" s="6"/>
      <x:c r="P1545" s="6"/>
      <x:c r="Q1545" s="6"/>
      <x:c r="R1545"/>
      <x:c r="S1545"/>
      <x:c r="T1545"/>
    </x:row>
    <x:row r="1546" spans="1:20" ht="15.75" x14ac:dyDescent="0.25">
      <x:c r="A1546"/>
      <x:c r="B1546"/>
      <x:c r="C1546"/>
      <x:c r="D1546"/>
      <x:c r="E1546" s="31"/>
      <x:c r="F1546" s="8"/>
      <x:c r="G1546" s="8"/>
      <x:c r="H1546" s="6"/>
      <x:c r="I1546" s="27"/>
      <x:c r="J1546" s="6"/>
      <x:c r="K1546" s="6"/>
      <x:c r="L1546" s="6"/>
      <x:c r="M1546" s="6"/>
      <x:c r="N1546" s="6"/>
      <x:c r="O1546" s="6"/>
      <x:c r="P1546" s="6"/>
      <x:c r="Q1546" s="6"/>
      <x:c r="R1546"/>
      <x:c r="S1546"/>
      <x:c r="T1546"/>
    </x:row>
    <x:row r="1547" spans="1:20" ht="15.75" x14ac:dyDescent="0.25">
      <x:c r="A1547"/>
      <x:c r="B1547"/>
      <x:c r="C1547"/>
      <x:c r="D1547"/>
      <x:c r="E1547" s="31"/>
      <x:c r="F1547" s="8"/>
      <x:c r="G1547" s="8"/>
      <x:c r="H1547" s="6"/>
      <x:c r="I1547" s="27"/>
      <x:c r="J1547" s="6"/>
      <x:c r="K1547" s="6"/>
      <x:c r="L1547" s="6"/>
      <x:c r="M1547" s="6"/>
      <x:c r="N1547" s="6"/>
      <x:c r="O1547" s="6"/>
      <x:c r="P1547" s="6"/>
      <x:c r="Q1547" s="6"/>
      <x:c r="R1547"/>
      <x:c r="S1547"/>
      <x:c r="T1547"/>
    </x:row>
    <x:row r="1548" spans="1:20" ht="15.75" x14ac:dyDescent="0.25">
      <x:c r="A1548"/>
      <x:c r="B1548"/>
      <x:c r="C1548"/>
      <x:c r="D1548"/>
      <x:c r="E1548" s="31"/>
      <x:c r="F1548" s="8"/>
      <x:c r="G1548" s="8"/>
      <x:c r="H1548" s="6"/>
      <x:c r="I1548" s="27"/>
      <x:c r="J1548" s="6"/>
      <x:c r="K1548" s="6"/>
      <x:c r="L1548" s="6"/>
      <x:c r="M1548" s="6"/>
      <x:c r="N1548" s="6"/>
      <x:c r="O1548" s="6"/>
      <x:c r="P1548" s="6"/>
      <x:c r="Q1548" s="6"/>
      <x:c r="R1548"/>
      <x:c r="S1548"/>
      <x:c r="T1548"/>
    </x:row>
    <x:row r="1549" spans="1:20" ht="15.75" x14ac:dyDescent="0.25">
      <x:c r="A1549"/>
      <x:c r="B1549"/>
      <x:c r="C1549"/>
      <x:c r="D1549"/>
      <x:c r="E1549" s="31"/>
      <x:c r="F1549" s="8"/>
      <x:c r="G1549" s="8"/>
      <x:c r="H1549" s="6"/>
      <x:c r="I1549" s="27"/>
      <x:c r="J1549" s="6"/>
      <x:c r="K1549" s="6"/>
      <x:c r="L1549" s="6"/>
      <x:c r="M1549" s="6"/>
      <x:c r="N1549" s="6"/>
      <x:c r="O1549" s="6"/>
      <x:c r="P1549" s="6"/>
      <x:c r="Q1549" s="6"/>
      <x:c r="R1549"/>
      <x:c r="S1549"/>
      <x:c r="T1549"/>
    </x:row>
    <x:row r="1550" spans="1:20" ht="15.75" x14ac:dyDescent="0.25">
      <x:c r="A1550"/>
      <x:c r="B1550"/>
      <x:c r="C1550"/>
      <x:c r="D1550"/>
      <x:c r="E1550" s="31"/>
      <x:c r="F1550" s="8"/>
      <x:c r="G1550" s="8"/>
      <x:c r="H1550" s="6"/>
      <x:c r="I1550" s="27"/>
      <x:c r="J1550" s="6"/>
      <x:c r="K1550" s="6"/>
      <x:c r="L1550" s="6"/>
      <x:c r="M1550" s="6"/>
      <x:c r="N1550" s="6"/>
      <x:c r="O1550" s="6"/>
      <x:c r="P1550" s="6"/>
      <x:c r="Q1550" s="6"/>
      <x:c r="R1550"/>
      <x:c r="S1550"/>
      <x:c r="T1550"/>
    </x:row>
    <x:row r="1551" spans="1:20" ht="15.75" x14ac:dyDescent="0.25">
      <x:c r="A1551"/>
      <x:c r="B1551"/>
      <x:c r="C1551"/>
      <x:c r="D1551"/>
      <x:c r="E1551" s="31"/>
      <x:c r="F1551" s="8"/>
      <x:c r="G1551" s="8"/>
      <x:c r="H1551" s="6"/>
      <x:c r="I1551" s="27"/>
      <x:c r="J1551" s="6"/>
      <x:c r="K1551" s="6"/>
      <x:c r="L1551" s="6"/>
      <x:c r="M1551" s="6"/>
      <x:c r="N1551" s="6"/>
      <x:c r="O1551" s="6"/>
      <x:c r="P1551" s="6"/>
      <x:c r="Q1551" s="6"/>
      <x:c r="R1551"/>
      <x:c r="S1551"/>
      <x:c r="T1551"/>
    </x:row>
    <x:row r="1552" spans="1:20" ht="15.75" x14ac:dyDescent="0.25">
      <x:c r="A1552"/>
      <x:c r="B1552"/>
      <x:c r="C1552"/>
      <x:c r="D1552"/>
      <x:c r="E1552" s="31"/>
      <x:c r="F1552" s="8"/>
      <x:c r="G1552" s="8"/>
      <x:c r="H1552" s="6"/>
      <x:c r="I1552" s="27"/>
      <x:c r="J1552" s="6"/>
      <x:c r="K1552" s="6"/>
      <x:c r="L1552" s="6"/>
      <x:c r="M1552" s="6"/>
      <x:c r="N1552" s="6"/>
      <x:c r="O1552" s="6"/>
      <x:c r="P1552" s="6"/>
      <x:c r="Q1552" s="6"/>
      <x:c r="R1552"/>
      <x:c r="S1552"/>
      <x:c r="T1552"/>
    </x:row>
    <x:row r="1553" spans="1:20" ht="15.75" x14ac:dyDescent="0.25">
      <x:c r="A1553"/>
      <x:c r="B1553"/>
      <x:c r="C1553"/>
      <x:c r="D1553"/>
      <x:c r="E1553" s="31"/>
      <x:c r="F1553" s="8"/>
      <x:c r="G1553" s="8"/>
      <x:c r="H1553" s="6"/>
      <x:c r="I1553" s="27"/>
      <x:c r="J1553" s="6"/>
      <x:c r="K1553" s="6"/>
      <x:c r="L1553" s="6"/>
      <x:c r="M1553" s="6"/>
      <x:c r="N1553" s="6"/>
      <x:c r="O1553" s="6"/>
      <x:c r="P1553" s="6"/>
      <x:c r="Q1553" s="6"/>
      <x:c r="R1553"/>
      <x:c r="S1553"/>
      <x:c r="T1553"/>
    </x:row>
    <x:row r="1554" spans="1:20" ht="15.75" x14ac:dyDescent="0.25">
      <x:c r="A1554"/>
      <x:c r="B1554"/>
      <x:c r="C1554"/>
      <x:c r="D1554"/>
      <x:c r="E1554" s="31"/>
      <x:c r="F1554" s="8"/>
      <x:c r="G1554" s="8"/>
      <x:c r="H1554" s="6"/>
      <x:c r="I1554" s="27"/>
      <x:c r="J1554" s="6"/>
      <x:c r="K1554" s="6"/>
      <x:c r="L1554" s="6"/>
      <x:c r="M1554" s="6"/>
      <x:c r="N1554" s="6"/>
      <x:c r="O1554" s="6"/>
      <x:c r="P1554" s="6"/>
      <x:c r="Q1554" s="6"/>
      <x:c r="R1554"/>
      <x:c r="S1554"/>
      <x:c r="T1554"/>
    </x:row>
    <x:row r="1555" spans="1:20" ht="15.75" x14ac:dyDescent="0.25">
      <x:c r="A1555"/>
      <x:c r="B1555"/>
      <x:c r="C1555"/>
      <x:c r="D1555"/>
      <x:c r="E1555" s="31"/>
      <x:c r="F1555" s="8"/>
      <x:c r="G1555" s="8"/>
      <x:c r="H1555" s="6"/>
      <x:c r="I1555" s="27"/>
      <x:c r="J1555" s="6"/>
      <x:c r="K1555" s="6"/>
      <x:c r="L1555" s="6"/>
      <x:c r="M1555" s="6"/>
      <x:c r="N1555" s="6"/>
      <x:c r="O1555" s="6"/>
      <x:c r="P1555" s="6"/>
      <x:c r="Q1555" s="6"/>
      <x:c r="R1555"/>
      <x:c r="S1555"/>
      <x:c r="T1555"/>
    </x:row>
    <x:row r="1556" spans="1:20" ht="15.75" x14ac:dyDescent="0.25">
      <x:c r="A1556"/>
      <x:c r="B1556"/>
      <x:c r="C1556"/>
      <x:c r="D1556"/>
      <x:c r="E1556" s="31"/>
      <x:c r="F1556" s="8"/>
      <x:c r="G1556" s="8"/>
      <x:c r="H1556" s="6"/>
      <x:c r="I1556" s="27"/>
      <x:c r="J1556" s="6"/>
      <x:c r="K1556" s="6"/>
      <x:c r="L1556" s="6"/>
      <x:c r="M1556" s="6"/>
      <x:c r="N1556" s="6"/>
      <x:c r="O1556" s="6"/>
      <x:c r="P1556" s="6"/>
      <x:c r="Q1556" s="6"/>
      <x:c r="R1556"/>
      <x:c r="S1556"/>
      <x:c r="T1556"/>
    </x:row>
    <x:row r="1557" spans="1:20" ht="15.75" x14ac:dyDescent="0.25">
      <x:c r="A1557"/>
      <x:c r="B1557"/>
      <x:c r="C1557"/>
      <x:c r="D1557"/>
      <x:c r="E1557" s="31"/>
      <x:c r="F1557" s="8"/>
      <x:c r="G1557" s="8"/>
      <x:c r="H1557" s="6"/>
      <x:c r="I1557" s="27"/>
      <x:c r="J1557" s="6"/>
      <x:c r="K1557" s="6"/>
      <x:c r="L1557" s="6"/>
      <x:c r="M1557" s="6"/>
      <x:c r="N1557" s="6"/>
      <x:c r="O1557" s="6"/>
      <x:c r="P1557" s="6"/>
      <x:c r="Q1557" s="6"/>
      <x:c r="R1557"/>
      <x:c r="S1557"/>
      <x:c r="T1557"/>
    </x:row>
    <x:row r="1558" spans="1:20" ht="15.75" x14ac:dyDescent="0.25">
      <x:c r="A1558"/>
      <x:c r="B1558"/>
      <x:c r="C1558"/>
      <x:c r="D1558"/>
      <x:c r="E1558" s="31"/>
      <x:c r="F1558" s="8"/>
      <x:c r="G1558" s="8"/>
      <x:c r="H1558" s="6"/>
      <x:c r="I1558" s="27"/>
      <x:c r="J1558" s="6"/>
      <x:c r="K1558" s="6"/>
      <x:c r="L1558" s="6"/>
      <x:c r="M1558" s="6"/>
      <x:c r="N1558" s="6"/>
      <x:c r="O1558" s="6"/>
      <x:c r="P1558" s="6"/>
      <x:c r="Q1558" s="6"/>
      <x:c r="R1558"/>
      <x:c r="S1558"/>
      <x:c r="T1558"/>
    </x:row>
    <x:row r="1559" spans="1:20" ht="15.75" x14ac:dyDescent="0.25">
      <x:c r="A1559"/>
      <x:c r="B1559"/>
      <x:c r="C1559"/>
      <x:c r="D1559"/>
      <x:c r="E1559" s="31"/>
      <x:c r="F1559" s="8"/>
      <x:c r="G1559" s="8"/>
      <x:c r="H1559" s="6"/>
      <x:c r="I1559" s="27"/>
      <x:c r="J1559" s="6"/>
      <x:c r="K1559" s="6"/>
      <x:c r="L1559" s="6"/>
      <x:c r="M1559" s="6"/>
      <x:c r="N1559" s="6"/>
      <x:c r="O1559" s="6"/>
      <x:c r="P1559" s="6"/>
      <x:c r="Q1559" s="6"/>
      <x:c r="R1559"/>
      <x:c r="S1559"/>
      <x:c r="T1559"/>
    </x:row>
    <x:row r="1560" spans="1:20" ht="15.75" x14ac:dyDescent="0.25">
      <x:c r="A1560"/>
      <x:c r="B1560"/>
      <x:c r="C1560"/>
      <x:c r="D1560"/>
      <x:c r="E1560" s="31"/>
      <x:c r="F1560" s="8"/>
      <x:c r="G1560" s="8"/>
      <x:c r="H1560" s="6"/>
      <x:c r="I1560" s="27"/>
      <x:c r="J1560" s="6"/>
      <x:c r="K1560" s="6"/>
      <x:c r="L1560" s="6"/>
      <x:c r="M1560" s="6"/>
      <x:c r="N1560" s="6"/>
      <x:c r="O1560" s="6"/>
      <x:c r="P1560" s="6"/>
      <x:c r="Q1560" s="6"/>
      <x:c r="R1560"/>
      <x:c r="S1560"/>
      <x:c r="T1560"/>
    </x:row>
    <x:row r="1561" spans="1:20" ht="15.75" x14ac:dyDescent="0.25">
      <x:c r="A1561"/>
      <x:c r="B1561"/>
      <x:c r="C1561"/>
      <x:c r="D1561"/>
      <x:c r="E1561" s="31"/>
      <x:c r="F1561" s="8"/>
      <x:c r="G1561" s="8"/>
      <x:c r="H1561" s="6"/>
      <x:c r="I1561" s="27"/>
      <x:c r="J1561" s="6"/>
      <x:c r="K1561" s="6"/>
      <x:c r="L1561" s="6"/>
      <x:c r="M1561" s="6"/>
      <x:c r="N1561" s="6"/>
      <x:c r="O1561" s="6"/>
      <x:c r="P1561" s="6"/>
      <x:c r="Q1561" s="6"/>
      <x:c r="R1561"/>
      <x:c r="S1561"/>
      <x:c r="T1561"/>
    </x:row>
    <x:row r="1562" spans="1:20" ht="15.75" x14ac:dyDescent="0.25">
      <x:c r="A1562"/>
      <x:c r="B1562"/>
      <x:c r="C1562"/>
      <x:c r="D1562"/>
      <x:c r="E1562" s="31"/>
      <x:c r="F1562" s="8"/>
      <x:c r="G1562" s="8"/>
      <x:c r="H1562" s="6"/>
      <x:c r="I1562" s="27"/>
      <x:c r="J1562" s="6"/>
      <x:c r="K1562" s="6"/>
      <x:c r="L1562" s="6"/>
      <x:c r="M1562" s="6"/>
      <x:c r="N1562" s="6"/>
      <x:c r="O1562" s="6"/>
      <x:c r="P1562" s="6"/>
      <x:c r="Q1562" s="6"/>
      <x:c r="R1562"/>
      <x:c r="S1562"/>
      <x:c r="T1562"/>
    </x:row>
    <x:row r="1563" spans="1:20" ht="15.75" x14ac:dyDescent="0.25">
      <x:c r="A1563"/>
      <x:c r="B1563"/>
      <x:c r="C1563"/>
      <x:c r="D1563"/>
      <x:c r="E1563" s="31"/>
      <x:c r="F1563" s="8"/>
      <x:c r="G1563" s="8"/>
      <x:c r="H1563" s="6"/>
      <x:c r="I1563" s="27"/>
      <x:c r="J1563" s="6"/>
      <x:c r="K1563" s="6"/>
      <x:c r="L1563" s="6"/>
      <x:c r="M1563" s="6"/>
      <x:c r="N1563" s="6"/>
      <x:c r="O1563" s="6"/>
      <x:c r="P1563" s="6"/>
      <x:c r="Q1563" s="6"/>
      <x:c r="R1563"/>
      <x:c r="S1563"/>
      <x:c r="T1563"/>
    </x:row>
    <x:row r="1564" spans="1:20" ht="15.75" x14ac:dyDescent="0.25">
      <x:c r="A1564"/>
      <x:c r="B1564"/>
      <x:c r="C1564"/>
      <x:c r="D1564"/>
      <x:c r="E1564" s="31"/>
      <x:c r="F1564" s="8"/>
      <x:c r="G1564" s="8"/>
      <x:c r="H1564" s="6"/>
      <x:c r="I1564" s="27"/>
      <x:c r="J1564" s="6"/>
      <x:c r="K1564" s="6"/>
      <x:c r="L1564" s="6"/>
      <x:c r="M1564" s="6"/>
      <x:c r="N1564" s="6"/>
      <x:c r="O1564" s="6"/>
      <x:c r="P1564" s="6"/>
      <x:c r="Q1564" s="6"/>
      <x:c r="R1564"/>
      <x:c r="S1564"/>
      <x:c r="T1564"/>
    </x:row>
    <x:row r="1565" spans="1:20" ht="15.75" x14ac:dyDescent="0.25">
      <x:c r="A1565"/>
      <x:c r="B1565"/>
      <x:c r="C1565"/>
      <x:c r="D1565"/>
      <x:c r="E1565" s="31"/>
      <x:c r="F1565" s="8"/>
      <x:c r="G1565" s="8"/>
      <x:c r="H1565" s="6"/>
      <x:c r="I1565" s="27"/>
      <x:c r="J1565" s="6"/>
      <x:c r="K1565" s="6"/>
      <x:c r="L1565" s="6"/>
      <x:c r="M1565" s="6"/>
      <x:c r="N1565" s="6"/>
      <x:c r="O1565" s="6"/>
      <x:c r="P1565" s="6"/>
      <x:c r="Q1565" s="6"/>
      <x:c r="R1565"/>
      <x:c r="S1565"/>
      <x:c r="T1565"/>
    </x:row>
    <x:row r="1566" spans="1:20" ht="15.75" x14ac:dyDescent="0.25">
      <x:c r="A1566"/>
      <x:c r="B1566"/>
      <x:c r="C1566"/>
      <x:c r="D1566"/>
      <x:c r="E1566" s="31"/>
      <x:c r="F1566" s="8"/>
      <x:c r="G1566" s="8"/>
      <x:c r="H1566" s="6"/>
      <x:c r="I1566" s="27"/>
      <x:c r="J1566" s="6"/>
      <x:c r="K1566" s="6"/>
      <x:c r="L1566" s="6"/>
      <x:c r="M1566" s="6"/>
      <x:c r="N1566" s="6"/>
      <x:c r="O1566" s="6"/>
      <x:c r="P1566" s="6"/>
      <x:c r="Q1566" s="6"/>
      <x:c r="R1566"/>
      <x:c r="S1566"/>
      <x:c r="T1566"/>
    </x:row>
    <x:row r="1567" spans="1:20" ht="15.75" x14ac:dyDescent="0.25">
      <x:c r="A1567"/>
      <x:c r="B1567"/>
      <x:c r="C1567"/>
      <x:c r="D1567"/>
      <x:c r="E1567" s="31"/>
      <x:c r="F1567" s="8"/>
      <x:c r="G1567" s="8"/>
      <x:c r="H1567" s="6"/>
      <x:c r="I1567" s="27"/>
      <x:c r="J1567" s="6"/>
      <x:c r="K1567" s="6"/>
      <x:c r="L1567" s="6"/>
      <x:c r="M1567" s="6"/>
      <x:c r="N1567" s="6"/>
      <x:c r="O1567" s="6"/>
      <x:c r="P1567" s="6"/>
      <x:c r="Q1567" s="6"/>
      <x:c r="R1567"/>
      <x:c r="S1567"/>
      <x:c r="T1567"/>
    </x:row>
    <x:row r="1568" spans="1:20" ht="15.75" x14ac:dyDescent="0.25">
      <x:c r="A1568"/>
      <x:c r="B1568"/>
      <x:c r="C1568"/>
      <x:c r="D1568"/>
      <x:c r="E1568" s="31"/>
      <x:c r="F1568" s="8"/>
      <x:c r="G1568" s="8"/>
      <x:c r="H1568" s="6"/>
      <x:c r="I1568" s="27"/>
      <x:c r="J1568" s="6"/>
      <x:c r="K1568" s="6"/>
      <x:c r="L1568" s="6"/>
      <x:c r="M1568" s="6"/>
      <x:c r="N1568" s="6"/>
      <x:c r="O1568" s="6"/>
      <x:c r="P1568" s="6"/>
      <x:c r="Q1568" s="6"/>
      <x:c r="R1568"/>
      <x:c r="S1568"/>
      <x:c r="T1568"/>
    </x:row>
    <x:row r="1569" spans="1:20" ht="15.75" x14ac:dyDescent="0.25">
      <x:c r="A1569"/>
      <x:c r="B1569"/>
      <x:c r="C1569"/>
      <x:c r="D1569"/>
      <x:c r="E1569" s="31"/>
      <x:c r="F1569" s="8"/>
      <x:c r="G1569" s="8"/>
      <x:c r="H1569" s="6"/>
      <x:c r="I1569" s="27"/>
      <x:c r="J1569" s="6"/>
      <x:c r="K1569" s="6"/>
      <x:c r="L1569" s="6"/>
      <x:c r="M1569" s="6"/>
      <x:c r="N1569" s="6"/>
      <x:c r="O1569" s="6"/>
      <x:c r="P1569" s="6"/>
      <x:c r="Q1569" s="6"/>
      <x:c r="R1569"/>
      <x:c r="S1569"/>
      <x:c r="T1569"/>
    </x:row>
    <x:row r="1570" spans="1:20" ht="15.75" x14ac:dyDescent="0.25">
      <x:c r="A1570"/>
      <x:c r="B1570"/>
      <x:c r="C1570"/>
      <x:c r="D1570"/>
      <x:c r="E1570" s="31"/>
      <x:c r="F1570" s="8"/>
      <x:c r="G1570" s="8"/>
      <x:c r="H1570" s="6"/>
      <x:c r="I1570" s="27"/>
      <x:c r="J1570" s="6"/>
      <x:c r="K1570" s="6"/>
      <x:c r="L1570" s="6"/>
      <x:c r="M1570" s="6"/>
      <x:c r="N1570" s="6"/>
      <x:c r="O1570" s="6"/>
      <x:c r="P1570" s="6"/>
      <x:c r="Q1570" s="6"/>
      <x:c r="R1570"/>
      <x:c r="S1570"/>
      <x:c r="T1570"/>
    </x:row>
    <x:row r="1571" spans="1:20" ht="15.75" x14ac:dyDescent="0.25">
      <x:c r="A1571"/>
      <x:c r="B1571"/>
      <x:c r="C1571"/>
      <x:c r="D1571"/>
      <x:c r="E1571" s="31"/>
      <x:c r="F1571" s="8"/>
      <x:c r="G1571" s="8"/>
      <x:c r="H1571" s="6"/>
      <x:c r="I1571" s="27"/>
      <x:c r="J1571" s="6"/>
      <x:c r="K1571" s="6"/>
      <x:c r="L1571" s="6"/>
      <x:c r="M1571" s="6"/>
      <x:c r="N1571" s="6"/>
      <x:c r="O1571" s="6"/>
      <x:c r="P1571" s="6"/>
      <x:c r="Q1571" s="6"/>
      <x:c r="R1571"/>
      <x:c r="S1571"/>
      <x:c r="T1571"/>
    </x:row>
    <x:row r="1572" spans="1:20" ht="15.75" x14ac:dyDescent="0.25">
      <x:c r="A1572"/>
      <x:c r="B1572"/>
      <x:c r="C1572"/>
      <x:c r="D1572"/>
      <x:c r="E1572" s="31"/>
      <x:c r="F1572" s="8"/>
      <x:c r="G1572" s="8"/>
      <x:c r="H1572" s="6"/>
      <x:c r="I1572" s="27"/>
      <x:c r="J1572" s="6"/>
      <x:c r="K1572" s="6"/>
      <x:c r="L1572" s="6"/>
      <x:c r="M1572" s="6"/>
      <x:c r="N1572" s="6"/>
      <x:c r="O1572" s="6"/>
      <x:c r="P1572" s="6"/>
      <x:c r="Q1572" s="6"/>
      <x:c r="R1572"/>
      <x:c r="S1572"/>
      <x:c r="T1572"/>
    </x:row>
    <x:row r="1573" spans="1:20" ht="15.75" x14ac:dyDescent="0.25">
      <x:c r="A1573"/>
      <x:c r="B1573"/>
      <x:c r="C1573"/>
      <x:c r="D1573"/>
      <x:c r="E1573" s="31"/>
      <x:c r="F1573" s="8"/>
      <x:c r="G1573" s="8"/>
      <x:c r="H1573" s="6"/>
      <x:c r="I1573" s="27"/>
      <x:c r="J1573" s="6"/>
      <x:c r="K1573" s="6"/>
      <x:c r="L1573" s="6"/>
      <x:c r="M1573" s="6"/>
      <x:c r="N1573" s="6"/>
      <x:c r="O1573" s="6"/>
      <x:c r="P1573" s="6"/>
      <x:c r="Q1573" s="6"/>
      <x:c r="R1573"/>
      <x:c r="S1573"/>
      <x:c r="T1573"/>
    </x:row>
    <x:row r="1574" spans="1:20" ht="15.75" x14ac:dyDescent="0.25">
      <x:c r="A1574"/>
      <x:c r="B1574"/>
      <x:c r="C1574"/>
      <x:c r="D1574"/>
      <x:c r="E1574" s="31"/>
      <x:c r="F1574" s="8"/>
      <x:c r="G1574" s="8"/>
      <x:c r="H1574" s="6"/>
      <x:c r="I1574" s="27"/>
      <x:c r="J1574" s="6"/>
      <x:c r="K1574" s="6"/>
      <x:c r="L1574" s="6"/>
      <x:c r="M1574" s="6"/>
      <x:c r="N1574" s="6"/>
      <x:c r="O1574" s="6"/>
      <x:c r="P1574" s="6"/>
      <x:c r="Q1574" s="6"/>
      <x:c r="R1574"/>
      <x:c r="S1574"/>
      <x:c r="T1574"/>
    </x:row>
    <x:row r="1575" spans="1:20" ht="15.75" x14ac:dyDescent="0.25">
      <x:c r="A1575"/>
      <x:c r="B1575"/>
      <x:c r="C1575"/>
      <x:c r="D1575"/>
      <x:c r="E1575" s="31"/>
      <x:c r="F1575" s="8"/>
      <x:c r="G1575" s="8"/>
      <x:c r="H1575" s="6"/>
      <x:c r="I1575" s="27"/>
      <x:c r="J1575" s="6"/>
      <x:c r="K1575" s="6"/>
      <x:c r="L1575" s="6"/>
      <x:c r="M1575" s="6"/>
      <x:c r="N1575" s="6"/>
      <x:c r="O1575" s="6"/>
      <x:c r="P1575" s="6"/>
      <x:c r="Q1575" s="6"/>
      <x:c r="R1575"/>
      <x:c r="S1575"/>
      <x:c r="T1575"/>
    </x:row>
    <x:row r="1576" spans="1:20" ht="15.75" x14ac:dyDescent="0.25">
      <x:c r="A1576"/>
      <x:c r="B1576"/>
      <x:c r="C1576"/>
      <x:c r="D1576"/>
      <x:c r="E1576" s="31"/>
      <x:c r="F1576" s="8"/>
      <x:c r="G1576" s="8"/>
      <x:c r="H1576" s="6"/>
      <x:c r="I1576" s="27"/>
      <x:c r="J1576" s="6"/>
      <x:c r="K1576" s="6"/>
      <x:c r="L1576" s="6"/>
      <x:c r="M1576" s="6"/>
      <x:c r="N1576" s="6"/>
      <x:c r="O1576" s="6"/>
      <x:c r="P1576" s="6"/>
      <x:c r="Q1576" s="6"/>
      <x:c r="R1576"/>
      <x:c r="S1576"/>
      <x:c r="T1576"/>
    </x:row>
    <x:row r="1577" spans="1:20" ht="15.75" x14ac:dyDescent="0.25">
      <x:c r="A1577"/>
      <x:c r="B1577"/>
      <x:c r="C1577"/>
      <x:c r="D1577"/>
      <x:c r="E1577" s="31"/>
      <x:c r="F1577" s="8"/>
      <x:c r="G1577" s="8"/>
      <x:c r="H1577" s="6"/>
      <x:c r="I1577" s="27"/>
      <x:c r="J1577" s="6"/>
      <x:c r="K1577" s="6"/>
      <x:c r="L1577" s="6"/>
      <x:c r="M1577" s="6"/>
      <x:c r="N1577" s="6"/>
      <x:c r="O1577" s="6"/>
      <x:c r="P1577" s="6"/>
      <x:c r="Q1577" s="6"/>
      <x:c r="R1577"/>
      <x:c r="S1577"/>
      <x:c r="T1577"/>
    </x:row>
    <x:row r="1578" spans="1:20" ht="15.75" x14ac:dyDescent="0.25">
      <x:c r="A1578"/>
      <x:c r="B1578"/>
      <x:c r="C1578"/>
      <x:c r="D1578"/>
      <x:c r="E1578" s="31"/>
      <x:c r="F1578" s="8"/>
      <x:c r="G1578" s="8"/>
      <x:c r="H1578" s="6"/>
      <x:c r="I1578" s="27"/>
      <x:c r="J1578" s="6"/>
      <x:c r="K1578" s="6"/>
      <x:c r="L1578" s="6"/>
      <x:c r="M1578" s="6"/>
      <x:c r="N1578" s="6"/>
      <x:c r="O1578" s="6"/>
      <x:c r="P1578" s="6"/>
      <x:c r="Q1578" s="6"/>
      <x:c r="R1578"/>
      <x:c r="S1578"/>
      <x:c r="T1578"/>
    </x:row>
    <x:row r="1579" spans="1:20" ht="15.75" x14ac:dyDescent="0.25">
      <x:c r="A1579"/>
      <x:c r="B1579"/>
      <x:c r="C1579"/>
      <x:c r="D1579"/>
      <x:c r="E1579" s="31"/>
      <x:c r="F1579" s="8"/>
      <x:c r="G1579" s="8"/>
      <x:c r="H1579" s="6"/>
      <x:c r="I1579" s="27"/>
      <x:c r="J1579" s="6"/>
      <x:c r="K1579" s="6"/>
      <x:c r="L1579" s="6"/>
      <x:c r="M1579" s="6"/>
      <x:c r="N1579" s="6"/>
      <x:c r="O1579" s="6"/>
      <x:c r="P1579" s="6"/>
      <x:c r="Q1579" s="6"/>
      <x:c r="R1579"/>
      <x:c r="S1579"/>
      <x:c r="T1579"/>
    </x:row>
    <x:row r="1580" spans="1:20" ht="15.75" x14ac:dyDescent="0.25">
      <x:c r="A1580"/>
      <x:c r="B1580"/>
      <x:c r="C1580"/>
      <x:c r="D1580"/>
      <x:c r="E1580" s="31"/>
      <x:c r="F1580" s="8"/>
      <x:c r="G1580" s="8"/>
      <x:c r="H1580" s="6"/>
      <x:c r="I1580" s="27"/>
      <x:c r="J1580" s="6"/>
      <x:c r="K1580" s="6"/>
      <x:c r="L1580" s="6"/>
      <x:c r="M1580" s="6"/>
      <x:c r="N1580" s="6"/>
      <x:c r="O1580" s="6"/>
      <x:c r="P1580" s="6"/>
      <x:c r="Q1580" s="6"/>
      <x:c r="R1580"/>
      <x:c r="S1580"/>
      <x:c r="T1580"/>
    </x:row>
    <x:row r="1581" spans="1:20" ht="15.75" x14ac:dyDescent="0.25">
      <x:c r="A1581"/>
      <x:c r="B1581"/>
      <x:c r="C1581"/>
      <x:c r="D1581"/>
      <x:c r="E1581" s="31"/>
      <x:c r="F1581" s="8"/>
      <x:c r="G1581" s="8"/>
      <x:c r="H1581" s="6"/>
      <x:c r="I1581" s="27"/>
      <x:c r="J1581" s="6"/>
      <x:c r="K1581" s="6"/>
      <x:c r="L1581" s="6"/>
      <x:c r="M1581" s="6"/>
      <x:c r="N1581" s="6"/>
      <x:c r="O1581" s="6"/>
      <x:c r="P1581" s="6"/>
      <x:c r="Q1581" s="6"/>
      <x:c r="R1581"/>
      <x:c r="S1581"/>
      <x:c r="T1581"/>
    </x:row>
    <x:row r="1582" spans="1:20" ht="15.75" x14ac:dyDescent="0.25">
      <x:c r="A1582"/>
      <x:c r="B1582"/>
      <x:c r="C1582"/>
      <x:c r="D1582"/>
      <x:c r="E1582" s="31"/>
      <x:c r="F1582" s="8"/>
      <x:c r="G1582" s="8"/>
      <x:c r="H1582" s="6"/>
      <x:c r="I1582" s="27"/>
      <x:c r="J1582" s="6"/>
      <x:c r="K1582" s="6"/>
      <x:c r="L1582" s="6"/>
      <x:c r="M1582" s="6"/>
      <x:c r="N1582" s="6"/>
      <x:c r="O1582" s="6"/>
      <x:c r="P1582" s="6"/>
      <x:c r="Q1582" s="6"/>
      <x:c r="R1582"/>
      <x:c r="S1582"/>
      <x:c r="T1582"/>
    </x:row>
    <x:row r="1583" spans="1:20" ht="15.75" x14ac:dyDescent="0.25">
      <x:c r="A1583"/>
      <x:c r="B1583"/>
      <x:c r="C1583"/>
      <x:c r="D1583"/>
      <x:c r="E1583" s="31"/>
      <x:c r="F1583" s="8"/>
      <x:c r="G1583" s="8"/>
      <x:c r="H1583" s="6"/>
      <x:c r="I1583" s="27"/>
      <x:c r="J1583" s="6"/>
      <x:c r="K1583" s="6"/>
      <x:c r="L1583" s="6"/>
      <x:c r="M1583" s="6"/>
      <x:c r="N1583" s="6"/>
      <x:c r="O1583" s="6"/>
      <x:c r="P1583" s="6"/>
      <x:c r="Q1583" s="6"/>
      <x:c r="R1583"/>
      <x:c r="S1583"/>
      <x:c r="T1583"/>
    </x:row>
    <x:row r="1584" spans="1:20" ht="15.75" x14ac:dyDescent="0.25">
      <x:c r="A1584"/>
      <x:c r="B1584"/>
      <x:c r="C1584"/>
      <x:c r="D1584"/>
      <x:c r="E1584" s="31"/>
      <x:c r="F1584" s="8"/>
      <x:c r="G1584" s="8"/>
      <x:c r="H1584" s="6"/>
      <x:c r="I1584" s="27"/>
      <x:c r="J1584" s="6"/>
      <x:c r="K1584" s="6"/>
      <x:c r="L1584" s="6"/>
      <x:c r="M1584" s="6"/>
      <x:c r="N1584" s="6"/>
      <x:c r="O1584" s="6"/>
      <x:c r="P1584" s="6"/>
      <x:c r="Q1584" s="6"/>
      <x:c r="R1584"/>
      <x:c r="S1584"/>
      <x:c r="T1584"/>
    </x:row>
    <x:row r="1585" spans="1:20" ht="15.75" x14ac:dyDescent="0.25">
      <x:c r="A1585"/>
      <x:c r="B1585"/>
      <x:c r="C1585"/>
      <x:c r="D1585"/>
      <x:c r="E1585" s="31"/>
      <x:c r="F1585" s="8"/>
      <x:c r="G1585" s="8"/>
      <x:c r="H1585" s="6"/>
      <x:c r="I1585" s="27"/>
      <x:c r="J1585" s="6"/>
      <x:c r="K1585" s="6"/>
      <x:c r="L1585" s="6"/>
      <x:c r="M1585" s="6"/>
      <x:c r="N1585" s="6"/>
      <x:c r="O1585" s="6"/>
      <x:c r="P1585" s="6"/>
      <x:c r="Q1585" s="6"/>
      <x:c r="R1585"/>
      <x:c r="S1585"/>
      <x:c r="T1585"/>
    </x:row>
    <x:row r="1586" spans="1:20" ht="15.75" x14ac:dyDescent="0.25">
      <x:c r="A1586"/>
      <x:c r="B1586"/>
      <x:c r="C1586"/>
      <x:c r="D1586"/>
      <x:c r="E1586" s="31"/>
      <x:c r="F1586" s="8"/>
      <x:c r="G1586" s="8"/>
      <x:c r="H1586" s="6"/>
      <x:c r="I1586" s="27"/>
      <x:c r="J1586" s="6"/>
      <x:c r="K1586" s="6"/>
      <x:c r="L1586" s="6"/>
      <x:c r="M1586" s="6"/>
      <x:c r="N1586" s="6"/>
      <x:c r="O1586" s="6"/>
      <x:c r="P1586" s="6"/>
      <x:c r="Q1586" s="6"/>
      <x:c r="R1586"/>
      <x:c r="S1586"/>
      <x:c r="T1586"/>
    </x:row>
    <x:row r="1587" spans="1:20" ht="15.75" x14ac:dyDescent="0.25">
      <x:c r="A1587"/>
      <x:c r="B1587"/>
      <x:c r="C1587"/>
      <x:c r="D1587"/>
      <x:c r="E1587" s="31"/>
      <x:c r="F1587" s="8"/>
      <x:c r="G1587" s="8"/>
      <x:c r="H1587" s="6"/>
      <x:c r="I1587" s="27"/>
      <x:c r="J1587" s="6"/>
      <x:c r="K1587" s="6"/>
      <x:c r="L1587" s="6"/>
      <x:c r="M1587" s="6"/>
      <x:c r="N1587" s="6"/>
      <x:c r="O1587" s="6"/>
      <x:c r="P1587" s="6"/>
      <x:c r="Q1587" s="6"/>
      <x:c r="R1587"/>
      <x:c r="S1587"/>
      <x:c r="T1587"/>
    </x:row>
    <x:row r="1588" spans="1:20" ht="15.75" x14ac:dyDescent="0.25">
      <x:c r="A1588"/>
      <x:c r="B1588"/>
      <x:c r="C1588"/>
      <x:c r="D1588"/>
      <x:c r="E1588" s="31"/>
      <x:c r="F1588" s="8"/>
      <x:c r="G1588" s="8"/>
      <x:c r="H1588" s="6"/>
      <x:c r="I1588" s="27"/>
      <x:c r="J1588" s="6"/>
      <x:c r="K1588" s="6"/>
      <x:c r="L1588" s="6"/>
      <x:c r="M1588" s="6"/>
      <x:c r="N1588" s="6"/>
      <x:c r="O1588" s="6"/>
      <x:c r="P1588" s="6"/>
      <x:c r="Q1588" s="6"/>
      <x:c r="R1588"/>
      <x:c r="S1588"/>
      <x:c r="T1588"/>
    </x:row>
    <x:row r="1589" spans="1:20" ht="15.75" x14ac:dyDescent="0.25">
      <x:c r="A1589"/>
      <x:c r="B1589"/>
      <x:c r="C1589"/>
      <x:c r="D1589"/>
      <x:c r="E1589" s="31"/>
      <x:c r="F1589" s="8"/>
      <x:c r="G1589" s="8"/>
      <x:c r="H1589" s="6"/>
      <x:c r="I1589" s="27"/>
      <x:c r="J1589" s="6"/>
      <x:c r="K1589" s="6"/>
      <x:c r="L1589" s="6"/>
      <x:c r="M1589" s="6"/>
      <x:c r="N1589" s="6"/>
      <x:c r="O1589" s="6"/>
      <x:c r="P1589" s="6"/>
      <x:c r="Q1589" s="6"/>
      <x:c r="R1589"/>
      <x:c r="S1589"/>
      <x:c r="T1589"/>
    </x:row>
    <x:row r="1590" spans="1:20" ht="15.75" x14ac:dyDescent="0.25">
      <x:c r="A1590"/>
      <x:c r="B1590"/>
      <x:c r="C1590"/>
      <x:c r="D1590"/>
      <x:c r="E1590" s="31"/>
      <x:c r="F1590" s="8"/>
      <x:c r="G1590" s="8"/>
      <x:c r="H1590" s="6"/>
      <x:c r="I1590" s="27"/>
      <x:c r="J1590" s="6"/>
      <x:c r="K1590" s="6"/>
      <x:c r="L1590" s="6"/>
      <x:c r="M1590" s="6"/>
      <x:c r="N1590" s="6"/>
      <x:c r="O1590" s="6"/>
      <x:c r="P1590" s="6"/>
      <x:c r="Q1590" s="6"/>
      <x:c r="R1590"/>
      <x:c r="S1590"/>
      <x:c r="T1590"/>
    </x:row>
    <x:row r="1591" spans="1:20" ht="15.75" x14ac:dyDescent="0.25">
      <x:c r="A1591"/>
      <x:c r="B1591"/>
      <x:c r="C1591"/>
      <x:c r="D1591"/>
      <x:c r="E1591" s="31"/>
      <x:c r="F1591" s="8"/>
      <x:c r="G1591" s="8"/>
      <x:c r="H1591" s="6"/>
      <x:c r="I1591" s="27"/>
      <x:c r="J1591" s="6"/>
      <x:c r="K1591" s="6"/>
      <x:c r="L1591" s="6"/>
      <x:c r="M1591" s="6"/>
      <x:c r="N1591" s="6"/>
      <x:c r="O1591" s="6"/>
      <x:c r="P1591" s="6"/>
      <x:c r="Q1591" s="6"/>
      <x:c r="R1591"/>
      <x:c r="S1591"/>
      <x:c r="T1591"/>
    </x:row>
    <x:row r="1592" spans="1:20" ht="15.75" x14ac:dyDescent="0.25">
      <x:c r="A1592"/>
      <x:c r="B1592"/>
      <x:c r="C1592"/>
      <x:c r="D1592"/>
      <x:c r="E1592" s="31"/>
      <x:c r="F1592" s="8"/>
      <x:c r="G1592" s="8"/>
      <x:c r="H1592" s="6"/>
      <x:c r="I1592" s="27"/>
      <x:c r="J1592" s="6"/>
      <x:c r="K1592" s="6"/>
      <x:c r="L1592" s="6"/>
      <x:c r="M1592" s="6"/>
      <x:c r="N1592" s="6"/>
      <x:c r="O1592" s="6"/>
      <x:c r="P1592" s="6"/>
      <x:c r="Q1592" s="6"/>
      <x:c r="R1592"/>
      <x:c r="S1592"/>
      <x:c r="T1592"/>
    </x:row>
    <x:row r="1593" spans="1:20" ht="15.75" x14ac:dyDescent="0.25">
      <x:c r="A1593"/>
      <x:c r="B1593"/>
      <x:c r="C1593"/>
      <x:c r="D1593"/>
      <x:c r="E1593" s="31"/>
      <x:c r="F1593" s="8"/>
      <x:c r="G1593" s="8"/>
      <x:c r="H1593" s="6"/>
      <x:c r="I1593" s="27"/>
      <x:c r="J1593" s="6"/>
      <x:c r="K1593" s="6"/>
      <x:c r="L1593" s="6"/>
      <x:c r="M1593" s="6"/>
      <x:c r="N1593" s="6"/>
      <x:c r="O1593" s="6"/>
      <x:c r="P1593" s="6"/>
      <x:c r="Q1593" s="6"/>
      <x:c r="R1593"/>
      <x:c r="S1593"/>
      <x:c r="T1593"/>
    </x:row>
    <x:row r="1594" spans="1:20" ht="15.75" x14ac:dyDescent="0.25">
      <x:c r="A1594"/>
      <x:c r="B1594"/>
      <x:c r="C1594"/>
      <x:c r="D1594"/>
      <x:c r="E1594" s="31"/>
      <x:c r="F1594" s="8"/>
      <x:c r="G1594" s="8"/>
      <x:c r="H1594" s="6"/>
      <x:c r="I1594" s="27"/>
      <x:c r="J1594" s="6"/>
      <x:c r="K1594" s="6"/>
      <x:c r="L1594" s="6"/>
      <x:c r="M1594" s="6"/>
      <x:c r="N1594" s="6"/>
      <x:c r="O1594" s="6"/>
      <x:c r="P1594" s="6"/>
      <x:c r="Q1594" s="6"/>
      <x:c r="R1594"/>
      <x:c r="S1594"/>
      <x:c r="T1594"/>
    </x:row>
    <x:row r="1595" spans="1:20" ht="15.75" x14ac:dyDescent="0.25">
      <x:c r="A1595"/>
      <x:c r="B1595"/>
      <x:c r="C1595"/>
      <x:c r="D1595"/>
      <x:c r="E1595" s="31"/>
      <x:c r="F1595" s="8"/>
      <x:c r="G1595" s="8"/>
      <x:c r="H1595" s="6"/>
      <x:c r="I1595" s="27"/>
      <x:c r="J1595" s="6"/>
      <x:c r="K1595" s="6"/>
      <x:c r="L1595" s="6"/>
      <x:c r="M1595" s="6"/>
      <x:c r="N1595" s="6"/>
      <x:c r="O1595" s="6"/>
      <x:c r="P1595" s="6"/>
      <x:c r="Q1595" s="6"/>
      <x:c r="R1595"/>
      <x:c r="S1595"/>
      <x:c r="T1595"/>
    </x:row>
    <x:row r="1596" spans="1:20" ht="15.75" x14ac:dyDescent="0.25">
      <x:c r="A1596"/>
      <x:c r="B1596"/>
      <x:c r="C1596"/>
      <x:c r="D1596"/>
      <x:c r="E1596" s="31"/>
      <x:c r="F1596" s="8"/>
      <x:c r="G1596" s="8"/>
      <x:c r="H1596" s="6"/>
      <x:c r="I1596" s="27"/>
      <x:c r="J1596" s="6"/>
      <x:c r="K1596" s="6"/>
      <x:c r="L1596" s="6"/>
      <x:c r="M1596" s="6"/>
      <x:c r="N1596" s="6"/>
      <x:c r="O1596" s="6"/>
      <x:c r="P1596" s="6"/>
      <x:c r="Q1596" s="6"/>
      <x:c r="R1596"/>
      <x:c r="S1596"/>
      <x:c r="T1596"/>
    </x:row>
    <x:row r="1597" spans="1:20" ht="15.75" x14ac:dyDescent="0.25">
      <x:c r="A1597"/>
      <x:c r="B1597"/>
      <x:c r="C1597"/>
      <x:c r="D1597"/>
      <x:c r="E1597" s="31"/>
      <x:c r="F1597" s="8"/>
      <x:c r="G1597" s="8"/>
      <x:c r="H1597" s="6"/>
      <x:c r="I1597" s="27"/>
      <x:c r="J1597" s="6"/>
      <x:c r="K1597" s="6"/>
      <x:c r="L1597" s="6"/>
      <x:c r="M1597" s="6"/>
      <x:c r="N1597" s="6"/>
      <x:c r="O1597" s="6"/>
      <x:c r="P1597" s="6"/>
      <x:c r="Q1597" s="6"/>
      <x:c r="R1597"/>
      <x:c r="S1597"/>
      <x:c r="T1597"/>
    </x:row>
    <x:row r="1598" spans="1:20" ht="15.75" x14ac:dyDescent="0.25">
      <x:c r="A1598"/>
      <x:c r="B1598"/>
      <x:c r="C1598"/>
      <x:c r="D1598"/>
      <x:c r="E1598" s="31"/>
      <x:c r="F1598" s="8"/>
      <x:c r="G1598" s="8"/>
      <x:c r="H1598" s="6"/>
      <x:c r="I1598" s="27"/>
      <x:c r="J1598" s="6"/>
      <x:c r="K1598" s="6"/>
      <x:c r="L1598" s="6"/>
      <x:c r="M1598" s="6"/>
      <x:c r="N1598" s="6"/>
      <x:c r="O1598" s="6"/>
      <x:c r="P1598" s="6"/>
      <x:c r="Q1598" s="6"/>
      <x:c r="R1598"/>
      <x:c r="S1598"/>
      <x:c r="T1598"/>
    </x:row>
    <x:row r="1599" spans="1:20" ht="15.75" x14ac:dyDescent="0.25">
      <x:c r="A1599"/>
      <x:c r="B1599"/>
      <x:c r="C1599"/>
      <x:c r="D1599"/>
      <x:c r="E1599" s="31"/>
      <x:c r="F1599" s="8"/>
      <x:c r="G1599" s="8"/>
      <x:c r="H1599" s="6"/>
      <x:c r="I1599" s="27"/>
      <x:c r="J1599" s="6"/>
      <x:c r="K1599" s="6"/>
      <x:c r="L1599" s="6"/>
      <x:c r="M1599" s="6"/>
      <x:c r="N1599" s="6"/>
      <x:c r="O1599" s="6"/>
      <x:c r="P1599" s="6"/>
      <x:c r="Q1599" s="6"/>
      <x:c r="R1599"/>
      <x:c r="S1599"/>
      <x:c r="T1599"/>
    </x:row>
    <x:row r="1600" spans="1:20" ht="15.75" x14ac:dyDescent="0.25">
      <x:c r="A1600"/>
      <x:c r="B1600"/>
      <x:c r="C1600"/>
      <x:c r="D1600"/>
      <x:c r="E1600" s="31"/>
      <x:c r="F1600" s="8"/>
      <x:c r="G1600" s="8"/>
      <x:c r="H1600" s="6"/>
      <x:c r="I1600" s="27"/>
      <x:c r="J1600" s="6"/>
      <x:c r="K1600" s="6"/>
      <x:c r="L1600" s="6"/>
      <x:c r="M1600" s="6"/>
      <x:c r="N1600" s="6"/>
      <x:c r="O1600" s="6"/>
      <x:c r="P1600" s="6"/>
      <x:c r="Q1600" s="6"/>
      <x:c r="R1600"/>
      <x:c r="S1600"/>
      <x:c r="T1600"/>
    </x:row>
    <x:row r="1601" spans="1:20" ht="15.75" x14ac:dyDescent="0.25">
      <x:c r="A1601"/>
      <x:c r="B1601"/>
      <x:c r="C1601"/>
      <x:c r="D1601"/>
      <x:c r="E1601" s="31"/>
      <x:c r="F1601" s="8"/>
      <x:c r="G1601" s="8"/>
      <x:c r="H1601" s="6"/>
      <x:c r="I1601" s="27"/>
      <x:c r="J1601" s="6"/>
      <x:c r="K1601" s="6"/>
      <x:c r="L1601" s="6"/>
      <x:c r="M1601" s="6"/>
      <x:c r="N1601" s="6"/>
      <x:c r="O1601" s="6"/>
      <x:c r="P1601" s="6"/>
      <x:c r="Q1601" s="6"/>
      <x:c r="R1601"/>
      <x:c r="S1601"/>
      <x:c r="T1601"/>
    </x:row>
    <x:row r="1602" spans="1:20" ht="15.75" x14ac:dyDescent="0.25">
      <x:c r="A1602"/>
      <x:c r="B1602"/>
      <x:c r="C1602"/>
      <x:c r="D1602"/>
      <x:c r="E1602" s="31"/>
      <x:c r="F1602" s="8"/>
      <x:c r="G1602" s="8"/>
      <x:c r="H1602" s="6"/>
      <x:c r="I1602" s="27"/>
      <x:c r="J1602" s="6"/>
      <x:c r="K1602" s="6"/>
      <x:c r="L1602" s="6"/>
      <x:c r="M1602" s="6"/>
      <x:c r="N1602" s="6"/>
      <x:c r="O1602" s="6"/>
      <x:c r="P1602" s="6"/>
      <x:c r="Q1602" s="6"/>
      <x:c r="R1602"/>
      <x:c r="S1602"/>
      <x:c r="T1602"/>
    </x:row>
    <x:row r="1603" spans="1:20" ht="15.75" x14ac:dyDescent="0.25">
      <x:c r="A1603"/>
      <x:c r="B1603"/>
      <x:c r="C1603"/>
      <x:c r="D1603"/>
      <x:c r="E1603" s="31"/>
      <x:c r="F1603" s="8"/>
      <x:c r="G1603" s="8"/>
      <x:c r="H1603" s="6"/>
      <x:c r="I1603" s="27"/>
      <x:c r="J1603" s="6"/>
      <x:c r="K1603" s="6"/>
      <x:c r="L1603" s="6"/>
      <x:c r="M1603" s="6"/>
      <x:c r="N1603" s="6"/>
      <x:c r="O1603" s="6"/>
      <x:c r="P1603" s="6"/>
      <x:c r="Q1603" s="6"/>
      <x:c r="R1603"/>
      <x:c r="S1603"/>
      <x:c r="T1603"/>
    </x:row>
    <x:row r="1604" spans="1:20" ht="15.75" x14ac:dyDescent="0.25">
      <x:c r="A1604"/>
      <x:c r="B1604"/>
      <x:c r="C1604"/>
      <x:c r="D1604"/>
      <x:c r="E1604" s="31"/>
      <x:c r="F1604" s="8"/>
      <x:c r="G1604" s="8"/>
      <x:c r="H1604" s="6"/>
      <x:c r="I1604" s="27"/>
      <x:c r="J1604" s="6"/>
      <x:c r="K1604" s="6"/>
      <x:c r="L1604" s="6"/>
      <x:c r="M1604" s="6"/>
      <x:c r="N1604" s="6"/>
      <x:c r="O1604" s="6"/>
      <x:c r="P1604" s="6"/>
      <x:c r="Q1604" s="6"/>
      <x:c r="R1604"/>
      <x:c r="S1604"/>
      <x:c r="T1604"/>
    </x:row>
    <x:row r="1605" spans="1:20" ht="15.75" x14ac:dyDescent="0.25">
      <x:c r="A1605"/>
      <x:c r="B1605"/>
      <x:c r="C1605"/>
      <x:c r="D1605"/>
      <x:c r="E1605" s="31"/>
      <x:c r="F1605" s="8"/>
      <x:c r="G1605" s="8"/>
      <x:c r="H1605" s="6"/>
      <x:c r="I1605" s="27"/>
      <x:c r="J1605" s="6"/>
      <x:c r="K1605" s="6"/>
      <x:c r="L1605" s="6"/>
      <x:c r="M1605" s="6"/>
      <x:c r="N1605" s="6"/>
      <x:c r="O1605" s="6"/>
      <x:c r="P1605" s="6"/>
      <x:c r="Q1605" s="6"/>
      <x:c r="R1605"/>
      <x:c r="S1605"/>
      <x:c r="T1605"/>
    </x:row>
    <x:row r="1606" spans="1:20" ht="15.75" x14ac:dyDescent="0.25">
      <x:c r="A1606"/>
      <x:c r="B1606"/>
      <x:c r="C1606"/>
      <x:c r="D1606"/>
      <x:c r="E1606" s="31"/>
      <x:c r="F1606" s="8"/>
      <x:c r="G1606" s="8"/>
      <x:c r="H1606" s="6"/>
      <x:c r="I1606" s="27"/>
      <x:c r="J1606" s="6"/>
      <x:c r="K1606" s="6"/>
      <x:c r="L1606" s="6"/>
      <x:c r="M1606" s="6"/>
      <x:c r="N1606" s="6"/>
      <x:c r="O1606" s="6"/>
      <x:c r="P1606" s="6"/>
      <x:c r="Q1606" s="6"/>
      <x:c r="R1606"/>
      <x:c r="S1606"/>
      <x:c r="T1606"/>
    </x:row>
    <x:row r="1607" spans="1:20" ht="15.75" x14ac:dyDescent="0.25">
      <x:c r="A1607"/>
      <x:c r="B1607"/>
      <x:c r="C1607"/>
      <x:c r="D1607"/>
      <x:c r="E1607" s="31"/>
      <x:c r="F1607" s="8"/>
      <x:c r="G1607" s="8"/>
      <x:c r="H1607" s="6"/>
      <x:c r="I1607" s="27"/>
      <x:c r="J1607" s="6"/>
      <x:c r="K1607" s="6"/>
      <x:c r="L1607" s="6"/>
      <x:c r="M1607" s="6"/>
      <x:c r="N1607" s="6"/>
      <x:c r="O1607" s="6"/>
      <x:c r="P1607" s="6"/>
      <x:c r="Q1607" s="6"/>
      <x:c r="R1607"/>
      <x:c r="S1607"/>
      <x:c r="T1607"/>
    </x:row>
    <x:row r="1608" spans="1:20" ht="15.75" x14ac:dyDescent="0.25">
      <x:c r="A1608"/>
      <x:c r="B1608"/>
      <x:c r="C1608"/>
      <x:c r="D1608"/>
      <x:c r="E1608" s="31"/>
      <x:c r="F1608" s="8"/>
      <x:c r="G1608" s="8"/>
      <x:c r="H1608" s="6"/>
      <x:c r="I1608" s="27"/>
      <x:c r="J1608" s="6"/>
      <x:c r="K1608" s="6"/>
      <x:c r="L1608" s="6"/>
      <x:c r="M1608" s="6"/>
      <x:c r="N1608" s="6"/>
      <x:c r="O1608" s="6"/>
      <x:c r="P1608" s="6"/>
      <x:c r="Q1608" s="6"/>
      <x:c r="R1608"/>
      <x:c r="S1608"/>
      <x:c r="T1608"/>
    </x:row>
    <x:row r="1609" spans="1:20" ht="15.75" x14ac:dyDescent="0.25">
      <x:c r="A1609"/>
      <x:c r="B1609"/>
      <x:c r="C1609"/>
      <x:c r="D1609"/>
      <x:c r="E1609" s="31"/>
      <x:c r="F1609" s="8"/>
      <x:c r="G1609" s="8"/>
      <x:c r="H1609" s="6"/>
      <x:c r="I1609" s="27"/>
      <x:c r="J1609" s="6"/>
      <x:c r="K1609" s="6"/>
      <x:c r="L1609" s="6"/>
      <x:c r="M1609" s="6"/>
      <x:c r="N1609" s="6"/>
      <x:c r="O1609" s="6"/>
      <x:c r="P1609" s="6"/>
      <x:c r="Q1609" s="6"/>
      <x:c r="R1609"/>
      <x:c r="S1609"/>
      <x:c r="T1609"/>
    </x:row>
    <x:row r="1610" spans="1:20" ht="15.75" x14ac:dyDescent="0.25">
      <x:c r="A1610"/>
      <x:c r="B1610"/>
      <x:c r="C1610"/>
      <x:c r="D1610"/>
      <x:c r="E1610" s="31"/>
      <x:c r="F1610" s="8"/>
      <x:c r="G1610" s="8"/>
      <x:c r="H1610" s="6"/>
      <x:c r="I1610" s="27"/>
      <x:c r="J1610" s="6"/>
      <x:c r="K1610" s="6"/>
      <x:c r="L1610" s="6"/>
      <x:c r="M1610" s="6"/>
      <x:c r="N1610" s="6"/>
      <x:c r="O1610" s="6"/>
      <x:c r="P1610" s="6"/>
      <x:c r="Q1610" s="6"/>
      <x:c r="R1610"/>
      <x:c r="S1610"/>
      <x:c r="T1610"/>
    </x:row>
    <x:row r="1611" spans="1:20" ht="15.75" x14ac:dyDescent="0.25">
      <x:c r="A1611"/>
      <x:c r="B1611"/>
      <x:c r="C1611"/>
      <x:c r="D1611"/>
      <x:c r="E1611" s="31"/>
      <x:c r="F1611" s="8"/>
      <x:c r="G1611" s="8"/>
      <x:c r="H1611" s="6"/>
      <x:c r="I1611" s="27"/>
      <x:c r="J1611" s="6"/>
      <x:c r="K1611" s="6"/>
      <x:c r="L1611" s="6"/>
      <x:c r="M1611" s="6"/>
      <x:c r="N1611" s="6"/>
      <x:c r="O1611" s="6"/>
      <x:c r="P1611" s="6"/>
      <x:c r="Q1611" s="6"/>
      <x:c r="R1611"/>
      <x:c r="S1611"/>
      <x:c r="T1611"/>
    </x:row>
    <x:row r="1612" spans="1:20" ht="15.75" x14ac:dyDescent="0.25">
      <x:c r="A1612"/>
      <x:c r="B1612"/>
      <x:c r="C1612"/>
      <x:c r="D1612"/>
      <x:c r="E1612" s="31"/>
      <x:c r="F1612" s="8"/>
      <x:c r="G1612" s="8"/>
      <x:c r="H1612" s="6"/>
      <x:c r="I1612" s="27"/>
      <x:c r="J1612" s="6"/>
      <x:c r="K1612" s="6"/>
      <x:c r="L1612" s="6"/>
      <x:c r="M1612" s="6"/>
      <x:c r="N1612" s="6"/>
      <x:c r="O1612" s="6"/>
      <x:c r="P1612" s="6"/>
      <x:c r="Q1612" s="6"/>
      <x:c r="R1612"/>
      <x:c r="S1612"/>
      <x:c r="T1612"/>
    </x:row>
    <x:row r="1613" spans="1:20" ht="15.75" x14ac:dyDescent="0.25">
      <x:c r="A1613"/>
      <x:c r="B1613"/>
      <x:c r="C1613"/>
      <x:c r="D1613"/>
      <x:c r="E1613" s="31"/>
      <x:c r="F1613" s="8"/>
      <x:c r="G1613" s="8"/>
      <x:c r="H1613" s="6"/>
      <x:c r="I1613" s="27"/>
      <x:c r="J1613" s="6"/>
      <x:c r="K1613" s="6"/>
      <x:c r="L1613" s="6"/>
      <x:c r="M1613" s="6"/>
      <x:c r="N1613" s="6"/>
      <x:c r="O1613" s="6"/>
      <x:c r="P1613" s="6"/>
      <x:c r="Q1613" s="6"/>
      <x:c r="R1613"/>
      <x:c r="S1613"/>
      <x:c r="T1613"/>
    </x:row>
    <x:row r="1614" spans="1:20" ht="15.75" x14ac:dyDescent="0.25">
      <x:c r="A1614"/>
      <x:c r="B1614"/>
      <x:c r="C1614"/>
      <x:c r="D1614"/>
      <x:c r="E1614" s="31"/>
      <x:c r="F1614" s="8"/>
      <x:c r="G1614" s="8"/>
      <x:c r="H1614" s="6"/>
      <x:c r="I1614" s="27"/>
      <x:c r="J1614" s="6"/>
      <x:c r="K1614" s="6"/>
      <x:c r="L1614" s="6"/>
      <x:c r="M1614" s="6"/>
      <x:c r="N1614" s="6"/>
      <x:c r="O1614" s="6"/>
      <x:c r="P1614" s="6"/>
      <x:c r="Q1614" s="6"/>
      <x:c r="R1614"/>
      <x:c r="S1614"/>
      <x:c r="T1614"/>
    </x:row>
    <x:row r="1615" spans="1:20" ht="15.75" x14ac:dyDescent="0.25">
      <x:c r="A1615"/>
      <x:c r="B1615"/>
      <x:c r="C1615"/>
      <x:c r="D1615"/>
      <x:c r="E1615" s="31"/>
      <x:c r="F1615" s="8"/>
      <x:c r="G1615" s="8"/>
      <x:c r="H1615" s="6"/>
      <x:c r="I1615" s="27"/>
      <x:c r="J1615" s="6"/>
      <x:c r="K1615" s="6"/>
      <x:c r="L1615" s="6"/>
      <x:c r="M1615" s="6"/>
      <x:c r="N1615" s="6"/>
      <x:c r="O1615" s="6"/>
      <x:c r="P1615" s="6"/>
      <x:c r="Q1615" s="6"/>
      <x:c r="R1615"/>
      <x:c r="S1615"/>
      <x:c r="T1615"/>
    </x:row>
    <x:row r="1616" spans="1:20" ht="15.75" x14ac:dyDescent="0.25">
      <x:c r="A1616"/>
      <x:c r="B1616"/>
      <x:c r="C1616"/>
      <x:c r="D1616"/>
      <x:c r="E1616" s="31"/>
      <x:c r="F1616" s="8"/>
      <x:c r="G1616" s="8"/>
      <x:c r="H1616" s="6"/>
      <x:c r="I1616" s="27"/>
      <x:c r="J1616" s="6"/>
      <x:c r="K1616" s="6"/>
      <x:c r="L1616" s="6"/>
      <x:c r="M1616" s="6"/>
      <x:c r="N1616" s="6"/>
      <x:c r="O1616" s="6"/>
      <x:c r="P1616" s="6"/>
      <x:c r="Q1616" s="6"/>
      <x:c r="R1616"/>
      <x:c r="S1616"/>
      <x:c r="T1616"/>
    </x:row>
    <x:row r="1617" spans="1:20" ht="15.75" x14ac:dyDescent="0.25">
      <x:c r="A1617"/>
      <x:c r="B1617"/>
      <x:c r="C1617"/>
      <x:c r="D1617"/>
      <x:c r="E1617" s="31"/>
      <x:c r="F1617" s="8"/>
      <x:c r="G1617" s="8"/>
      <x:c r="H1617" s="6"/>
      <x:c r="I1617" s="27"/>
      <x:c r="J1617" s="6"/>
      <x:c r="K1617" s="6"/>
      <x:c r="L1617" s="6"/>
      <x:c r="M1617" s="6"/>
      <x:c r="N1617" s="6"/>
      <x:c r="O1617" s="6"/>
      <x:c r="P1617" s="6"/>
      <x:c r="Q1617" s="6"/>
      <x:c r="R1617"/>
      <x:c r="S1617"/>
      <x:c r="T1617"/>
    </x:row>
    <x:row r="1618" spans="1:20" ht="15.75" x14ac:dyDescent="0.25">
      <x:c r="A1618"/>
      <x:c r="B1618"/>
      <x:c r="C1618"/>
      <x:c r="D1618"/>
      <x:c r="E1618" s="31"/>
      <x:c r="F1618" s="8"/>
      <x:c r="G1618" s="8"/>
      <x:c r="H1618" s="6"/>
      <x:c r="I1618" s="27"/>
      <x:c r="J1618" s="6"/>
      <x:c r="K1618" s="6"/>
      <x:c r="L1618" s="6"/>
      <x:c r="M1618" s="6"/>
      <x:c r="N1618" s="6"/>
      <x:c r="O1618" s="6"/>
      <x:c r="P1618" s="6"/>
      <x:c r="Q1618" s="6"/>
      <x:c r="R1618"/>
      <x:c r="S1618"/>
      <x:c r="T1618"/>
    </x:row>
    <x:row r="1619" spans="1:20" ht="15.75" x14ac:dyDescent="0.25">
      <x:c r="A1619"/>
      <x:c r="B1619"/>
      <x:c r="C1619"/>
      <x:c r="D1619"/>
      <x:c r="E1619" s="31"/>
      <x:c r="F1619" s="8"/>
      <x:c r="G1619" s="8"/>
      <x:c r="H1619" s="6"/>
      <x:c r="I1619" s="27"/>
      <x:c r="J1619" s="6"/>
      <x:c r="K1619" s="6"/>
      <x:c r="L1619" s="6"/>
      <x:c r="M1619" s="6"/>
      <x:c r="N1619" s="6"/>
      <x:c r="O1619" s="6"/>
      <x:c r="P1619" s="6"/>
      <x:c r="Q1619" s="6"/>
      <x:c r="R1619"/>
      <x:c r="S1619"/>
      <x:c r="T1619"/>
    </x:row>
    <x:row r="1620" spans="1:20" ht="15.75" x14ac:dyDescent="0.25">
      <x:c r="A1620"/>
      <x:c r="B1620"/>
      <x:c r="C1620"/>
      <x:c r="D1620"/>
      <x:c r="E1620" s="31"/>
      <x:c r="F1620" s="8"/>
      <x:c r="G1620" s="8"/>
      <x:c r="H1620" s="6"/>
      <x:c r="I1620" s="27"/>
      <x:c r="J1620" s="6"/>
      <x:c r="K1620" s="6"/>
      <x:c r="L1620" s="6"/>
      <x:c r="M1620" s="6"/>
      <x:c r="N1620" s="6"/>
      <x:c r="O1620" s="6"/>
      <x:c r="P1620" s="6"/>
      <x:c r="Q1620" s="6"/>
      <x:c r="R1620"/>
      <x:c r="S1620"/>
      <x:c r="T1620"/>
    </x:row>
    <x:row r="1621" spans="1:20" ht="15.75" x14ac:dyDescent="0.25">
      <x:c r="A1621"/>
      <x:c r="B1621"/>
      <x:c r="C1621"/>
      <x:c r="D1621"/>
      <x:c r="E1621" s="31"/>
      <x:c r="F1621" s="8"/>
      <x:c r="G1621" s="8"/>
      <x:c r="H1621" s="6"/>
      <x:c r="I1621" s="27"/>
      <x:c r="J1621" s="6"/>
      <x:c r="K1621" s="6"/>
      <x:c r="L1621" s="6"/>
      <x:c r="M1621" s="6"/>
      <x:c r="N1621" s="6"/>
      <x:c r="O1621" s="6"/>
      <x:c r="P1621" s="6"/>
      <x:c r="Q1621" s="6"/>
      <x:c r="R1621"/>
      <x:c r="S1621"/>
      <x:c r="T1621"/>
    </x:row>
    <x:row r="1622" spans="1:20" ht="15.75" x14ac:dyDescent="0.25">
      <x:c r="A1622"/>
      <x:c r="B1622"/>
      <x:c r="C1622"/>
      <x:c r="D1622"/>
      <x:c r="E1622" s="31"/>
      <x:c r="F1622" s="8"/>
      <x:c r="G1622" s="8"/>
      <x:c r="H1622" s="6"/>
      <x:c r="I1622" s="27"/>
      <x:c r="J1622" s="6"/>
      <x:c r="K1622" s="6"/>
      <x:c r="L1622" s="6"/>
      <x:c r="M1622" s="6"/>
      <x:c r="N1622" s="6"/>
      <x:c r="O1622" s="6"/>
      <x:c r="P1622" s="6"/>
      <x:c r="Q1622" s="6"/>
      <x:c r="R1622"/>
      <x:c r="S1622"/>
      <x:c r="T1622"/>
    </x:row>
    <x:row r="1623" spans="1:20" ht="15.75" x14ac:dyDescent="0.25">
      <x:c r="A1623"/>
      <x:c r="B1623"/>
      <x:c r="C1623"/>
      <x:c r="D1623"/>
      <x:c r="E1623" s="31"/>
      <x:c r="F1623" s="8"/>
      <x:c r="G1623" s="8"/>
      <x:c r="H1623" s="6"/>
      <x:c r="I1623" s="27"/>
      <x:c r="J1623" s="6"/>
      <x:c r="K1623" s="6"/>
      <x:c r="L1623" s="6"/>
      <x:c r="M1623" s="6"/>
      <x:c r="N1623" s="6"/>
      <x:c r="O1623" s="6"/>
      <x:c r="P1623" s="6"/>
      <x:c r="Q1623" s="6"/>
      <x:c r="R1623"/>
      <x:c r="S1623"/>
      <x:c r="T1623"/>
    </x:row>
    <x:row r="1624" spans="1:20" ht="15.75" x14ac:dyDescent="0.25">
      <x:c r="A1624"/>
      <x:c r="B1624"/>
      <x:c r="C1624"/>
      <x:c r="D1624"/>
      <x:c r="E1624" s="31"/>
      <x:c r="F1624" s="8"/>
      <x:c r="G1624" s="8"/>
      <x:c r="H1624" s="6"/>
      <x:c r="I1624" s="27"/>
      <x:c r="J1624" s="6"/>
      <x:c r="K1624" s="6"/>
      <x:c r="L1624" s="6"/>
      <x:c r="M1624" s="6"/>
      <x:c r="N1624" s="6"/>
      <x:c r="O1624" s="6"/>
      <x:c r="P1624" s="6"/>
      <x:c r="Q1624" s="6"/>
      <x:c r="R1624"/>
      <x:c r="S1624"/>
      <x:c r="T1624"/>
    </x:row>
    <x:row r="1625" spans="1:20" ht="15.75" x14ac:dyDescent="0.25">
      <x:c r="A1625"/>
      <x:c r="B1625"/>
      <x:c r="C1625"/>
      <x:c r="D1625"/>
      <x:c r="E1625" s="31"/>
      <x:c r="F1625" s="8"/>
      <x:c r="G1625" s="8"/>
      <x:c r="H1625" s="6"/>
      <x:c r="I1625" s="27"/>
      <x:c r="J1625" s="6"/>
      <x:c r="K1625" s="6"/>
      <x:c r="L1625" s="6"/>
      <x:c r="M1625" s="6"/>
      <x:c r="N1625" s="6"/>
      <x:c r="O1625" s="6"/>
      <x:c r="P1625" s="6"/>
      <x:c r="Q1625" s="6"/>
      <x:c r="R1625"/>
      <x:c r="S1625"/>
      <x:c r="T1625"/>
    </x:row>
    <x:row r="1626" spans="1:20" ht="15.75" x14ac:dyDescent="0.25">
      <x:c r="A1626"/>
      <x:c r="B1626"/>
      <x:c r="C1626"/>
      <x:c r="D1626"/>
      <x:c r="E1626" s="31"/>
      <x:c r="F1626" s="8"/>
      <x:c r="G1626" s="8"/>
      <x:c r="H1626" s="6"/>
      <x:c r="I1626" s="27"/>
      <x:c r="J1626" s="6"/>
      <x:c r="K1626" s="6"/>
      <x:c r="L1626" s="6"/>
      <x:c r="M1626" s="6"/>
      <x:c r="N1626" s="6"/>
      <x:c r="O1626" s="6"/>
      <x:c r="P1626" s="6"/>
      <x:c r="Q1626" s="6"/>
      <x:c r="R1626"/>
      <x:c r="S1626"/>
      <x:c r="T1626"/>
    </x:row>
    <x:row r="1627" spans="1:20" ht="15.75" x14ac:dyDescent="0.25">
      <x:c r="A1627"/>
      <x:c r="B1627"/>
      <x:c r="C1627"/>
      <x:c r="D1627"/>
      <x:c r="E1627" s="31"/>
      <x:c r="F1627" s="8"/>
      <x:c r="G1627" s="8"/>
      <x:c r="H1627" s="6"/>
      <x:c r="I1627" s="27"/>
      <x:c r="J1627" s="6"/>
      <x:c r="K1627" s="6"/>
      <x:c r="L1627" s="6"/>
      <x:c r="M1627" s="6"/>
      <x:c r="N1627" s="6"/>
      <x:c r="O1627" s="6"/>
      <x:c r="P1627" s="6"/>
      <x:c r="Q1627" s="6"/>
      <x:c r="R1627"/>
      <x:c r="S1627"/>
      <x:c r="T1627"/>
    </x:row>
    <x:row r="1628" spans="1:20" ht="15.75" x14ac:dyDescent="0.25">
      <x:c r="A1628"/>
      <x:c r="B1628"/>
      <x:c r="C1628"/>
      <x:c r="D1628"/>
      <x:c r="E1628" s="31"/>
      <x:c r="F1628" s="8"/>
      <x:c r="G1628" s="8"/>
      <x:c r="H1628" s="6"/>
      <x:c r="I1628" s="27"/>
      <x:c r="J1628" s="6"/>
      <x:c r="K1628" s="6"/>
      <x:c r="L1628" s="6"/>
      <x:c r="M1628" s="6"/>
      <x:c r="N1628" s="6"/>
      <x:c r="O1628" s="6"/>
      <x:c r="P1628" s="6"/>
      <x:c r="Q1628" s="6"/>
      <x:c r="R1628"/>
      <x:c r="S1628"/>
      <x:c r="T1628"/>
    </x:row>
    <x:row r="1629" spans="1:20" ht="15.75" x14ac:dyDescent="0.25">
      <x:c r="A1629"/>
      <x:c r="B1629"/>
      <x:c r="C1629"/>
      <x:c r="D1629"/>
      <x:c r="E1629" s="31"/>
      <x:c r="F1629" s="8"/>
      <x:c r="G1629" s="8"/>
      <x:c r="H1629" s="6"/>
      <x:c r="I1629" s="27"/>
      <x:c r="J1629" s="6"/>
      <x:c r="K1629" s="6"/>
      <x:c r="L1629" s="6"/>
      <x:c r="M1629" s="6"/>
      <x:c r="N1629" s="6"/>
      <x:c r="O1629" s="6"/>
      <x:c r="P1629" s="6"/>
      <x:c r="Q1629" s="6"/>
      <x:c r="R1629"/>
      <x:c r="S1629"/>
      <x:c r="T1629"/>
    </x:row>
    <x:row r="1630" spans="1:20" ht="15.75" x14ac:dyDescent="0.25">
      <x:c r="A1630"/>
      <x:c r="B1630"/>
      <x:c r="C1630"/>
      <x:c r="D1630"/>
      <x:c r="E1630" s="31"/>
      <x:c r="F1630" s="8"/>
      <x:c r="G1630" s="8"/>
      <x:c r="H1630" s="6"/>
      <x:c r="I1630" s="27"/>
      <x:c r="J1630" s="6"/>
      <x:c r="K1630" s="6"/>
      <x:c r="L1630" s="6"/>
      <x:c r="M1630" s="6"/>
      <x:c r="N1630" s="6"/>
      <x:c r="O1630" s="6"/>
      <x:c r="P1630" s="6"/>
      <x:c r="Q1630" s="6"/>
      <x:c r="R1630"/>
      <x:c r="S1630"/>
      <x:c r="T1630"/>
    </x:row>
    <x:row r="1631" spans="1:20" ht="15.75" x14ac:dyDescent="0.25">
      <x:c r="A1631"/>
      <x:c r="B1631"/>
      <x:c r="C1631"/>
      <x:c r="D1631"/>
      <x:c r="E1631" s="31"/>
      <x:c r="F1631" s="8"/>
      <x:c r="G1631" s="8"/>
      <x:c r="H1631" s="6"/>
      <x:c r="I1631" s="27"/>
      <x:c r="J1631" s="6"/>
      <x:c r="K1631" s="6"/>
      <x:c r="L1631" s="6"/>
      <x:c r="M1631" s="6"/>
      <x:c r="N1631" s="6"/>
      <x:c r="O1631" s="6"/>
      <x:c r="P1631" s="6"/>
      <x:c r="Q1631" s="6"/>
      <x:c r="R1631"/>
      <x:c r="S1631"/>
      <x:c r="T1631"/>
    </x:row>
    <x:row r="1632" spans="1:20" ht="15.75" x14ac:dyDescent="0.25">
      <x:c r="A1632"/>
      <x:c r="B1632"/>
      <x:c r="C1632"/>
      <x:c r="D1632"/>
      <x:c r="E1632" s="31"/>
      <x:c r="F1632" s="8"/>
      <x:c r="G1632" s="8"/>
      <x:c r="H1632" s="6"/>
      <x:c r="I1632" s="27"/>
      <x:c r="J1632" s="6"/>
      <x:c r="K1632" s="6"/>
      <x:c r="L1632" s="6"/>
      <x:c r="M1632" s="6"/>
      <x:c r="N1632" s="6"/>
      <x:c r="O1632" s="6"/>
      <x:c r="P1632" s="6"/>
      <x:c r="Q1632" s="6"/>
      <x:c r="R1632"/>
      <x:c r="S1632"/>
      <x:c r="T1632"/>
    </x:row>
    <x:row r="1633" spans="1:20" ht="15.75" x14ac:dyDescent="0.25">
      <x:c r="A1633"/>
      <x:c r="B1633"/>
      <x:c r="C1633"/>
      <x:c r="D1633"/>
      <x:c r="E1633" s="31"/>
      <x:c r="F1633" s="8"/>
      <x:c r="G1633" s="8"/>
      <x:c r="H1633" s="6"/>
      <x:c r="I1633" s="27"/>
      <x:c r="J1633" s="6"/>
      <x:c r="K1633" s="6"/>
      <x:c r="L1633" s="6"/>
      <x:c r="M1633" s="6"/>
      <x:c r="N1633" s="6"/>
      <x:c r="O1633" s="6"/>
      <x:c r="P1633" s="6"/>
      <x:c r="Q1633" s="6"/>
      <x:c r="R1633"/>
      <x:c r="S1633"/>
      <x:c r="T1633"/>
    </x:row>
    <x:row r="1634" spans="1:20" ht="15.75" x14ac:dyDescent="0.25">
      <x:c r="A1634"/>
      <x:c r="B1634"/>
      <x:c r="C1634"/>
      <x:c r="D1634"/>
      <x:c r="E1634" s="31"/>
      <x:c r="F1634" s="8"/>
      <x:c r="G1634" s="8"/>
      <x:c r="H1634" s="6"/>
      <x:c r="I1634" s="27"/>
      <x:c r="J1634" s="6"/>
      <x:c r="K1634" s="6"/>
      <x:c r="L1634" s="6"/>
      <x:c r="M1634" s="6"/>
      <x:c r="N1634" s="6"/>
      <x:c r="O1634" s="6"/>
      <x:c r="P1634" s="6"/>
      <x:c r="Q1634" s="6"/>
      <x:c r="R1634"/>
      <x:c r="S1634"/>
      <x:c r="T1634"/>
    </x:row>
    <x:row r="1635" spans="1:20" ht="15.75" x14ac:dyDescent="0.25">
      <x:c r="A1635"/>
      <x:c r="B1635"/>
      <x:c r="C1635"/>
      <x:c r="D1635"/>
      <x:c r="E1635" s="31"/>
      <x:c r="F1635" s="8"/>
      <x:c r="G1635" s="8"/>
      <x:c r="H1635" s="6"/>
      <x:c r="I1635" s="27"/>
      <x:c r="J1635" s="6"/>
      <x:c r="K1635" s="6"/>
      <x:c r="L1635" s="6"/>
      <x:c r="M1635" s="6"/>
      <x:c r="N1635" s="6"/>
      <x:c r="O1635" s="6"/>
      <x:c r="P1635" s="6"/>
      <x:c r="Q1635" s="6"/>
      <x:c r="R1635"/>
      <x:c r="S1635"/>
      <x:c r="T1635"/>
    </x:row>
    <x:row r="1636" spans="1:20" ht="15.75" x14ac:dyDescent="0.25">
      <x:c r="A1636"/>
      <x:c r="B1636"/>
      <x:c r="C1636"/>
      <x:c r="D1636"/>
      <x:c r="E1636" s="31"/>
      <x:c r="F1636" s="8"/>
      <x:c r="G1636" s="8"/>
      <x:c r="H1636" s="6"/>
      <x:c r="I1636" s="27"/>
      <x:c r="J1636" s="6"/>
      <x:c r="K1636" s="6"/>
      <x:c r="L1636" s="6"/>
      <x:c r="M1636" s="6"/>
      <x:c r="N1636" s="6"/>
      <x:c r="O1636" s="6"/>
      <x:c r="P1636" s="6"/>
      <x:c r="Q1636" s="6"/>
      <x:c r="R1636"/>
      <x:c r="S1636"/>
      <x:c r="T1636"/>
    </x:row>
    <x:row r="1637" spans="1:20" ht="15.75" x14ac:dyDescent="0.25">
      <x:c r="A1637"/>
      <x:c r="B1637"/>
      <x:c r="C1637"/>
      <x:c r="D1637"/>
      <x:c r="E1637" s="31"/>
      <x:c r="F1637" s="8"/>
      <x:c r="G1637" s="8"/>
      <x:c r="H1637" s="6"/>
      <x:c r="I1637" s="27"/>
      <x:c r="J1637" s="6"/>
      <x:c r="K1637" s="6"/>
      <x:c r="L1637" s="6"/>
      <x:c r="M1637" s="6"/>
      <x:c r="N1637" s="6"/>
      <x:c r="O1637" s="6"/>
      <x:c r="P1637" s="6"/>
      <x:c r="Q1637" s="6"/>
      <x:c r="R1637"/>
      <x:c r="S1637"/>
      <x:c r="T1637"/>
    </x:row>
    <x:row r="1638" spans="1:20" ht="15.75" x14ac:dyDescent="0.25">
      <x:c r="A1638"/>
      <x:c r="B1638"/>
      <x:c r="C1638"/>
      <x:c r="D1638"/>
      <x:c r="E1638" s="31"/>
      <x:c r="F1638" s="8"/>
      <x:c r="G1638" s="8"/>
      <x:c r="H1638" s="6"/>
      <x:c r="I1638" s="27"/>
      <x:c r="J1638" s="6"/>
      <x:c r="K1638" s="6"/>
      <x:c r="L1638" s="6"/>
      <x:c r="M1638" s="6"/>
      <x:c r="N1638" s="6"/>
      <x:c r="O1638" s="6"/>
      <x:c r="P1638" s="6"/>
      <x:c r="Q1638" s="6"/>
      <x:c r="R1638"/>
      <x:c r="S1638"/>
      <x:c r="T1638"/>
    </x:row>
    <x:row r="1639" spans="1:20" ht="15.75" x14ac:dyDescent="0.25">
      <x:c r="A1639"/>
      <x:c r="B1639"/>
      <x:c r="C1639"/>
      <x:c r="D1639"/>
      <x:c r="E1639" s="31"/>
      <x:c r="F1639" s="8"/>
      <x:c r="G1639" s="8"/>
      <x:c r="H1639" s="6"/>
      <x:c r="I1639" s="27"/>
      <x:c r="J1639" s="6"/>
      <x:c r="K1639" s="6"/>
      <x:c r="L1639" s="6"/>
      <x:c r="M1639" s="6"/>
      <x:c r="N1639" s="6"/>
      <x:c r="O1639" s="6"/>
      <x:c r="P1639" s="6"/>
      <x:c r="Q1639" s="6"/>
      <x:c r="R1639"/>
      <x:c r="S1639"/>
      <x:c r="T1639"/>
    </x:row>
    <x:row r="1640" spans="1:20" ht="15.75" x14ac:dyDescent="0.25">
      <x:c r="A1640"/>
      <x:c r="B1640"/>
      <x:c r="C1640"/>
      <x:c r="D1640"/>
      <x:c r="E1640" s="31"/>
      <x:c r="F1640" s="8"/>
      <x:c r="G1640" s="8"/>
      <x:c r="H1640" s="6"/>
      <x:c r="I1640" s="27"/>
      <x:c r="J1640" s="6"/>
      <x:c r="K1640" s="6"/>
      <x:c r="L1640" s="6"/>
      <x:c r="M1640" s="6"/>
      <x:c r="N1640" s="6"/>
      <x:c r="O1640" s="6"/>
      <x:c r="P1640" s="6"/>
      <x:c r="Q1640" s="6"/>
      <x:c r="R1640"/>
      <x:c r="S1640"/>
      <x:c r="T1640"/>
    </x:row>
    <x:row r="1641" spans="1:20" ht="15.75" x14ac:dyDescent="0.25">
      <x:c r="A1641"/>
      <x:c r="B1641"/>
      <x:c r="C1641"/>
      <x:c r="D1641"/>
      <x:c r="E1641" s="31"/>
      <x:c r="F1641" s="8"/>
      <x:c r="G1641" s="8"/>
      <x:c r="H1641" s="6"/>
      <x:c r="I1641" s="27"/>
      <x:c r="J1641" s="6"/>
      <x:c r="K1641" s="6"/>
      <x:c r="L1641" s="6"/>
      <x:c r="M1641" s="6"/>
      <x:c r="N1641" s="6"/>
      <x:c r="O1641" s="6"/>
      <x:c r="P1641" s="6"/>
      <x:c r="Q1641" s="6"/>
      <x:c r="R1641"/>
      <x:c r="S1641"/>
      <x:c r="T1641"/>
    </x:row>
    <x:row r="1642" spans="1:20" ht="15.75" x14ac:dyDescent="0.25">
      <x:c r="A1642"/>
      <x:c r="B1642"/>
      <x:c r="C1642"/>
      <x:c r="D1642"/>
      <x:c r="E1642" s="31"/>
      <x:c r="F1642" s="8"/>
      <x:c r="G1642" s="8"/>
      <x:c r="H1642" s="6"/>
      <x:c r="I1642" s="27"/>
      <x:c r="J1642" s="6"/>
      <x:c r="K1642" s="6"/>
      <x:c r="L1642" s="6"/>
      <x:c r="M1642" s="6"/>
      <x:c r="N1642" s="6"/>
      <x:c r="O1642" s="6"/>
      <x:c r="P1642" s="6"/>
      <x:c r="Q1642" s="6"/>
      <x:c r="R1642"/>
      <x:c r="S1642"/>
      <x:c r="T1642"/>
    </x:row>
    <x:row r="1643" spans="1:20" ht="15.75" x14ac:dyDescent="0.25">
      <x:c r="A1643"/>
      <x:c r="B1643"/>
      <x:c r="C1643"/>
      <x:c r="D1643"/>
      <x:c r="E1643" s="31"/>
      <x:c r="F1643" s="8"/>
      <x:c r="G1643" s="8"/>
      <x:c r="H1643" s="6"/>
      <x:c r="I1643" s="27"/>
      <x:c r="J1643" s="6"/>
      <x:c r="K1643" s="6"/>
      <x:c r="L1643" s="6"/>
      <x:c r="M1643" s="6"/>
      <x:c r="N1643" s="6"/>
      <x:c r="O1643" s="6"/>
      <x:c r="P1643" s="6"/>
      <x:c r="Q1643" s="6"/>
      <x:c r="R1643"/>
      <x:c r="S1643"/>
      <x:c r="T1643"/>
    </x:row>
    <x:row r="1644" spans="1:20" ht="15.75" x14ac:dyDescent="0.25">
      <x:c r="A1644"/>
      <x:c r="B1644"/>
      <x:c r="C1644"/>
      <x:c r="D1644"/>
      <x:c r="E1644" s="31"/>
      <x:c r="F1644" s="8"/>
      <x:c r="G1644" s="8"/>
      <x:c r="H1644" s="6"/>
      <x:c r="I1644" s="27"/>
      <x:c r="J1644" s="6"/>
      <x:c r="K1644" s="6"/>
      <x:c r="L1644" s="6"/>
      <x:c r="M1644" s="6"/>
      <x:c r="N1644" s="6"/>
      <x:c r="O1644" s="6"/>
      <x:c r="P1644" s="6"/>
      <x:c r="Q1644" s="6"/>
      <x:c r="R1644"/>
      <x:c r="S1644"/>
      <x:c r="T1644"/>
    </x:row>
    <x:row r="1645" spans="1:20" ht="15.75" x14ac:dyDescent="0.25">
      <x:c r="A1645"/>
      <x:c r="B1645"/>
      <x:c r="C1645"/>
      <x:c r="D1645"/>
      <x:c r="E1645" s="31"/>
      <x:c r="F1645" s="8"/>
      <x:c r="G1645" s="8"/>
      <x:c r="H1645" s="6"/>
      <x:c r="I1645" s="27"/>
      <x:c r="J1645" s="6"/>
      <x:c r="K1645" s="6"/>
      <x:c r="L1645" s="6"/>
      <x:c r="M1645" s="6"/>
      <x:c r="N1645" s="6"/>
      <x:c r="O1645" s="6"/>
      <x:c r="P1645" s="6"/>
      <x:c r="Q1645" s="6"/>
      <x:c r="R1645"/>
      <x:c r="S1645"/>
      <x:c r="T1645"/>
    </x:row>
    <x:row r="1646" spans="1:20" ht="15.75" x14ac:dyDescent="0.25">
      <x:c r="A1646"/>
      <x:c r="B1646"/>
      <x:c r="C1646"/>
      <x:c r="D1646"/>
      <x:c r="E1646" s="31"/>
      <x:c r="F1646" s="8"/>
      <x:c r="G1646" s="8"/>
      <x:c r="H1646" s="6"/>
      <x:c r="I1646" s="27"/>
      <x:c r="J1646" s="6"/>
      <x:c r="K1646" s="6"/>
      <x:c r="L1646" s="6"/>
      <x:c r="M1646" s="6"/>
      <x:c r="N1646" s="6"/>
      <x:c r="O1646" s="6"/>
      <x:c r="P1646" s="6"/>
      <x:c r="Q1646" s="6"/>
      <x:c r="R1646"/>
      <x:c r="S1646"/>
      <x:c r="T1646"/>
    </x:row>
    <x:row r="1647" spans="1:20" ht="15.75" x14ac:dyDescent="0.25">
      <x:c r="A1647"/>
      <x:c r="B1647"/>
      <x:c r="C1647"/>
      <x:c r="D1647"/>
      <x:c r="E1647" s="31"/>
      <x:c r="F1647" s="8"/>
      <x:c r="G1647" s="8"/>
      <x:c r="H1647" s="6"/>
      <x:c r="I1647" s="27"/>
      <x:c r="J1647" s="6"/>
      <x:c r="K1647" s="6"/>
      <x:c r="L1647" s="6"/>
      <x:c r="M1647" s="6"/>
      <x:c r="N1647" s="6"/>
      <x:c r="O1647" s="6"/>
      <x:c r="P1647" s="6"/>
      <x:c r="Q1647" s="6"/>
      <x:c r="R1647"/>
      <x:c r="S1647"/>
      <x:c r="T1647"/>
    </x:row>
    <x:row r="1648" spans="1:20" ht="15.75" x14ac:dyDescent="0.25">
      <x:c r="A1648"/>
      <x:c r="B1648"/>
      <x:c r="C1648"/>
      <x:c r="D1648"/>
      <x:c r="E1648" s="31"/>
      <x:c r="F1648" s="8"/>
      <x:c r="G1648" s="8"/>
      <x:c r="H1648" s="6"/>
      <x:c r="I1648" s="27"/>
      <x:c r="J1648" s="6"/>
      <x:c r="K1648" s="6"/>
      <x:c r="L1648" s="6"/>
      <x:c r="M1648" s="6"/>
      <x:c r="N1648" s="6"/>
      <x:c r="O1648" s="6"/>
      <x:c r="P1648" s="6"/>
      <x:c r="Q1648" s="6"/>
      <x:c r="R1648"/>
      <x:c r="S1648"/>
      <x:c r="T1648"/>
    </x:row>
    <x:row r="1649" spans="1:20" ht="15.75" x14ac:dyDescent="0.25">
      <x:c r="A1649"/>
      <x:c r="B1649"/>
      <x:c r="C1649"/>
      <x:c r="D1649"/>
      <x:c r="E1649" s="31"/>
      <x:c r="F1649" s="8"/>
      <x:c r="G1649" s="8"/>
      <x:c r="H1649" s="6"/>
      <x:c r="I1649" s="27"/>
      <x:c r="J1649" s="6"/>
      <x:c r="K1649" s="6"/>
      <x:c r="L1649" s="6"/>
      <x:c r="M1649" s="6"/>
      <x:c r="N1649" s="6"/>
      <x:c r="O1649" s="6"/>
      <x:c r="P1649" s="6"/>
      <x:c r="Q1649" s="6"/>
      <x:c r="R1649"/>
      <x:c r="S1649"/>
      <x:c r="T1649"/>
    </x:row>
    <x:row r="1650" spans="1:20" ht="15.75" x14ac:dyDescent="0.25">
      <x:c r="A1650"/>
      <x:c r="B1650"/>
      <x:c r="C1650"/>
      <x:c r="D1650"/>
      <x:c r="E1650" s="31"/>
      <x:c r="F1650" s="8"/>
      <x:c r="G1650" s="8"/>
      <x:c r="H1650" s="6"/>
      <x:c r="I1650" s="27"/>
      <x:c r="J1650" s="6"/>
      <x:c r="K1650" s="6"/>
      <x:c r="L1650" s="6"/>
      <x:c r="M1650" s="6"/>
      <x:c r="N1650" s="6"/>
      <x:c r="O1650" s="6"/>
      <x:c r="P1650" s="6"/>
      <x:c r="Q1650" s="6"/>
      <x:c r="R1650"/>
      <x:c r="S1650"/>
      <x:c r="T1650"/>
    </x:row>
    <x:row r="1651" spans="1:20" ht="15.75" x14ac:dyDescent="0.25">
      <x:c r="A1651"/>
      <x:c r="B1651"/>
      <x:c r="C1651"/>
      <x:c r="D1651"/>
      <x:c r="E1651" s="31"/>
      <x:c r="F1651" s="8"/>
      <x:c r="G1651" s="8"/>
      <x:c r="H1651" s="6"/>
      <x:c r="I1651" s="27"/>
      <x:c r="J1651" s="6"/>
      <x:c r="K1651" s="6"/>
      <x:c r="L1651" s="6"/>
      <x:c r="M1651" s="6"/>
      <x:c r="N1651" s="6"/>
      <x:c r="O1651" s="6"/>
      <x:c r="P1651" s="6"/>
      <x:c r="Q1651" s="6"/>
      <x:c r="R1651"/>
      <x:c r="S1651"/>
      <x:c r="T1651"/>
    </x:row>
    <x:row r="1652" spans="1:20" ht="15.75" x14ac:dyDescent="0.25">
      <x:c r="A1652"/>
      <x:c r="B1652"/>
      <x:c r="C1652"/>
      <x:c r="D1652"/>
      <x:c r="E1652" s="31"/>
      <x:c r="F1652" s="8"/>
      <x:c r="G1652" s="8"/>
      <x:c r="H1652" s="6"/>
      <x:c r="I1652" s="27"/>
      <x:c r="J1652" s="6"/>
      <x:c r="K1652" s="6"/>
      <x:c r="L1652" s="6"/>
      <x:c r="M1652" s="6"/>
      <x:c r="N1652" s="6"/>
      <x:c r="O1652" s="6"/>
      <x:c r="P1652" s="6"/>
      <x:c r="Q1652" s="6"/>
      <x:c r="R1652"/>
      <x:c r="S1652"/>
      <x:c r="T1652"/>
    </x:row>
    <x:row r="1653" spans="1:20" ht="15.75" x14ac:dyDescent="0.25">
      <x:c r="A1653"/>
      <x:c r="B1653"/>
      <x:c r="C1653"/>
      <x:c r="D1653"/>
      <x:c r="E1653" s="31"/>
      <x:c r="F1653" s="8"/>
      <x:c r="G1653" s="8"/>
      <x:c r="H1653" s="6"/>
      <x:c r="I1653" s="27"/>
      <x:c r="J1653" s="6"/>
      <x:c r="K1653" s="6"/>
      <x:c r="L1653" s="6"/>
      <x:c r="M1653" s="6"/>
      <x:c r="N1653" s="6"/>
      <x:c r="O1653" s="6"/>
      <x:c r="P1653" s="6"/>
      <x:c r="Q1653" s="6"/>
      <x:c r="R1653"/>
      <x:c r="S1653"/>
      <x:c r="T1653"/>
    </x:row>
    <x:row r="1654" spans="1:20" ht="15.75" x14ac:dyDescent="0.25">
      <x:c r="A1654"/>
      <x:c r="B1654"/>
      <x:c r="C1654"/>
      <x:c r="D1654"/>
      <x:c r="E1654" s="31"/>
      <x:c r="F1654" s="8"/>
      <x:c r="G1654" s="8"/>
      <x:c r="H1654" s="6"/>
      <x:c r="I1654" s="27"/>
      <x:c r="J1654" s="6"/>
      <x:c r="K1654" s="6"/>
      <x:c r="L1654" s="6"/>
      <x:c r="M1654" s="6"/>
      <x:c r="N1654" s="6"/>
      <x:c r="O1654" s="6"/>
      <x:c r="P1654" s="6"/>
      <x:c r="Q1654" s="6"/>
      <x:c r="R1654"/>
      <x:c r="S1654"/>
      <x:c r="T1654"/>
    </x:row>
    <x:row r="1655" spans="1:20" ht="15.75" x14ac:dyDescent="0.25">
      <x:c r="A1655"/>
      <x:c r="B1655"/>
      <x:c r="C1655"/>
      <x:c r="D1655"/>
      <x:c r="E1655" s="31"/>
      <x:c r="F1655" s="8"/>
      <x:c r="G1655" s="8"/>
      <x:c r="H1655" s="6"/>
      <x:c r="I1655" s="27"/>
      <x:c r="J1655" s="6"/>
      <x:c r="K1655" s="6"/>
      <x:c r="L1655" s="6"/>
      <x:c r="M1655" s="6"/>
      <x:c r="N1655" s="6"/>
      <x:c r="O1655" s="6"/>
      <x:c r="P1655" s="6"/>
      <x:c r="Q1655" s="6"/>
      <x:c r="R1655"/>
      <x:c r="S1655"/>
      <x:c r="T1655"/>
    </x:row>
    <x:row r="1656" spans="1:20" ht="15.75" x14ac:dyDescent="0.25">
      <x:c r="A1656"/>
      <x:c r="B1656"/>
      <x:c r="C1656"/>
      <x:c r="D1656"/>
      <x:c r="E1656" s="31"/>
      <x:c r="F1656" s="8"/>
      <x:c r="G1656" s="8"/>
      <x:c r="H1656" s="6"/>
      <x:c r="I1656" s="27"/>
      <x:c r="J1656" s="6"/>
      <x:c r="K1656" s="6"/>
      <x:c r="L1656" s="6"/>
      <x:c r="M1656" s="6"/>
      <x:c r="N1656" s="6"/>
      <x:c r="O1656" s="6"/>
      <x:c r="P1656" s="6"/>
      <x:c r="Q1656" s="6"/>
      <x:c r="R1656"/>
      <x:c r="S1656"/>
      <x:c r="T1656"/>
    </x:row>
    <x:row r="1657" spans="1:20" ht="15.75" x14ac:dyDescent="0.25">
      <x:c r="A1657"/>
      <x:c r="B1657"/>
      <x:c r="C1657"/>
      <x:c r="D1657"/>
      <x:c r="E1657" s="31"/>
      <x:c r="F1657" s="8"/>
      <x:c r="G1657" s="8"/>
      <x:c r="H1657" s="6"/>
      <x:c r="I1657" s="27"/>
      <x:c r="J1657" s="6"/>
      <x:c r="K1657" s="6"/>
      <x:c r="L1657" s="6"/>
      <x:c r="M1657" s="6"/>
      <x:c r="N1657" s="6"/>
      <x:c r="O1657" s="6"/>
      <x:c r="P1657" s="6"/>
      <x:c r="Q1657" s="6"/>
      <x:c r="R1657"/>
      <x:c r="S1657"/>
      <x:c r="T1657"/>
    </x:row>
    <x:row r="1658" spans="1:20" ht="15.75" x14ac:dyDescent="0.25">
      <x:c r="A1658"/>
      <x:c r="B1658"/>
      <x:c r="C1658"/>
      <x:c r="D1658"/>
      <x:c r="E1658" s="31"/>
      <x:c r="F1658" s="8"/>
      <x:c r="G1658" s="8"/>
      <x:c r="H1658" s="6"/>
      <x:c r="I1658" s="27"/>
      <x:c r="J1658" s="6"/>
      <x:c r="K1658" s="6"/>
      <x:c r="L1658" s="6"/>
      <x:c r="M1658" s="6"/>
      <x:c r="N1658" s="6"/>
      <x:c r="O1658" s="6"/>
      <x:c r="P1658" s="6"/>
      <x:c r="Q1658" s="6"/>
      <x:c r="R1658"/>
      <x:c r="S1658"/>
      <x:c r="T1658"/>
    </x:row>
    <x:row r="1659" spans="1:20" ht="15.75" x14ac:dyDescent="0.25">
      <x:c r="A1659"/>
      <x:c r="B1659"/>
      <x:c r="C1659"/>
      <x:c r="D1659"/>
      <x:c r="E1659" s="31"/>
      <x:c r="F1659" s="8"/>
      <x:c r="G1659" s="8"/>
      <x:c r="H1659" s="6"/>
      <x:c r="I1659" s="27"/>
      <x:c r="J1659" s="6"/>
      <x:c r="K1659" s="6"/>
      <x:c r="L1659" s="6"/>
      <x:c r="M1659" s="6"/>
      <x:c r="N1659" s="6"/>
      <x:c r="O1659" s="6"/>
      <x:c r="P1659" s="6"/>
      <x:c r="Q1659" s="6"/>
      <x:c r="R1659"/>
      <x:c r="S1659"/>
      <x:c r="T1659"/>
    </x:row>
    <x:row r="1660" spans="1:20" ht="15.75" x14ac:dyDescent="0.25">
      <x:c r="A1660"/>
      <x:c r="B1660"/>
      <x:c r="C1660"/>
      <x:c r="D1660"/>
      <x:c r="E1660" s="31"/>
      <x:c r="F1660" s="8"/>
      <x:c r="G1660" s="8"/>
      <x:c r="H1660" s="6"/>
      <x:c r="I1660" s="27"/>
      <x:c r="J1660" s="6"/>
      <x:c r="K1660" s="6"/>
      <x:c r="L1660" s="6"/>
      <x:c r="M1660" s="6"/>
      <x:c r="N1660" s="6"/>
      <x:c r="O1660" s="6"/>
      <x:c r="P1660" s="6"/>
      <x:c r="Q1660" s="6"/>
      <x:c r="R1660"/>
      <x:c r="S1660"/>
      <x:c r="T1660"/>
    </x:row>
    <x:row r="1661" spans="1:20" ht="15.75" x14ac:dyDescent="0.25">
      <x:c r="A1661"/>
      <x:c r="B1661"/>
      <x:c r="C1661"/>
      <x:c r="D1661"/>
      <x:c r="E1661" s="31"/>
      <x:c r="F1661" s="8"/>
      <x:c r="G1661" s="8"/>
      <x:c r="H1661" s="6"/>
      <x:c r="I1661" s="27"/>
      <x:c r="J1661" s="6"/>
      <x:c r="K1661" s="6"/>
      <x:c r="L1661" s="6"/>
      <x:c r="M1661" s="6"/>
      <x:c r="N1661" s="6"/>
      <x:c r="O1661" s="6"/>
      <x:c r="P1661" s="6"/>
      <x:c r="Q1661" s="6"/>
      <x:c r="R1661"/>
      <x:c r="S1661"/>
      <x:c r="T1661"/>
    </x:row>
    <x:row r="1662" spans="1:20" ht="15.75" x14ac:dyDescent="0.25">
      <x:c r="A1662"/>
      <x:c r="B1662"/>
      <x:c r="C1662"/>
      <x:c r="D1662"/>
      <x:c r="E1662" s="31"/>
      <x:c r="F1662" s="8"/>
      <x:c r="G1662" s="8"/>
      <x:c r="H1662" s="6"/>
      <x:c r="I1662" s="27"/>
      <x:c r="J1662" s="6"/>
      <x:c r="K1662" s="6"/>
      <x:c r="L1662" s="6"/>
      <x:c r="M1662" s="6"/>
      <x:c r="N1662" s="6"/>
      <x:c r="O1662" s="6"/>
      <x:c r="P1662" s="6"/>
      <x:c r="Q1662" s="6"/>
      <x:c r="R1662"/>
      <x:c r="S1662"/>
      <x:c r="T1662"/>
    </x:row>
    <x:row r="1663" spans="1:20" ht="15.75" x14ac:dyDescent="0.25">
      <x:c r="A1663"/>
      <x:c r="B1663"/>
      <x:c r="C1663"/>
      <x:c r="D1663"/>
      <x:c r="E1663" s="31"/>
      <x:c r="F1663" s="8"/>
      <x:c r="G1663" s="8"/>
      <x:c r="H1663" s="6"/>
      <x:c r="I1663" s="27"/>
      <x:c r="J1663" s="6"/>
      <x:c r="K1663" s="6"/>
      <x:c r="L1663" s="6"/>
      <x:c r="M1663" s="6"/>
      <x:c r="N1663" s="6"/>
      <x:c r="O1663" s="6"/>
      <x:c r="P1663" s="6"/>
      <x:c r="Q1663" s="6"/>
      <x:c r="R1663"/>
      <x:c r="S1663"/>
      <x:c r="T1663"/>
    </x:row>
    <x:row r="1664" spans="1:20" ht="15.75" x14ac:dyDescent="0.25">
      <x:c r="A1664"/>
      <x:c r="B1664"/>
      <x:c r="C1664"/>
      <x:c r="D1664"/>
      <x:c r="E1664" s="31"/>
      <x:c r="F1664" s="8"/>
      <x:c r="G1664" s="8"/>
      <x:c r="H1664" s="6"/>
      <x:c r="I1664" s="27"/>
      <x:c r="J1664" s="6"/>
      <x:c r="K1664" s="6"/>
      <x:c r="L1664" s="6"/>
      <x:c r="M1664" s="6"/>
      <x:c r="N1664" s="6"/>
      <x:c r="O1664" s="6"/>
      <x:c r="P1664" s="6"/>
      <x:c r="Q1664" s="6"/>
      <x:c r="R1664"/>
      <x:c r="S1664"/>
      <x:c r="T1664"/>
    </x:row>
    <x:row r="1665" spans="1:20" ht="15.75" x14ac:dyDescent="0.25">
      <x:c r="A1665"/>
      <x:c r="B1665"/>
      <x:c r="C1665"/>
      <x:c r="D1665"/>
      <x:c r="E1665" s="31"/>
      <x:c r="F1665" s="8"/>
      <x:c r="G1665" s="8"/>
      <x:c r="H1665" s="6"/>
      <x:c r="I1665" s="27"/>
      <x:c r="J1665" s="6"/>
      <x:c r="K1665" s="6"/>
      <x:c r="L1665" s="6"/>
      <x:c r="M1665" s="6"/>
      <x:c r="N1665" s="6"/>
      <x:c r="O1665" s="6"/>
      <x:c r="P1665" s="6"/>
      <x:c r="Q1665" s="6"/>
      <x:c r="R1665"/>
      <x:c r="S1665"/>
      <x:c r="T1665"/>
    </x:row>
    <x:row r="1666" spans="1:20" ht="15.75" x14ac:dyDescent="0.25">
      <x:c r="A1666"/>
      <x:c r="B1666"/>
      <x:c r="C1666"/>
      <x:c r="D1666"/>
      <x:c r="E1666" s="31"/>
      <x:c r="F1666" s="8"/>
      <x:c r="G1666" s="8"/>
      <x:c r="H1666" s="6"/>
      <x:c r="I1666" s="27"/>
      <x:c r="J1666" s="6"/>
      <x:c r="K1666" s="6"/>
      <x:c r="L1666" s="6"/>
      <x:c r="M1666" s="6"/>
      <x:c r="N1666" s="6"/>
      <x:c r="O1666" s="6"/>
      <x:c r="P1666" s="6"/>
      <x:c r="Q1666" s="6"/>
      <x:c r="R1666"/>
      <x:c r="S1666"/>
      <x:c r="T1666"/>
    </x:row>
    <x:row r="1667" spans="1:20" ht="15.75" x14ac:dyDescent="0.25">
      <x:c r="A1667"/>
      <x:c r="B1667"/>
      <x:c r="C1667"/>
      <x:c r="D1667"/>
      <x:c r="E1667" s="31"/>
      <x:c r="F1667" s="8"/>
      <x:c r="G1667" s="8"/>
      <x:c r="H1667" s="6"/>
      <x:c r="I1667" s="27"/>
      <x:c r="J1667" s="6"/>
      <x:c r="K1667" s="6"/>
      <x:c r="L1667" s="6"/>
      <x:c r="M1667" s="6"/>
      <x:c r="N1667" s="6"/>
      <x:c r="O1667" s="6"/>
      <x:c r="P1667" s="6"/>
      <x:c r="Q1667" s="6"/>
      <x:c r="R1667"/>
      <x:c r="S1667"/>
      <x:c r="T1667"/>
    </x:row>
    <x:row r="1668" spans="1:20" ht="15.75" x14ac:dyDescent="0.25">
      <x:c r="A1668"/>
      <x:c r="B1668"/>
      <x:c r="C1668"/>
      <x:c r="D1668"/>
      <x:c r="E1668" s="31"/>
      <x:c r="F1668" s="8"/>
      <x:c r="G1668" s="8"/>
      <x:c r="H1668" s="6"/>
      <x:c r="I1668" s="27"/>
      <x:c r="J1668" s="6"/>
      <x:c r="K1668" s="6"/>
      <x:c r="L1668" s="6"/>
      <x:c r="M1668" s="6"/>
      <x:c r="N1668" s="6"/>
      <x:c r="O1668" s="6"/>
      <x:c r="P1668" s="6"/>
      <x:c r="Q1668" s="6"/>
      <x:c r="R1668"/>
      <x:c r="S1668"/>
      <x:c r="T1668"/>
    </x:row>
    <x:row r="1669" spans="1:20" ht="15.75" x14ac:dyDescent="0.25">
      <x:c r="A1669"/>
      <x:c r="B1669"/>
      <x:c r="C1669"/>
      <x:c r="D1669"/>
      <x:c r="E1669" s="31"/>
      <x:c r="F1669" s="8"/>
      <x:c r="G1669" s="8"/>
      <x:c r="H1669" s="6"/>
      <x:c r="I1669" s="27"/>
      <x:c r="J1669" s="6"/>
      <x:c r="K1669" s="6"/>
      <x:c r="L1669" s="6"/>
      <x:c r="M1669" s="6"/>
      <x:c r="N1669" s="6"/>
      <x:c r="O1669" s="6"/>
      <x:c r="P1669" s="6"/>
      <x:c r="Q1669" s="6"/>
      <x:c r="R1669"/>
      <x:c r="S1669"/>
      <x:c r="T1669"/>
    </x:row>
    <x:row r="1670" spans="1:20" ht="15.75" x14ac:dyDescent="0.25">
      <x:c r="A1670"/>
      <x:c r="B1670"/>
      <x:c r="C1670"/>
      <x:c r="D1670"/>
      <x:c r="E1670" s="31"/>
      <x:c r="F1670" s="8"/>
      <x:c r="G1670" s="8"/>
      <x:c r="H1670" s="6"/>
      <x:c r="I1670" s="27"/>
      <x:c r="J1670" s="6"/>
      <x:c r="K1670" s="6"/>
      <x:c r="L1670" s="6"/>
      <x:c r="M1670" s="6"/>
      <x:c r="N1670" s="6"/>
      <x:c r="O1670" s="6"/>
      <x:c r="P1670" s="6"/>
      <x:c r="Q1670" s="6"/>
      <x:c r="R1670"/>
      <x:c r="S1670"/>
      <x:c r="T1670"/>
    </x:row>
    <x:row r="1671" spans="1:20" ht="15.75" x14ac:dyDescent="0.25">
      <x:c r="A1671"/>
      <x:c r="B1671"/>
      <x:c r="C1671"/>
      <x:c r="D1671"/>
      <x:c r="E1671" s="31"/>
      <x:c r="F1671" s="8"/>
      <x:c r="G1671" s="8"/>
      <x:c r="H1671" s="6"/>
      <x:c r="I1671" s="27"/>
      <x:c r="J1671" s="6"/>
      <x:c r="K1671" s="6"/>
      <x:c r="L1671" s="6"/>
      <x:c r="M1671" s="6"/>
      <x:c r="N1671" s="6"/>
      <x:c r="O1671" s="6"/>
      <x:c r="P1671" s="6"/>
      <x:c r="Q1671" s="6"/>
      <x:c r="R1671"/>
      <x:c r="S1671"/>
      <x:c r="T1671"/>
    </x:row>
    <x:row r="1672" spans="1:20" ht="15.75" x14ac:dyDescent="0.25">
      <x:c r="A1672"/>
      <x:c r="B1672"/>
      <x:c r="C1672"/>
      <x:c r="D1672"/>
      <x:c r="E1672" s="31"/>
      <x:c r="F1672" s="8"/>
      <x:c r="G1672" s="8"/>
      <x:c r="H1672" s="6"/>
      <x:c r="I1672" s="27"/>
      <x:c r="J1672" s="6"/>
      <x:c r="K1672" s="6"/>
      <x:c r="L1672" s="6"/>
      <x:c r="M1672" s="6"/>
      <x:c r="N1672" s="6"/>
      <x:c r="O1672" s="6"/>
      <x:c r="P1672" s="6"/>
      <x:c r="Q1672" s="6"/>
      <x:c r="R1672"/>
      <x:c r="S1672"/>
      <x:c r="T1672"/>
    </x:row>
    <x:row r="1673" spans="1:20" ht="15.75" x14ac:dyDescent="0.25">
      <x:c r="A1673"/>
      <x:c r="B1673"/>
      <x:c r="C1673"/>
      <x:c r="D1673"/>
      <x:c r="E1673" s="31"/>
      <x:c r="F1673" s="8"/>
      <x:c r="G1673" s="8"/>
      <x:c r="H1673" s="6"/>
      <x:c r="I1673" s="27"/>
      <x:c r="J1673" s="6"/>
      <x:c r="K1673" s="6"/>
      <x:c r="L1673" s="6"/>
      <x:c r="M1673" s="6"/>
      <x:c r="N1673" s="6"/>
      <x:c r="O1673" s="6"/>
      <x:c r="P1673" s="6"/>
      <x:c r="Q1673" s="6"/>
      <x:c r="R1673"/>
      <x:c r="S1673"/>
      <x:c r="T1673"/>
    </x:row>
    <x:row r="1674" spans="1:20" ht="15.75" x14ac:dyDescent="0.25">
      <x:c r="A1674"/>
      <x:c r="B1674"/>
      <x:c r="C1674"/>
      <x:c r="D1674"/>
      <x:c r="E1674" s="31"/>
      <x:c r="F1674" s="8"/>
      <x:c r="G1674" s="8"/>
      <x:c r="H1674" s="6"/>
      <x:c r="I1674" s="27"/>
      <x:c r="J1674" s="6"/>
      <x:c r="K1674" s="6"/>
      <x:c r="L1674" s="6"/>
      <x:c r="M1674" s="6"/>
      <x:c r="N1674" s="6"/>
      <x:c r="O1674" s="6"/>
      <x:c r="P1674" s="6"/>
      <x:c r="Q1674" s="6"/>
      <x:c r="R1674"/>
      <x:c r="S1674"/>
      <x:c r="T1674"/>
    </x:row>
    <x:row r="1675" spans="1:20" ht="15.75" x14ac:dyDescent="0.25">
      <x:c r="A1675"/>
      <x:c r="B1675"/>
      <x:c r="C1675"/>
      <x:c r="D1675"/>
      <x:c r="E1675" s="31"/>
      <x:c r="F1675" s="8"/>
      <x:c r="G1675" s="8"/>
      <x:c r="H1675" s="6"/>
      <x:c r="I1675" s="27"/>
      <x:c r="J1675" s="6"/>
      <x:c r="K1675" s="6"/>
      <x:c r="L1675" s="6"/>
      <x:c r="M1675" s="6"/>
      <x:c r="N1675" s="6"/>
      <x:c r="O1675" s="6"/>
      <x:c r="P1675" s="6"/>
      <x:c r="Q1675" s="6"/>
      <x:c r="R1675"/>
      <x:c r="S1675"/>
      <x:c r="T1675"/>
    </x:row>
    <x:row r="1676" spans="1:20" ht="15.75" x14ac:dyDescent="0.25">
      <x:c r="A1676"/>
      <x:c r="B1676"/>
      <x:c r="C1676"/>
      <x:c r="D1676"/>
      <x:c r="E1676" s="31"/>
      <x:c r="F1676" s="8"/>
      <x:c r="G1676" s="8"/>
      <x:c r="H1676" s="6"/>
      <x:c r="I1676" s="27"/>
      <x:c r="J1676" s="6"/>
      <x:c r="K1676" s="6"/>
      <x:c r="L1676" s="6"/>
      <x:c r="M1676" s="6"/>
      <x:c r="N1676" s="6"/>
      <x:c r="O1676" s="6"/>
      <x:c r="P1676" s="6"/>
      <x:c r="Q1676" s="6"/>
      <x:c r="R1676"/>
      <x:c r="S1676"/>
      <x:c r="T1676"/>
    </x:row>
    <x:row r="1677" spans="1:20" ht="15.75" x14ac:dyDescent="0.25">
      <x:c r="A1677"/>
      <x:c r="B1677"/>
      <x:c r="C1677"/>
      <x:c r="D1677"/>
      <x:c r="E1677" s="31"/>
      <x:c r="F1677" s="8"/>
      <x:c r="G1677" s="8"/>
      <x:c r="H1677" s="6"/>
      <x:c r="I1677" s="27"/>
      <x:c r="J1677" s="6"/>
      <x:c r="K1677" s="6"/>
      <x:c r="L1677" s="6"/>
      <x:c r="M1677" s="6"/>
      <x:c r="N1677" s="6"/>
      <x:c r="O1677" s="6"/>
      <x:c r="P1677" s="6"/>
      <x:c r="Q1677" s="6"/>
      <x:c r="R1677"/>
      <x:c r="S1677"/>
      <x:c r="T1677"/>
    </x:row>
    <x:row r="1678" spans="1:20" ht="15.75" x14ac:dyDescent="0.25">
      <x:c r="A1678"/>
      <x:c r="B1678"/>
      <x:c r="C1678"/>
      <x:c r="D1678"/>
      <x:c r="E1678" s="31"/>
      <x:c r="F1678" s="8"/>
      <x:c r="G1678" s="8"/>
      <x:c r="H1678" s="6"/>
      <x:c r="I1678" s="27"/>
      <x:c r="J1678" s="6"/>
      <x:c r="K1678" s="6"/>
      <x:c r="L1678" s="6"/>
      <x:c r="M1678" s="6"/>
      <x:c r="N1678" s="6"/>
      <x:c r="O1678" s="6"/>
      <x:c r="P1678" s="6"/>
      <x:c r="Q1678" s="6"/>
      <x:c r="R1678"/>
      <x:c r="S1678"/>
      <x:c r="T1678"/>
    </x:row>
    <x:row r="1679" spans="1:20" ht="15.75" x14ac:dyDescent="0.25">
      <x:c r="A1679"/>
      <x:c r="B1679"/>
      <x:c r="C1679"/>
      <x:c r="D1679"/>
      <x:c r="E1679" s="31"/>
      <x:c r="F1679" s="8"/>
      <x:c r="G1679" s="8"/>
      <x:c r="H1679" s="6"/>
      <x:c r="I1679" s="27"/>
      <x:c r="J1679" s="6"/>
      <x:c r="K1679" s="6"/>
      <x:c r="L1679" s="6"/>
      <x:c r="M1679" s="6"/>
      <x:c r="N1679" s="6"/>
      <x:c r="O1679" s="6"/>
      <x:c r="P1679" s="6"/>
      <x:c r="Q1679" s="6"/>
      <x:c r="R1679"/>
      <x:c r="S1679"/>
      <x:c r="T1679"/>
    </x:row>
    <x:row r="1680" spans="1:20" ht="15.75" x14ac:dyDescent="0.25">
      <x:c r="A1680"/>
      <x:c r="B1680"/>
      <x:c r="C1680"/>
      <x:c r="D1680"/>
      <x:c r="E1680" s="31"/>
      <x:c r="F1680" s="8"/>
      <x:c r="G1680" s="8"/>
      <x:c r="H1680" s="6"/>
      <x:c r="I1680" s="27"/>
      <x:c r="J1680" s="6"/>
      <x:c r="K1680" s="6"/>
      <x:c r="L1680" s="6"/>
      <x:c r="M1680" s="6"/>
      <x:c r="N1680" s="6"/>
      <x:c r="O1680" s="6"/>
      <x:c r="P1680" s="6"/>
      <x:c r="Q1680" s="6"/>
      <x:c r="R1680"/>
      <x:c r="S1680"/>
      <x:c r="T1680"/>
    </x:row>
    <x:row r="1681" spans="1:20" ht="15.75" x14ac:dyDescent="0.25">
      <x:c r="A1681"/>
      <x:c r="B1681"/>
      <x:c r="C1681"/>
      <x:c r="D1681"/>
      <x:c r="E1681" s="31"/>
      <x:c r="F1681" s="8"/>
      <x:c r="G1681" s="8"/>
      <x:c r="H1681" s="6"/>
      <x:c r="I1681" s="27"/>
      <x:c r="J1681" s="6"/>
      <x:c r="K1681" s="6"/>
      <x:c r="L1681" s="6"/>
      <x:c r="M1681" s="6"/>
      <x:c r="N1681" s="6"/>
      <x:c r="O1681" s="6"/>
      <x:c r="P1681" s="6"/>
      <x:c r="Q1681" s="6"/>
      <x:c r="R1681"/>
      <x:c r="S1681"/>
      <x:c r="T1681"/>
    </x:row>
    <x:row r="1682" spans="1:20" ht="15.75" x14ac:dyDescent="0.25">
      <x:c r="A1682"/>
      <x:c r="B1682"/>
      <x:c r="C1682"/>
      <x:c r="D1682"/>
      <x:c r="E1682" s="31"/>
      <x:c r="F1682" s="8"/>
      <x:c r="G1682" s="8"/>
      <x:c r="H1682" s="6"/>
      <x:c r="I1682" s="27"/>
      <x:c r="J1682" s="6"/>
      <x:c r="K1682" s="6"/>
      <x:c r="L1682" s="6"/>
      <x:c r="M1682" s="6"/>
      <x:c r="N1682" s="6"/>
      <x:c r="O1682" s="6"/>
      <x:c r="P1682" s="6"/>
      <x:c r="Q1682" s="6"/>
      <x:c r="R1682"/>
      <x:c r="S1682"/>
      <x:c r="T1682"/>
    </x:row>
    <x:row r="1683" spans="1:20" ht="15.75" x14ac:dyDescent="0.25">
      <x:c r="A1683"/>
      <x:c r="B1683"/>
      <x:c r="C1683"/>
      <x:c r="D1683"/>
      <x:c r="E1683" s="31"/>
      <x:c r="F1683" s="8"/>
      <x:c r="G1683" s="8"/>
      <x:c r="H1683" s="6"/>
      <x:c r="I1683" s="27"/>
      <x:c r="J1683" s="6"/>
      <x:c r="K1683" s="6"/>
      <x:c r="L1683" s="6"/>
      <x:c r="M1683" s="6"/>
      <x:c r="N1683" s="6"/>
      <x:c r="O1683" s="6"/>
      <x:c r="P1683" s="6"/>
      <x:c r="Q1683" s="6"/>
      <x:c r="R1683"/>
      <x:c r="S1683"/>
      <x:c r="T1683"/>
    </x:row>
    <x:row r="1684" spans="1:20" ht="15.75" x14ac:dyDescent="0.25">
      <x:c r="A1684"/>
      <x:c r="B1684"/>
      <x:c r="C1684"/>
      <x:c r="D1684"/>
      <x:c r="E1684" s="31"/>
      <x:c r="F1684" s="8"/>
      <x:c r="G1684" s="8"/>
      <x:c r="H1684" s="6"/>
      <x:c r="I1684" s="27"/>
      <x:c r="J1684" s="6"/>
      <x:c r="K1684" s="6"/>
      <x:c r="L1684" s="6"/>
      <x:c r="M1684" s="6"/>
      <x:c r="N1684" s="6"/>
      <x:c r="O1684" s="6"/>
      <x:c r="P1684" s="6"/>
      <x:c r="Q1684" s="6"/>
      <x:c r="R1684"/>
      <x:c r="S1684"/>
      <x:c r="T1684"/>
    </x:row>
    <x:row r="1685" spans="1:20" ht="15.75" x14ac:dyDescent="0.25">
      <x:c r="A1685"/>
      <x:c r="B1685"/>
      <x:c r="C1685"/>
      <x:c r="D1685"/>
      <x:c r="E1685" s="31"/>
      <x:c r="F1685" s="8"/>
      <x:c r="G1685" s="8"/>
      <x:c r="H1685" s="6"/>
      <x:c r="I1685" s="27"/>
      <x:c r="J1685" s="6"/>
      <x:c r="K1685" s="6"/>
      <x:c r="L1685" s="6"/>
      <x:c r="M1685" s="6"/>
      <x:c r="N1685" s="6"/>
      <x:c r="O1685" s="6"/>
      <x:c r="P1685" s="6"/>
      <x:c r="Q1685" s="6"/>
      <x:c r="R1685"/>
      <x:c r="S1685"/>
      <x:c r="T1685"/>
    </x:row>
    <x:row r="1686" spans="1:20" ht="15.75" x14ac:dyDescent="0.25">
      <x:c r="A1686"/>
      <x:c r="B1686"/>
      <x:c r="C1686"/>
      <x:c r="D1686"/>
      <x:c r="E1686" s="31"/>
      <x:c r="F1686" s="8"/>
      <x:c r="G1686" s="8"/>
      <x:c r="H1686" s="6"/>
      <x:c r="I1686" s="27"/>
      <x:c r="J1686" s="6"/>
      <x:c r="K1686" s="6"/>
      <x:c r="L1686" s="6"/>
      <x:c r="M1686" s="6"/>
      <x:c r="N1686" s="6"/>
      <x:c r="O1686" s="6"/>
      <x:c r="P1686" s="6"/>
      <x:c r="Q1686" s="6"/>
      <x:c r="R1686"/>
      <x:c r="S1686"/>
      <x:c r="T1686"/>
    </x:row>
    <x:row r="1687" spans="1:20" ht="15.75" x14ac:dyDescent="0.25">
      <x:c r="A1687"/>
      <x:c r="B1687"/>
      <x:c r="C1687"/>
      <x:c r="D1687"/>
      <x:c r="E1687" s="31"/>
      <x:c r="F1687" s="8"/>
      <x:c r="G1687" s="8"/>
      <x:c r="H1687" s="6"/>
      <x:c r="I1687" s="27"/>
      <x:c r="J1687" s="6"/>
      <x:c r="K1687" s="6"/>
      <x:c r="L1687" s="6"/>
      <x:c r="M1687" s="6"/>
      <x:c r="N1687" s="6"/>
      <x:c r="O1687" s="6"/>
      <x:c r="P1687" s="6"/>
      <x:c r="Q1687" s="6"/>
      <x:c r="R1687"/>
      <x:c r="S1687"/>
      <x:c r="T1687"/>
    </x:row>
    <x:row r="1688" spans="1:20" ht="15.75" x14ac:dyDescent="0.25">
      <x:c r="A1688"/>
      <x:c r="B1688"/>
      <x:c r="C1688"/>
      <x:c r="D1688"/>
      <x:c r="E1688" s="31"/>
      <x:c r="F1688" s="8"/>
      <x:c r="G1688" s="8"/>
      <x:c r="H1688" s="6"/>
      <x:c r="I1688" s="27"/>
      <x:c r="J1688" s="6"/>
      <x:c r="K1688" s="6"/>
      <x:c r="L1688" s="6"/>
      <x:c r="M1688" s="6"/>
      <x:c r="N1688" s="6"/>
      <x:c r="O1688" s="6"/>
      <x:c r="P1688" s="6"/>
      <x:c r="Q1688" s="6"/>
      <x:c r="R1688"/>
      <x:c r="S1688"/>
      <x:c r="T1688"/>
    </x:row>
    <x:row r="1689" spans="1:20" ht="15.75" x14ac:dyDescent="0.25">
      <x:c r="A1689"/>
      <x:c r="B1689"/>
      <x:c r="C1689"/>
      <x:c r="D1689"/>
      <x:c r="E1689" s="31"/>
      <x:c r="F1689" s="8"/>
      <x:c r="G1689" s="8"/>
      <x:c r="H1689" s="6"/>
      <x:c r="I1689" s="27"/>
      <x:c r="J1689" s="6"/>
      <x:c r="K1689" s="6"/>
      <x:c r="L1689" s="6"/>
      <x:c r="M1689" s="6"/>
      <x:c r="N1689" s="6"/>
      <x:c r="O1689" s="6"/>
      <x:c r="P1689" s="6"/>
      <x:c r="Q1689" s="6"/>
      <x:c r="R1689"/>
      <x:c r="S1689"/>
      <x:c r="T1689"/>
    </x:row>
    <x:row r="1690" spans="1:20" ht="15.75" x14ac:dyDescent="0.25">
      <x:c r="A1690"/>
      <x:c r="B1690"/>
      <x:c r="C1690"/>
      <x:c r="D1690"/>
      <x:c r="E1690" s="31"/>
      <x:c r="F1690" s="8"/>
      <x:c r="G1690" s="8"/>
      <x:c r="H1690" s="6"/>
      <x:c r="I1690" s="27"/>
      <x:c r="J1690" s="6"/>
      <x:c r="K1690" s="6"/>
      <x:c r="L1690" s="6"/>
      <x:c r="M1690" s="6"/>
      <x:c r="N1690" s="6"/>
      <x:c r="O1690" s="6"/>
      <x:c r="P1690" s="6"/>
      <x:c r="Q1690" s="6"/>
      <x:c r="R1690"/>
      <x:c r="S1690"/>
      <x:c r="T1690"/>
    </x:row>
    <x:row r="1691" spans="1:20" ht="15.75" x14ac:dyDescent="0.25">
      <x:c r="A1691"/>
      <x:c r="B1691"/>
      <x:c r="C1691"/>
      <x:c r="D1691"/>
      <x:c r="E1691" s="31"/>
      <x:c r="F1691" s="8"/>
      <x:c r="G1691" s="8"/>
      <x:c r="H1691" s="6"/>
      <x:c r="I1691" s="27"/>
      <x:c r="J1691" s="6"/>
      <x:c r="K1691" s="6"/>
      <x:c r="L1691" s="6"/>
      <x:c r="M1691" s="6"/>
      <x:c r="N1691" s="6"/>
      <x:c r="O1691" s="6"/>
      <x:c r="P1691" s="6"/>
      <x:c r="Q1691" s="6"/>
      <x:c r="R1691"/>
      <x:c r="S1691"/>
      <x:c r="T1691"/>
    </x:row>
    <x:row r="1692" spans="1:20" ht="15.75" x14ac:dyDescent="0.25">
      <x:c r="A1692"/>
      <x:c r="B1692"/>
      <x:c r="C1692"/>
      <x:c r="D1692"/>
      <x:c r="E1692" s="31"/>
      <x:c r="F1692" s="8"/>
      <x:c r="G1692" s="8"/>
      <x:c r="H1692" s="6"/>
      <x:c r="I1692" s="27"/>
      <x:c r="J1692" s="6"/>
      <x:c r="K1692" s="6"/>
      <x:c r="L1692" s="6"/>
      <x:c r="M1692" s="6"/>
      <x:c r="N1692" s="6"/>
      <x:c r="O1692" s="6"/>
      <x:c r="P1692" s="6"/>
      <x:c r="Q1692" s="6"/>
      <x:c r="R1692"/>
      <x:c r="S1692"/>
      <x:c r="T1692"/>
    </x:row>
    <x:row r="1693" spans="1:20" ht="15.75" x14ac:dyDescent="0.25">
      <x:c r="A1693"/>
      <x:c r="B1693"/>
      <x:c r="C1693"/>
      <x:c r="D1693"/>
      <x:c r="E1693" s="31"/>
      <x:c r="F1693" s="8"/>
      <x:c r="G1693" s="8"/>
      <x:c r="H1693" s="6"/>
      <x:c r="I1693" s="27"/>
      <x:c r="J1693" s="6"/>
      <x:c r="K1693" s="6"/>
      <x:c r="L1693" s="6"/>
      <x:c r="M1693" s="6"/>
      <x:c r="N1693" s="6"/>
      <x:c r="O1693" s="6"/>
      <x:c r="P1693" s="6"/>
      <x:c r="Q1693" s="6"/>
      <x:c r="R1693"/>
      <x:c r="S1693"/>
      <x:c r="T1693"/>
    </x:row>
    <x:row r="1694" spans="1:20" ht="15.75" x14ac:dyDescent="0.25">
      <x:c r="A1694"/>
      <x:c r="B1694"/>
      <x:c r="C1694"/>
      <x:c r="D1694"/>
      <x:c r="E1694" s="31"/>
      <x:c r="F1694" s="8"/>
      <x:c r="G1694" s="8"/>
      <x:c r="H1694" s="6"/>
      <x:c r="I1694" s="27"/>
      <x:c r="J1694" s="6"/>
      <x:c r="K1694" s="6"/>
      <x:c r="L1694" s="6"/>
      <x:c r="M1694" s="6"/>
      <x:c r="N1694" s="6"/>
      <x:c r="O1694" s="6"/>
      <x:c r="P1694" s="6"/>
      <x:c r="Q1694" s="6"/>
      <x:c r="R1694"/>
      <x:c r="S1694"/>
      <x:c r="T1694"/>
    </x:row>
    <x:row r="1695" spans="1:20" ht="15.75" x14ac:dyDescent="0.25">
      <x:c r="A1695"/>
      <x:c r="B1695"/>
      <x:c r="C1695"/>
      <x:c r="D1695"/>
      <x:c r="E1695" s="31"/>
      <x:c r="F1695" s="8"/>
      <x:c r="G1695" s="8"/>
      <x:c r="H1695" s="6"/>
      <x:c r="I1695" s="27"/>
      <x:c r="J1695" s="6"/>
      <x:c r="K1695" s="6"/>
      <x:c r="L1695" s="6"/>
      <x:c r="M1695" s="6"/>
      <x:c r="N1695" s="6"/>
      <x:c r="O1695" s="6"/>
      <x:c r="P1695" s="6"/>
      <x:c r="Q1695" s="6"/>
      <x:c r="R1695"/>
      <x:c r="S1695"/>
      <x:c r="T1695"/>
    </x:row>
    <x:row r="1696" spans="1:20" ht="15.75" x14ac:dyDescent="0.25">
      <x:c r="A1696"/>
      <x:c r="B1696"/>
      <x:c r="C1696"/>
      <x:c r="D1696"/>
      <x:c r="E1696" s="31"/>
      <x:c r="F1696" s="8"/>
      <x:c r="G1696" s="8"/>
      <x:c r="H1696" s="6"/>
      <x:c r="I1696" s="27"/>
      <x:c r="J1696" s="6"/>
      <x:c r="K1696" s="6"/>
      <x:c r="L1696" s="6"/>
      <x:c r="M1696" s="6"/>
      <x:c r="N1696" s="6"/>
      <x:c r="O1696" s="6"/>
      <x:c r="P1696" s="6"/>
      <x:c r="Q1696" s="6"/>
      <x:c r="R1696"/>
      <x:c r="S1696"/>
      <x:c r="T1696"/>
    </x:row>
    <x:row r="1697" spans="1:20" ht="15.75" x14ac:dyDescent="0.25">
      <x:c r="A1697"/>
      <x:c r="B1697"/>
      <x:c r="C1697"/>
      <x:c r="D1697"/>
      <x:c r="E1697" s="31"/>
      <x:c r="F1697" s="8"/>
      <x:c r="G1697" s="8"/>
      <x:c r="H1697" s="6"/>
      <x:c r="I1697" s="27"/>
      <x:c r="J1697" s="6"/>
      <x:c r="K1697" s="6"/>
      <x:c r="L1697" s="6"/>
      <x:c r="M1697" s="6"/>
      <x:c r="N1697" s="6"/>
      <x:c r="O1697" s="6"/>
      <x:c r="P1697" s="6"/>
      <x:c r="Q1697" s="6"/>
      <x:c r="R1697"/>
      <x:c r="S1697"/>
      <x:c r="T1697"/>
    </x:row>
    <x:row r="1698" spans="1:20" ht="15.75" x14ac:dyDescent="0.25">
      <x:c r="A1698"/>
      <x:c r="B1698"/>
      <x:c r="C1698"/>
      <x:c r="D1698"/>
      <x:c r="E1698" s="31"/>
      <x:c r="F1698" s="8"/>
      <x:c r="G1698" s="8"/>
      <x:c r="H1698" s="6"/>
      <x:c r="I1698" s="27"/>
      <x:c r="J1698" s="6"/>
      <x:c r="K1698" s="6"/>
      <x:c r="L1698" s="6"/>
      <x:c r="M1698" s="6"/>
      <x:c r="N1698" s="6"/>
      <x:c r="O1698" s="6"/>
      <x:c r="P1698" s="6"/>
      <x:c r="Q1698" s="6"/>
      <x:c r="R1698"/>
      <x:c r="S1698"/>
      <x:c r="T1698"/>
    </x:row>
    <x:row r="1699" spans="1:20" ht="15.75" x14ac:dyDescent="0.25">
      <x:c r="A1699"/>
      <x:c r="B1699"/>
      <x:c r="C1699"/>
      <x:c r="D1699"/>
      <x:c r="E1699" s="31"/>
      <x:c r="F1699" s="8"/>
      <x:c r="G1699" s="8"/>
      <x:c r="H1699" s="6"/>
      <x:c r="I1699" s="27"/>
      <x:c r="J1699" s="6"/>
      <x:c r="K1699" s="6"/>
      <x:c r="L1699" s="6"/>
      <x:c r="M1699" s="6"/>
      <x:c r="N1699" s="6"/>
      <x:c r="O1699" s="6"/>
      <x:c r="P1699" s="6"/>
      <x:c r="Q1699" s="6"/>
      <x:c r="R1699"/>
      <x:c r="S1699"/>
      <x:c r="T1699"/>
    </x:row>
    <x:row r="1700" spans="1:20" ht="15.75" x14ac:dyDescent="0.25">
      <x:c r="A1700"/>
      <x:c r="B1700"/>
      <x:c r="C1700"/>
      <x:c r="D1700"/>
      <x:c r="E1700" s="31"/>
      <x:c r="F1700" s="8"/>
      <x:c r="G1700" s="8"/>
      <x:c r="H1700" s="6"/>
      <x:c r="I1700" s="27"/>
      <x:c r="J1700" s="6"/>
      <x:c r="K1700" s="6"/>
      <x:c r="L1700" s="6"/>
      <x:c r="M1700" s="6"/>
      <x:c r="N1700" s="6"/>
      <x:c r="O1700" s="6"/>
      <x:c r="P1700" s="6"/>
      <x:c r="Q1700" s="6"/>
      <x:c r="R1700"/>
      <x:c r="S1700"/>
      <x:c r="T1700"/>
    </x:row>
    <x:row r="1701" spans="1:20" ht="15.75" x14ac:dyDescent="0.25">
      <x:c r="A1701"/>
      <x:c r="B1701"/>
      <x:c r="C1701"/>
      <x:c r="D1701"/>
      <x:c r="E1701" s="31"/>
      <x:c r="F1701" s="8"/>
      <x:c r="G1701" s="8"/>
      <x:c r="H1701" s="6"/>
      <x:c r="I1701" s="27"/>
      <x:c r="J1701" s="6"/>
      <x:c r="K1701" s="6"/>
      <x:c r="L1701" s="6"/>
      <x:c r="M1701" s="6"/>
      <x:c r="N1701" s="6"/>
      <x:c r="O1701" s="6"/>
      <x:c r="P1701" s="6"/>
      <x:c r="Q1701" s="6"/>
      <x:c r="R1701"/>
      <x:c r="S1701"/>
      <x:c r="T1701"/>
    </x:row>
    <x:row r="1702" spans="1:20" ht="15.75" x14ac:dyDescent="0.25">
      <x:c r="A1702"/>
      <x:c r="B1702"/>
      <x:c r="C1702"/>
      <x:c r="D1702"/>
      <x:c r="E1702" s="31"/>
      <x:c r="F1702" s="8"/>
      <x:c r="G1702" s="8"/>
      <x:c r="H1702" s="6"/>
      <x:c r="I1702" s="27"/>
      <x:c r="J1702" s="6"/>
      <x:c r="K1702" s="6"/>
      <x:c r="L1702" s="6"/>
      <x:c r="M1702" s="6"/>
      <x:c r="N1702" s="6"/>
      <x:c r="O1702" s="6"/>
      <x:c r="P1702" s="6"/>
      <x:c r="Q1702" s="6"/>
      <x:c r="R1702"/>
      <x:c r="S1702"/>
      <x:c r="T1702"/>
    </x:row>
    <x:row r="1703" spans="1:20" ht="15.75" x14ac:dyDescent="0.25">
      <x:c r="A1703"/>
      <x:c r="B1703"/>
      <x:c r="C1703"/>
      <x:c r="D1703"/>
      <x:c r="E1703" s="31"/>
      <x:c r="F1703" s="8"/>
      <x:c r="G1703" s="8"/>
      <x:c r="H1703" s="6"/>
      <x:c r="I1703" s="27"/>
      <x:c r="J1703" s="6"/>
      <x:c r="K1703" s="6"/>
      <x:c r="L1703" s="6"/>
      <x:c r="M1703" s="6"/>
      <x:c r="N1703" s="6"/>
      <x:c r="O1703" s="6"/>
      <x:c r="P1703" s="6"/>
      <x:c r="Q1703" s="6"/>
      <x:c r="R1703"/>
      <x:c r="S1703"/>
      <x:c r="T1703"/>
    </x:row>
    <x:row r="1704" spans="1:20" ht="15.75" x14ac:dyDescent="0.25">
      <x:c r="A1704"/>
      <x:c r="B1704"/>
      <x:c r="C1704"/>
      <x:c r="D1704"/>
      <x:c r="E1704" s="31"/>
      <x:c r="F1704" s="8"/>
      <x:c r="G1704" s="8"/>
      <x:c r="H1704" s="6"/>
      <x:c r="I1704" s="27"/>
      <x:c r="J1704" s="6"/>
      <x:c r="K1704" s="6"/>
      <x:c r="L1704" s="6"/>
      <x:c r="M1704" s="6"/>
      <x:c r="N1704" s="6"/>
      <x:c r="O1704" s="6"/>
      <x:c r="P1704" s="6"/>
      <x:c r="Q1704" s="6"/>
      <x:c r="R1704"/>
      <x:c r="S1704"/>
      <x:c r="T1704"/>
    </x:row>
    <x:row r="1705" spans="1:20" ht="15.75" x14ac:dyDescent="0.25">
      <x:c r="A1705"/>
      <x:c r="B1705"/>
      <x:c r="C1705"/>
      <x:c r="D1705"/>
      <x:c r="E1705" s="31"/>
      <x:c r="F1705" s="8"/>
      <x:c r="G1705" s="8"/>
      <x:c r="H1705" s="6"/>
      <x:c r="I1705" s="27"/>
      <x:c r="J1705" s="6"/>
      <x:c r="K1705" s="6"/>
      <x:c r="L1705" s="6"/>
      <x:c r="M1705" s="6"/>
      <x:c r="N1705" s="6"/>
      <x:c r="O1705" s="6"/>
      <x:c r="P1705" s="6"/>
      <x:c r="Q1705" s="6"/>
      <x:c r="R1705"/>
      <x:c r="S1705"/>
      <x:c r="T1705"/>
    </x:row>
    <x:row r="1706" spans="1:20" ht="15.75" x14ac:dyDescent="0.25">
      <x:c r="A1706"/>
      <x:c r="B1706"/>
      <x:c r="C1706"/>
      <x:c r="D1706"/>
      <x:c r="E1706" s="31"/>
      <x:c r="F1706" s="8"/>
      <x:c r="G1706" s="8"/>
      <x:c r="H1706" s="6"/>
      <x:c r="I1706" s="27"/>
      <x:c r="J1706" s="6"/>
      <x:c r="K1706" s="6"/>
      <x:c r="L1706" s="6"/>
      <x:c r="M1706" s="6"/>
      <x:c r="N1706" s="6"/>
      <x:c r="O1706" s="6"/>
      <x:c r="P1706" s="6"/>
      <x:c r="Q1706" s="6"/>
      <x:c r="R1706"/>
      <x:c r="S1706"/>
      <x:c r="T1706"/>
    </x:row>
    <x:row r="1707" spans="1:20" ht="15.75" x14ac:dyDescent="0.25">
      <x:c r="A1707"/>
      <x:c r="B1707"/>
      <x:c r="C1707"/>
      <x:c r="D1707"/>
      <x:c r="E1707" s="31"/>
      <x:c r="F1707" s="8"/>
      <x:c r="G1707" s="8"/>
      <x:c r="H1707" s="6"/>
      <x:c r="I1707" s="27"/>
      <x:c r="J1707" s="6"/>
      <x:c r="K1707" s="6"/>
      <x:c r="L1707" s="6"/>
      <x:c r="M1707" s="6"/>
      <x:c r="N1707" s="6"/>
      <x:c r="O1707" s="6"/>
      <x:c r="P1707" s="6"/>
      <x:c r="Q1707" s="6"/>
      <x:c r="R1707"/>
      <x:c r="S1707"/>
      <x:c r="T1707"/>
    </x:row>
    <x:row r="1708" spans="1:20" ht="15.75" x14ac:dyDescent="0.25">
      <x:c r="A1708"/>
      <x:c r="B1708"/>
      <x:c r="C1708"/>
      <x:c r="D1708"/>
      <x:c r="E1708" s="31"/>
      <x:c r="F1708" s="8"/>
      <x:c r="G1708" s="8"/>
      <x:c r="H1708" s="6"/>
      <x:c r="I1708" s="27"/>
      <x:c r="J1708" s="6"/>
      <x:c r="K1708" s="6"/>
      <x:c r="L1708" s="6"/>
      <x:c r="M1708" s="6"/>
      <x:c r="N1708" s="6"/>
      <x:c r="O1708" s="6"/>
      <x:c r="P1708" s="6"/>
      <x:c r="Q1708" s="6"/>
      <x:c r="R1708"/>
      <x:c r="S1708"/>
      <x:c r="T1708"/>
    </x:row>
    <x:row r="1709" spans="1:20" ht="15.75" x14ac:dyDescent="0.25">
      <x:c r="A1709"/>
      <x:c r="B1709"/>
      <x:c r="C1709"/>
      <x:c r="D1709"/>
      <x:c r="E1709" s="31"/>
      <x:c r="F1709" s="8"/>
      <x:c r="G1709" s="8"/>
      <x:c r="H1709" s="6"/>
      <x:c r="I1709" s="27"/>
      <x:c r="J1709" s="6"/>
      <x:c r="K1709" s="6"/>
      <x:c r="L1709" s="6"/>
      <x:c r="M1709" s="6"/>
      <x:c r="N1709" s="6"/>
      <x:c r="O1709" s="6"/>
      <x:c r="P1709" s="6"/>
      <x:c r="Q1709" s="6"/>
      <x:c r="R1709"/>
      <x:c r="S1709"/>
      <x:c r="T1709"/>
    </x:row>
    <x:row r="1710" spans="1:20" ht="15.75" x14ac:dyDescent="0.25">
      <x:c r="A1710"/>
      <x:c r="B1710"/>
      <x:c r="C1710"/>
      <x:c r="D1710"/>
      <x:c r="E1710" s="31"/>
      <x:c r="F1710" s="8"/>
      <x:c r="G1710" s="8"/>
      <x:c r="H1710" s="6"/>
      <x:c r="I1710" s="27"/>
      <x:c r="J1710" s="6"/>
      <x:c r="K1710" s="6"/>
      <x:c r="L1710" s="6"/>
      <x:c r="M1710" s="6"/>
      <x:c r="N1710" s="6"/>
      <x:c r="O1710" s="6"/>
      <x:c r="P1710" s="6"/>
      <x:c r="Q1710" s="6"/>
      <x:c r="R1710"/>
      <x:c r="S1710"/>
      <x:c r="T1710"/>
    </x:row>
    <x:row r="1711" spans="1:20" ht="15.75" x14ac:dyDescent="0.25">
      <x:c r="A1711"/>
      <x:c r="B1711"/>
      <x:c r="C1711"/>
      <x:c r="D1711"/>
      <x:c r="E1711" s="31"/>
      <x:c r="F1711" s="8"/>
      <x:c r="G1711" s="8"/>
      <x:c r="H1711" s="6"/>
      <x:c r="I1711" s="27"/>
      <x:c r="J1711" s="6"/>
      <x:c r="K1711" s="6"/>
      <x:c r="L1711" s="6"/>
      <x:c r="M1711" s="6"/>
      <x:c r="N1711" s="6"/>
      <x:c r="O1711" s="6"/>
      <x:c r="P1711" s="6"/>
      <x:c r="Q1711" s="6"/>
      <x:c r="R1711"/>
      <x:c r="S1711"/>
      <x:c r="T1711"/>
    </x:row>
    <x:row r="1712" spans="1:20" ht="15.75" x14ac:dyDescent="0.25">
      <x:c r="A1712"/>
      <x:c r="B1712"/>
      <x:c r="C1712"/>
      <x:c r="D1712"/>
      <x:c r="E1712" s="31"/>
      <x:c r="F1712" s="8"/>
      <x:c r="G1712" s="8"/>
      <x:c r="H1712" s="6"/>
      <x:c r="I1712" s="27"/>
      <x:c r="J1712" s="6"/>
      <x:c r="K1712" s="6"/>
      <x:c r="L1712" s="6"/>
      <x:c r="M1712" s="6"/>
      <x:c r="N1712" s="6"/>
      <x:c r="O1712" s="6"/>
      <x:c r="P1712" s="6"/>
      <x:c r="Q1712" s="6"/>
      <x:c r="R1712"/>
      <x:c r="S1712"/>
      <x:c r="T1712"/>
    </x:row>
    <x:row r="1713" spans="1:20" ht="15.75" x14ac:dyDescent="0.25">
      <x:c r="A1713"/>
      <x:c r="B1713"/>
      <x:c r="C1713"/>
      <x:c r="D1713"/>
      <x:c r="E1713" s="31"/>
      <x:c r="F1713" s="8"/>
      <x:c r="G1713" s="8"/>
      <x:c r="H1713" s="6"/>
      <x:c r="I1713" s="27"/>
      <x:c r="J1713" s="6"/>
      <x:c r="K1713" s="6"/>
      <x:c r="L1713" s="6"/>
      <x:c r="M1713" s="6"/>
      <x:c r="N1713" s="6"/>
      <x:c r="O1713" s="6"/>
      <x:c r="P1713" s="6"/>
      <x:c r="Q1713" s="6"/>
      <x:c r="R1713"/>
      <x:c r="S1713"/>
      <x:c r="T1713"/>
    </x:row>
    <x:row r="1714" spans="1:20" ht="15.75" x14ac:dyDescent="0.25">
      <x:c r="A1714"/>
      <x:c r="B1714"/>
      <x:c r="C1714"/>
      <x:c r="D1714"/>
      <x:c r="E1714" s="31"/>
      <x:c r="F1714" s="8"/>
      <x:c r="G1714" s="8"/>
      <x:c r="H1714" s="6"/>
      <x:c r="I1714" s="27"/>
      <x:c r="J1714" s="6"/>
      <x:c r="K1714" s="6"/>
      <x:c r="L1714" s="6"/>
      <x:c r="M1714" s="6"/>
      <x:c r="N1714" s="6"/>
      <x:c r="O1714" s="6"/>
      <x:c r="P1714" s="6"/>
      <x:c r="Q1714" s="6"/>
      <x:c r="R1714"/>
      <x:c r="S1714"/>
      <x:c r="T1714"/>
    </x:row>
    <x:row r="1715" spans="1:20" ht="15.75" x14ac:dyDescent="0.25">
      <x:c r="A1715"/>
      <x:c r="B1715"/>
      <x:c r="C1715"/>
      <x:c r="D1715"/>
      <x:c r="E1715" s="31"/>
      <x:c r="F1715" s="8"/>
      <x:c r="G1715" s="8"/>
      <x:c r="H1715" s="6"/>
      <x:c r="I1715" s="27"/>
      <x:c r="J1715" s="6"/>
      <x:c r="K1715" s="6"/>
      <x:c r="L1715" s="6"/>
      <x:c r="M1715" s="6"/>
      <x:c r="N1715" s="6"/>
      <x:c r="O1715" s="6"/>
      <x:c r="P1715" s="6"/>
      <x:c r="Q1715" s="6"/>
      <x:c r="R1715"/>
      <x:c r="S1715"/>
      <x:c r="T1715"/>
    </x:row>
    <x:row r="1716" spans="1:20" ht="15.75" x14ac:dyDescent="0.25">
      <x:c r="A1716"/>
      <x:c r="B1716"/>
      <x:c r="C1716"/>
      <x:c r="D1716"/>
      <x:c r="E1716" s="31"/>
      <x:c r="F1716" s="8"/>
      <x:c r="G1716" s="8"/>
      <x:c r="H1716" s="6"/>
      <x:c r="I1716" s="27"/>
      <x:c r="J1716" s="6"/>
      <x:c r="K1716" s="6"/>
      <x:c r="L1716" s="6"/>
      <x:c r="M1716" s="6"/>
      <x:c r="N1716" s="6"/>
      <x:c r="O1716" s="6"/>
      <x:c r="P1716" s="6"/>
      <x:c r="Q1716" s="6"/>
      <x:c r="R1716"/>
      <x:c r="S1716"/>
      <x:c r="T1716"/>
    </x:row>
    <x:row r="1717" spans="1:20" ht="15.75" x14ac:dyDescent="0.25">
      <x:c r="A1717"/>
      <x:c r="B1717"/>
      <x:c r="C1717"/>
      <x:c r="D1717"/>
      <x:c r="E1717" s="31"/>
      <x:c r="F1717" s="8"/>
      <x:c r="G1717" s="8"/>
      <x:c r="H1717" s="6"/>
      <x:c r="I1717" s="27"/>
      <x:c r="J1717" s="6"/>
      <x:c r="K1717" s="6"/>
      <x:c r="L1717" s="6"/>
      <x:c r="M1717" s="6"/>
      <x:c r="N1717" s="6"/>
      <x:c r="O1717" s="6"/>
      <x:c r="P1717" s="6"/>
      <x:c r="Q1717" s="6"/>
      <x:c r="R1717"/>
      <x:c r="S1717"/>
      <x:c r="T1717"/>
    </x:row>
    <x:row r="1718" spans="1:20" ht="15.75" x14ac:dyDescent="0.25">
      <x:c r="A1718"/>
      <x:c r="B1718"/>
      <x:c r="C1718"/>
      <x:c r="D1718"/>
      <x:c r="E1718" s="31"/>
      <x:c r="F1718" s="8"/>
      <x:c r="G1718" s="8"/>
      <x:c r="H1718" s="6"/>
      <x:c r="I1718" s="27"/>
      <x:c r="J1718" s="6"/>
      <x:c r="K1718" s="6"/>
      <x:c r="L1718" s="6"/>
      <x:c r="M1718" s="6"/>
      <x:c r="N1718" s="6"/>
      <x:c r="O1718" s="6"/>
      <x:c r="P1718" s="6"/>
      <x:c r="Q1718" s="6"/>
      <x:c r="R1718"/>
      <x:c r="S1718"/>
      <x:c r="T1718"/>
    </x:row>
    <x:row r="1719" spans="1:20" ht="15.75" x14ac:dyDescent="0.25">
      <x:c r="A1719"/>
      <x:c r="B1719"/>
      <x:c r="C1719"/>
      <x:c r="D1719"/>
      <x:c r="E1719" s="31"/>
      <x:c r="F1719" s="8"/>
      <x:c r="G1719" s="8"/>
      <x:c r="H1719" s="6"/>
      <x:c r="I1719" s="27"/>
      <x:c r="J1719" s="6"/>
      <x:c r="K1719" s="6"/>
      <x:c r="L1719" s="6"/>
      <x:c r="M1719" s="6"/>
      <x:c r="N1719" s="6"/>
      <x:c r="O1719" s="6"/>
      <x:c r="P1719" s="6"/>
      <x:c r="Q1719" s="6"/>
      <x:c r="R1719"/>
      <x:c r="S1719"/>
      <x:c r="T1719"/>
    </x:row>
    <x:row r="1720" spans="1:20" ht="15.75" x14ac:dyDescent="0.25">
      <x:c r="A1720"/>
      <x:c r="B1720"/>
      <x:c r="C1720"/>
      <x:c r="D1720"/>
      <x:c r="E1720" s="31"/>
      <x:c r="F1720" s="8"/>
      <x:c r="G1720" s="8"/>
      <x:c r="H1720" s="6"/>
      <x:c r="I1720" s="27"/>
      <x:c r="J1720" s="6"/>
      <x:c r="K1720" s="6"/>
      <x:c r="L1720" s="6"/>
      <x:c r="M1720" s="6"/>
      <x:c r="N1720" s="6"/>
      <x:c r="O1720" s="6"/>
      <x:c r="P1720" s="6"/>
      <x:c r="Q1720" s="6"/>
      <x:c r="R1720"/>
      <x:c r="S1720"/>
      <x:c r="T1720"/>
    </x:row>
    <x:row r="1721" spans="1:20" ht="15.75" x14ac:dyDescent="0.25">
      <x:c r="A1721"/>
      <x:c r="B1721"/>
      <x:c r="C1721"/>
      <x:c r="D1721"/>
      <x:c r="E1721" s="31"/>
      <x:c r="F1721" s="8"/>
      <x:c r="G1721" s="8"/>
      <x:c r="H1721" s="6"/>
      <x:c r="I1721" s="27"/>
      <x:c r="J1721" s="6"/>
      <x:c r="K1721" s="6"/>
      <x:c r="L1721" s="6"/>
      <x:c r="M1721" s="6"/>
      <x:c r="N1721" s="6"/>
      <x:c r="O1721" s="6"/>
      <x:c r="P1721" s="6"/>
      <x:c r="Q1721" s="6"/>
      <x:c r="R1721"/>
      <x:c r="S1721"/>
      <x:c r="T1721"/>
    </x:row>
    <x:row r="1722" spans="1:20" ht="15.75" x14ac:dyDescent="0.25">
      <x:c r="A1722"/>
      <x:c r="B1722"/>
      <x:c r="C1722"/>
      <x:c r="D1722"/>
      <x:c r="E1722" s="31"/>
      <x:c r="F1722" s="8"/>
      <x:c r="G1722" s="8"/>
      <x:c r="H1722" s="6"/>
      <x:c r="I1722" s="27"/>
      <x:c r="J1722" s="6"/>
      <x:c r="K1722" s="6"/>
      <x:c r="L1722" s="6"/>
      <x:c r="M1722" s="6"/>
      <x:c r="N1722" s="6"/>
      <x:c r="O1722" s="6"/>
      <x:c r="P1722" s="6"/>
      <x:c r="Q1722" s="6"/>
      <x:c r="R1722"/>
      <x:c r="S1722"/>
      <x:c r="T1722"/>
    </x:row>
    <x:row r="1723" spans="1:20" ht="15.75" x14ac:dyDescent="0.25">
      <x:c r="A1723"/>
      <x:c r="B1723"/>
      <x:c r="C1723"/>
      <x:c r="D1723"/>
      <x:c r="E1723" s="31"/>
      <x:c r="F1723" s="8"/>
      <x:c r="G1723" s="8"/>
      <x:c r="H1723" s="6"/>
      <x:c r="I1723" s="27"/>
      <x:c r="J1723" s="6"/>
      <x:c r="K1723" s="6"/>
      <x:c r="L1723" s="6"/>
      <x:c r="M1723" s="6"/>
      <x:c r="N1723" s="6"/>
      <x:c r="O1723" s="6"/>
      <x:c r="P1723" s="6"/>
      <x:c r="Q1723" s="6"/>
      <x:c r="R1723"/>
      <x:c r="S1723"/>
      <x:c r="T1723"/>
    </x:row>
    <x:row r="1724" spans="1:20" ht="15.75" x14ac:dyDescent="0.25">
      <x:c r="A1724"/>
      <x:c r="B1724"/>
      <x:c r="C1724"/>
      <x:c r="D1724"/>
      <x:c r="E1724" s="31"/>
      <x:c r="F1724" s="8"/>
      <x:c r="G1724" s="8"/>
      <x:c r="H1724" s="6"/>
      <x:c r="I1724" s="27"/>
      <x:c r="J1724" s="6"/>
      <x:c r="K1724" s="6"/>
      <x:c r="L1724" s="6"/>
      <x:c r="M1724" s="6"/>
      <x:c r="N1724" s="6"/>
      <x:c r="O1724" s="6"/>
      <x:c r="P1724" s="6"/>
      <x:c r="Q1724" s="6"/>
      <x:c r="R1724"/>
      <x:c r="S1724"/>
      <x:c r="T1724"/>
    </x:row>
    <x:row r="1725" spans="1:20" ht="15.75" x14ac:dyDescent="0.25">
      <x:c r="A1725"/>
      <x:c r="B1725"/>
      <x:c r="C1725"/>
      <x:c r="D1725"/>
      <x:c r="E1725" s="31"/>
      <x:c r="F1725" s="8"/>
      <x:c r="G1725" s="8"/>
      <x:c r="H1725" s="6"/>
      <x:c r="I1725" s="27"/>
      <x:c r="J1725" s="6"/>
      <x:c r="K1725" s="6"/>
      <x:c r="L1725" s="6"/>
      <x:c r="M1725" s="6"/>
      <x:c r="N1725" s="6"/>
      <x:c r="O1725" s="6"/>
      <x:c r="P1725" s="6"/>
      <x:c r="Q1725" s="6"/>
      <x:c r="R1725"/>
      <x:c r="S1725"/>
      <x:c r="T1725"/>
    </x:row>
    <x:row r="1726" spans="1:20" ht="15.75" x14ac:dyDescent="0.25">
      <x:c r="A1726"/>
      <x:c r="B1726"/>
      <x:c r="C1726"/>
      <x:c r="D1726"/>
      <x:c r="E1726" s="31"/>
      <x:c r="F1726" s="8"/>
      <x:c r="G1726" s="8"/>
      <x:c r="H1726" s="6"/>
      <x:c r="I1726" s="27"/>
      <x:c r="J1726" s="6"/>
      <x:c r="K1726" s="6"/>
      <x:c r="L1726" s="6"/>
      <x:c r="M1726" s="6"/>
      <x:c r="N1726" s="6"/>
      <x:c r="O1726" s="6"/>
      <x:c r="P1726" s="6"/>
      <x:c r="Q1726" s="6"/>
      <x:c r="R1726"/>
      <x:c r="S1726"/>
      <x:c r="T1726"/>
    </x:row>
    <x:row r="1727" spans="1:20" ht="15.75" x14ac:dyDescent="0.25">
      <x:c r="A1727"/>
      <x:c r="B1727"/>
      <x:c r="C1727"/>
      <x:c r="D1727"/>
      <x:c r="E1727" s="31"/>
      <x:c r="F1727" s="8"/>
      <x:c r="G1727" s="8"/>
      <x:c r="H1727" s="6"/>
      <x:c r="I1727" s="27"/>
      <x:c r="J1727" s="6"/>
      <x:c r="K1727" s="6"/>
      <x:c r="L1727" s="6"/>
      <x:c r="M1727" s="6"/>
      <x:c r="N1727" s="6"/>
      <x:c r="O1727" s="6"/>
      <x:c r="P1727" s="6"/>
      <x:c r="Q1727" s="6"/>
      <x:c r="R1727"/>
      <x:c r="S1727"/>
      <x:c r="T1727"/>
    </x:row>
    <x:row r="1728" spans="1:20" ht="15.75" x14ac:dyDescent="0.25">
      <x:c r="A1728"/>
      <x:c r="B1728"/>
      <x:c r="C1728"/>
      <x:c r="D1728"/>
      <x:c r="E1728" s="31"/>
      <x:c r="F1728" s="8"/>
      <x:c r="G1728" s="8"/>
      <x:c r="H1728" s="6"/>
      <x:c r="I1728" s="27"/>
      <x:c r="J1728" s="6"/>
      <x:c r="K1728" s="6"/>
      <x:c r="L1728" s="6"/>
      <x:c r="M1728" s="6"/>
      <x:c r="N1728" s="6"/>
      <x:c r="O1728" s="6"/>
      <x:c r="P1728" s="6"/>
      <x:c r="Q1728" s="6"/>
      <x:c r="R1728"/>
      <x:c r="S1728"/>
      <x:c r="T1728"/>
    </x:row>
    <x:row r="1729" spans="1:20" ht="15.75" x14ac:dyDescent="0.25">
      <x:c r="A1729"/>
      <x:c r="B1729"/>
      <x:c r="C1729"/>
      <x:c r="D1729"/>
      <x:c r="E1729" s="31"/>
      <x:c r="F1729" s="8"/>
      <x:c r="G1729" s="8"/>
      <x:c r="H1729" s="6"/>
      <x:c r="I1729" s="27"/>
      <x:c r="J1729" s="6"/>
      <x:c r="K1729" s="6"/>
      <x:c r="L1729" s="6"/>
      <x:c r="M1729" s="6"/>
      <x:c r="N1729" s="6"/>
      <x:c r="O1729" s="6"/>
      <x:c r="P1729" s="6"/>
      <x:c r="Q1729" s="6"/>
      <x:c r="R1729"/>
      <x:c r="S1729"/>
      <x:c r="T1729"/>
    </x:row>
    <x:row r="1730" spans="1:20" ht="15.75" x14ac:dyDescent="0.25">
      <x:c r="A1730"/>
      <x:c r="B1730"/>
      <x:c r="C1730"/>
      <x:c r="D1730"/>
      <x:c r="E1730" s="31"/>
      <x:c r="F1730" s="8"/>
      <x:c r="G1730" s="8"/>
      <x:c r="H1730" s="6"/>
      <x:c r="I1730" s="27"/>
      <x:c r="J1730" s="6"/>
      <x:c r="K1730" s="6"/>
      <x:c r="L1730" s="6"/>
      <x:c r="M1730" s="6"/>
      <x:c r="N1730" s="6"/>
      <x:c r="O1730" s="6"/>
      <x:c r="P1730" s="6"/>
      <x:c r="Q1730" s="6"/>
      <x:c r="R1730"/>
      <x:c r="S1730"/>
      <x:c r="T1730"/>
    </x:row>
    <x:row r="1731" spans="1:20" ht="15.75" x14ac:dyDescent="0.25">
      <x:c r="A1731"/>
      <x:c r="B1731"/>
      <x:c r="C1731"/>
      <x:c r="D1731"/>
      <x:c r="E1731" s="31"/>
      <x:c r="F1731" s="8"/>
      <x:c r="G1731" s="8"/>
      <x:c r="H1731" s="6"/>
      <x:c r="I1731" s="27"/>
      <x:c r="J1731" s="6"/>
      <x:c r="K1731" s="6"/>
      <x:c r="L1731" s="6"/>
      <x:c r="M1731" s="6"/>
      <x:c r="N1731" s="6"/>
      <x:c r="O1731" s="6"/>
      <x:c r="P1731" s="6"/>
      <x:c r="Q1731" s="6"/>
      <x:c r="R1731"/>
      <x:c r="S1731"/>
      <x:c r="T1731"/>
    </x:row>
    <x:row r="1732" spans="1:20" ht="15.75" x14ac:dyDescent="0.25">
      <x:c r="A1732"/>
      <x:c r="B1732"/>
      <x:c r="C1732"/>
      <x:c r="D1732"/>
      <x:c r="E1732" s="31"/>
      <x:c r="F1732" s="8"/>
      <x:c r="G1732" s="8"/>
      <x:c r="H1732" s="6"/>
      <x:c r="I1732" s="27"/>
      <x:c r="J1732" s="6"/>
      <x:c r="K1732" s="6"/>
      <x:c r="L1732" s="6"/>
      <x:c r="M1732" s="6"/>
      <x:c r="N1732" s="6"/>
      <x:c r="O1732" s="6"/>
      <x:c r="P1732" s="6"/>
      <x:c r="Q1732" s="6"/>
      <x:c r="R1732"/>
      <x:c r="S1732"/>
      <x:c r="T1732"/>
    </x:row>
    <x:row r="1733" spans="1:20" ht="15.75" x14ac:dyDescent="0.25">
      <x:c r="A1733"/>
      <x:c r="B1733"/>
      <x:c r="C1733"/>
      <x:c r="D1733"/>
      <x:c r="E1733" s="31"/>
      <x:c r="F1733" s="8"/>
      <x:c r="G1733" s="8"/>
      <x:c r="H1733" s="6"/>
      <x:c r="I1733" s="27"/>
      <x:c r="J1733" s="6"/>
      <x:c r="K1733" s="6"/>
      <x:c r="L1733" s="6"/>
      <x:c r="M1733" s="6"/>
      <x:c r="N1733" s="6"/>
      <x:c r="O1733" s="6"/>
      <x:c r="P1733" s="6"/>
      <x:c r="Q1733" s="6"/>
      <x:c r="R1733"/>
      <x:c r="S1733"/>
      <x:c r="T1733"/>
    </x:row>
    <x:row r="1734" spans="1:20" ht="15.75" x14ac:dyDescent="0.25">
      <x:c r="A1734"/>
      <x:c r="B1734"/>
      <x:c r="C1734"/>
      <x:c r="D1734"/>
      <x:c r="E1734" s="31"/>
      <x:c r="F1734" s="8"/>
      <x:c r="G1734" s="8"/>
      <x:c r="H1734" s="6"/>
      <x:c r="I1734" s="27"/>
      <x:c r="J1734" s="6"/>
      <x:c r="K1734" s="6"/>
      <x:c r="L1734" s="6"/>
      <x:c r="M1734" s="6"/>
      <x:c r="N1734" s="6"/>
      <x:c r="O1734" s="6"/>
      <x:c r="P1734" s="6"/>
      <x:c r="Q1734" s="6"/>
      <x:c r="R1734"/>
      <x:c r="S1734"/>
      <x:c r="T1734"/>
    </x:row>
    <x:row r="1735" spans="1:20" ht="15.75" x14ac:dyDescent="0.25">
      <x:c r="A1735"/>
      <x:c r="B1735"/>
      <x:c r="C1735"/>
      <x:c r="D1735"/>
      <x:c r="E1735" s="31"/>
      <x:c r="F1735" s="8"/>
      <x:c r="G1735" s="8"/>
      <x:c r="H1735" s="6"/>
      <x:c r="I1735" s="27"/>
      <x:c r="J1735" s="6"/>
      <x:c r="K1735" s="6"/>
      <x:c r="L1735" s="6"/>
      <x:c r="M1735" s="6"/>
      <x:c r="N1735" s="6"/>
      <x:c r="O1735" s="6"/>
      <x:c r="P1735" s="6"/>
      <x:c r="Q1735" s="6"/>
      <x:c r="R1735"/>
      <x:c r="S1735"/>
      <x:c r="T1735"/>
    </x:row>
    <x:row r="1736" spans="1:20" ht="15.75" x14ac:dyDescent="0.25">
      <x:c r="A1736"/>
      <x:c r="B1736"/>
      <x:c r="C1736"/>
      <x:c r="D1736"/>
      <x:c r="E1736" s="31"/>
      <x:c r="F1736" s="8"/>
      <x:c r="G1736" s="8"/>
      <x:c r="H1736" s="6"/>
      <x:c r="I1736" s="27"/>
      <x:c r="J1736" s="6"/>
      <x:c r="K1736" s="6"/>
      <x:c r="L1736" s="6"/>
      <x:c r="M1736" s="6"/>
      <x:c r="N1736" s="6"/>
      <x:c r="O1736" s="6"/>
      <x:c r="P1736" s="6"/>
      <x:c r="Q1736" s="6"/>
      <x:c r="R1736"/>
      <x:c r="S1736"/>
      <x:c r="T1736"/>
    </x:row>
    <x:row r="1737" spans="1:20" ht="15.75" x14ac:dyDescent="0.25">
      <x:c r="A1737"/>
      <x:c r="B1737"/>
      <x:c r="C1737"/>
      <x:c r="D1737"/>
      <x:c r="E1737" s="31"/>
      <x:c r="F1737" s="8"/>
      <x:c r="G1737" s="8"/>
      <x:c r="H1737" s="6"/>
      <x:c r="I1737" s="27"/>
      <x:c r="J1737" s="6"/>
      <x:c r="K1737" s="6"/>
      <x:c r="L1737" s="6"/>
      <x:c r="M1737" s="6"/>
      <x:c r="N1737" s="6"/>
      <x:c r="O1737" s="6"/>
      <x:c r="P1737" s="6"/>
      <x:c r="Q1737" s="6"/>
      <x:c r="R1737"/>
      <x:c r="S1737"/>
      <x:c r="T1737"/>
    </x:row>
    <x:row r="1738" spans="1:20" ht="15.75" x14ac:dyDescent="0.25">
      <x:c r="A1738"/>
      <x:c r="B1738"/>
      <x:c r="C1738"/>
      <x:c r="D1738"/>
      <x:c r="E1738" s="31"/>
      <x:c r="F1738" s="8"/>
      <x:c r="G1738" s="8"/>
      <x:c r="H1738" s="6"/>
      <x:c r="I1738" s="27"/>
      <x:c r="J1738" s="6"/>
      <x:c r="K1738" s="6"/>
      <x:c r="L1738" s="6"/>
      <x:c r="M1738" s="6"/>
      <x:c r="N1738" s="6"/>
      <x:c r="O1738" s="6"/>
      <x:c r="P1738" s="6"/>
      <x:c r="Q1738" s="6"/>
      <x:c r="R1738"/>
      <x:c r="S1738"/>
      <x:c r="T1738"/>
    </x:row>
    <x:row r="1739" spans="1:20" ht="15.75" x14ac:dyDescent="0.25">
      <x:c r="A1739"/>
      <x:c r="B1739"/>
      <x:c r="C1739"/>
      <x:c r="D1739"/>
      <x:c r="E1739" s="31"/>
      <x:c r="F1739" s="8"/>
      <x:c r="G1739" s="8"/>
      <x:c r="H1739" s="6"/>
      <x:c r="I1739" s="27"/>
      <x:c r="J1739" s="6"/>
      <x:c r="K1739" s="6"/>
      <x:c r="L1739" s="6"/>
      <x:c r="M1739" s="6"/>
      <x:c r="N1739" s="6"/>
      <x:c r="O1739" s="6"/>
      <x:c r="P1739" s="6"/>
      <x:c r="Q1739" s="6"/>
      <x:c r="R1739"/>
      <x:c r="S1739"/>
      <x:c r="T1739"/>
    </x:row>
    <x:row r="1740" spans="1:20" ht="15.75" x14ac:dyDescent="0.25">
      <x:c r="A1740"/>
      <x:c r="B1740"/>
      <x:c r="C1740"/>
      <x:c r="D1740"/>
      <x:c r="E1740" s="31"/>
      <x:c r="F1740" s="8"/>
      <x:c r="G1740" s="8"/>
      <x:c r="H1740" s="6"/>
      <x:c r="I1740" s="27"/>
      <x:c r="J1740" s="6"/>
      <x:c r="K1740" s="6"/>
      <x:c r="L1740" s="6"/>
      <x:c r="M1740" s="6"/>
      <x:c r="N1740" s="6"/>
      <x:c r="O1740" s="6"/>
      <x:c r="P1740" s="6"/>
      <x:c r="Q1740" s="6"/>
      <x:c r="R1740"/>
      <x:c r="S1740"/>
      <x:c r="T1740"/>
    </x:row>
    <x:row r="1741" spans="1:20" ht="15.75" x14ac:dyDescent="0.25">
      <x:c r="A1741"/>
      <x:c r="B1741"/>
      <x:c r="C1741"/>
      <x:c r="D1741"/>
      <x:c r="E1741" s="31"/>
      <x:c r="F1741" s="8"/>
      <x:c r="G1741" s="8"/>
      <x:c r="H1741" s="6"/>
      <x:c r="I1741" s="27"/>
      <x:c r="J1741" s="6"/>
      <x:c r="K1741" s="6"/>
      <x:c r="L1741" s="6"/>
      <x:c r="M1741" s="6"/>
      <x:c r="N1741" s="6"/>
      <x:c r="O1741" s="6"/>
      <x:c r="P1741" s="6"/>
      <x:c r="Q1741" s="6"/>
      <x:c r="R1741"/>
      <x:c r="S1741"/>
      <x:c r="T1741"/>
    </x:row>
    <x:row r="1742" spans="1:20" ht="15.75" x14ac:dyDescent="0.25">
      <x:c r="A1742"/>
      <x:c r="B1742"/>
      <x:c r="C1742"/>
      <x:c r="D1742"/>
      <x:c r="E1742" s="31"/>
      <x:c r="F1742" s="8"/>
      <x:c r="G1742" s="8"/>
      <x:c r="H1742" s="6"/>
      <x:c r="I1742" s="27"/>
      <x:c r="J1742" s="6"/>
      <x:c r="K1742" s="6"/>
      <x:c r="L1742" s="6"/>
      <x:c r="M1742" s="6"/>
      <x:c r="N1742" s="6"/>
      <x:c r="O1742" s="6"/>
      <x:c r="P1742" s="6"/>
      <x:c r="Q1742" s="6"/>
      <x:c r="R1742"/>
      <x:c r="S1742"/>
      <x:c r="T1742"/>
    </x:row>
    <x:row r="1743" spans="1:20" ht="15.75" x14ac:dyDescent="0.25">
      <x:c r="A1743"/>
      <x:c r="B1743"/>
      <x:c r="C1743"/>
      <x:c r="D1743"/>
      <x:c r="E1743" s="31"/>
      <x:c r="F1743" s="8"/>
      <x:c r="G1743" s="8"/>
      <x:c r="H1743" s="6"/>
      <x:c r="I1743" s="27"/>
      <x:c r="J1743" s="6"/>
      <x:c r="K1743" s="6"/>
      <x:c r="L1743" s="6"/>
      <x:c r="M1743" s="6"/>
      <x:c r="N1743" s="6"/>
      <x:c r="O1743" s="6"/>
      <x:c r="P1743" s="6"/>
      <x:c r="Q1743" s="6"/>
      <x:c r="R1743"/>
      <x:c r="S1743"/>
      <x:c r="T1743"/>
    </x:row>
    <x:row r="1744" spans="1:20" ht="15.75" x14ac:dyDescent="0.25">
      <x:c r="A1744"/>
      <x:c r="B1744"/>
      <x:c r="C1744"/>
      <x:c r="D1744"/>
      <x:c r="E1744" s="31"/>
      <x:c r="F1744" s="8"/>
      <x:c r="G1744" s="8"/>
      <x:c r="H1744" s="6"/>
      <x:c r="I1744" s="27"/>
      <x:c r="J1744" s="6"/>
      <x:c r="K1744" s="6"/>
      <x:c r="L1744" s="6"/>
      <x:c r="M1744" s="6"/>
      <x:c r="N1744" s="6"/>
      <x:c r="O1744" s="6"/>
      <x:c r="P1744" s="6"/>
      <x:c r="Q1744" s="6"/>
      <x:c r="R1744"/>
      <x:c r="S1744"/>
      <x:c r="T1744"/>
    </x:row>
    <x:row r="1745" spans="1:20" ht="15.75" x14ac:dyDescent="0.25">
      <x:c r="A1745"/>
      <x:c r="B1745"/>
      <x:c r="C1745"/>
      <x:c r="D1745"/>
      <x:c r="E1745" s="31"/>
      <x:c r="F1745" s="8"/>
      <x:c r="G1745" s="8"/>
      <x:c r="H1745" s="6"/>
      <x:c r="I1745" s="27"/>
      <x:c r="J1745" s="6"/>
      <x:c r="K1745" s="6"/>
      <x:c r="L1745" s="6"/>
      <x:c r="M1745" s="6"/>
      <x:c r="N1745" s="6"/>
      <x:c r="O1745" s="6"/>
      <x:c r="P1745" s="6"/>
      <x:c r="Q1745" s="6"/>
      <x:c r="R1745"/>
      <x:c r="S1745"/>
      <x:c r="T1745"/>
    </x:row>
    <x:row r="1746" spans="1:20" ht="15.75" x14ac:dyDescent="0.25">
      <x:c r="A1746"/>
      <x:c r="B1746"/>
      <x:c r="C1746"/>
      <x:c r="D1746"/>
      <x:c r="E1746" s="31"/>
      <x:c r="F1746" s="8"/>
      <x:c r="G1746" s="8"/>
      <x:c r="H1746" s="6"/>
      <x:c r="I1746" s="27"/>
      <x:c r="J1746" s="6"/>
      <x:c r="K1746" s="6"/>
      <x:c r="L1746" s="6"/>
      <x:c r="M1746" s="6"/>
      <x:c r="N1746" s="6"/>
      <x:c r="O1746" s="6"/>
      <x:c r="P1746" s="6"/>
      <x:c r="Q1746" s="6"/>
      <x:c r="R1746"/>
      <x:c r="S1746"/>
      <x:c r="T1746"/>
    </x:row>
    <x:row r="1747" spans="1:20" ht="15.75" x14ac:dyDescent="0.25">
      <x:c r="A1747"/>
      <x:c r="B1747"/>
      <x:c r="C1747"/>
      <x:c r="D1747"/>
      <x:c r="E1747" s="31"/>
      <x:c r="F1747" s="8"/>
      <x:c r="G1747" s="8"/>
      <x:c r="H1747" s="6"/>
      <x:c r="I1747" s="27"/>
      <x:c r="J1747" s="6"/>
      <x:c r="K1747" s="6"/>
      <x:c r="L1747" s="6"/>
      <x:c r="M1747" s="6"/>
      <x:c r="N1747" s="6"/>
      <x:c r="O1747" s="6"/>
      <x:c r="P1747" s="6"/>
      <x:c r="Q1747" s="6"/>
      <x:c r="R1747"/>
      <x:c r="S1747"/>
      <x:c r="T1747"/>
    </x:row>
    <x:row r="1748" spans="1:20" ht="15.75" x14ac:dyDescent="0.25">
      <x:c r="A1748"/>
      <x:c r="B1748"/>
      <x:c r="C1748"/>
      <x:c r="D1748"/>
      <x:c r="E1748" s="31"/>
      <x:c r="F1748" s="8"/>
      <x:c r="G1748" s="8"/>
      <x:c r="H1748" s="6"/>
      <x:c r="I1748" s="27"/>
      <x:c r="J1748" s="6"/>
      <x:c r="K1748" s="6"/>
      <x:c r="L1748" s="6"/>
      <x:c r="M1748" s="6"/>
      <x:c r="N1748" s="6"/>
      <x:c r="O1748" s="6"/>
      <x:c r="P1748" s="6"/>
      <x:c r="Q1748" s="6"/>
      <x:c r="R1748"/>
      <x:c r="S1748"/>
      <x:c r="T1748"/>
    </x:row>
    <x:row r="1749" spans="1:20" ht="15.75" x14ac:dyDescent="0.25">
      <x:c r="A1749"/>
      <x:c r="B1749"/>
      <x:c r="C1749"/>
      <x:c r="D1749"/>
      <x:c r="E1749" s="31"/>
      <x:c r="F1749" s="8"/>
      <x:c r="G1749" s="8"/>
      <x:c r="H1749" s="6"/>
      <x:c r="I1749" s="27"/>
      <x:c r="J1749" s="6"/>
      <x:c r="K1749" s="6"/>
      <x:c r="L1749" s="6"/>
      <x:c r="M1749" s="6"/>
      <x:c r="N1749" s="6"/>
      <x:c r="O1749" s="6"/>
      <x:c r="P1749" s="6"/>
      <x:c r="Q1749" s="6"/>
      <x:c r="R1749"/>
      <x:c r="S1749"/>
      <x:c r="T1749"/>
    </x:row>
    <x:row r="1750" spans="1:20" ht="15.75" x14ac:dyDescent="0.25">
      <x:c r="A1750"/>
      <x:c r="B1750"/>
      <x:c r="C1750"/>
      <x:c r="D1750"/>
      <x:c r="E1750" s="31"/>
      <x:c r="F1750" s="8"/>
      <x:c r="G1750" s="8"/>
      <x:c r="H1750" s="6"/>
      <x:c r="I1750" s="27"/>
      <x:c r="J1750" s="6"/>
      <x:c r="K1750" s="6"/>
      <x:c r="L1750" s="6"/>
      <x:c r="M1750" s="6"/>
      <x:c r="N1750" s="6"/>
      <x:c r="O1750" s="6"/>
      <x:c r="P1750" s="6"/>
      <x:c r="Q1750" s="6"/>
      <x:c r="R1750"/>
      <x:c r="S1750"/>
      <x:c r="T1750"/>
    </x:row>
    <x:row r="1751" spans="1:20" ht="15.75" x14ac:dyDescent="0.25">
      <x:c r="A1751"/>
      <x:c r="B1751"/>
      <x:c r="C1751"/>
      <x:c r="D1751"/>
      <x:c r="E1751" s="31"/>
      <x:c r="F1751" s="8"/>
      <x:c r="G1751" s="8"/>
      <x:c r="H1751" s="6"/>
      <x:c r="I1751" s="27"/>
      <x:c r="J1751" s="6"/>
      <x:c r="K1751" s="6"/>
      <x:c r="L1751" s="6"/>
      <x:c r="M1751" s="6"/>
      <x:c r="N1751" s="6"/>
      <x:c r="O1751" s="6"/>
      <x:c r="P1751" s="6"/>
      <x:c r="Q1751" s="6"/>
      <x:c r="R1751"/>
      <x:c r="S1751"/>
      <x:c r="T1751"/>
    </x:row>
    <x:row r="1752" spans="1:20" ht="15.75" x14ac:dyDescent="0.25">
      <x:c r="A1752"/>
      <x:c r="B1752"/>
      <x:c r="C1752"/>
      <x:c r="D1752"/>
      <x:c r="E1752" s="31"/>
      <x:c r="F1752" s="8"/>
      <x:c r="G1752" s="8"/>
      <x:c r="H1752" s="6"/>
      <x:c r="I1752" s="27"/>
      <x:c r="J1752" s="6"/>
      <x:c r="K1752" s="6"/>
      <x:c r="L1752" s="6"/>
      <x:c r="M1752" s="6"/>
      <x:c r="N1752" s="6"/>
      <x:c r="O1752" s="6"/>
      <x:c r="P1752" s="6"/>
      <x:c r="Q1752" s="6"/>
      <x:c r="R1752"/>
      <x:c r="S1752"/>
      <x:c r="T1752"/>
    </x:row>
    <x:row r="1753" spans="1:20" ht="15.75" x14ac:dyDescent="0.25">
      <x:c r="A1753"/>
      <x:c r="B1753"/>
      <x:c r="C1753"/>
      <x:c r="D1753"/>
      <x:c r="E1753" s="31"/>
      <x:c r="F1753" s="8"/>
      <x:c r="G1753" s="8"/>
      <x:c r="H1753" s="6"/>
      <x:c r="I1753" s="27"/>
      <x:c r="J1753" s="6"/>
      <x:c r="K1753" s="6"/>
      <x:c r="L1753" s="6"/>
      <x:c r="M1753" s="6"/>
      <x:c r="N1753" s="6"/>
      <x:c r="O1753" s="6"/>
      <x:c r="P1753" s="6"/>
      <x:c r="Q1753" s="6"/>
      <x:c r="R1753"/>
      <x:c r="S1753"/>
      <x:c r="T1753"/>
    </x:row>
    <x:row r="1754" spans="1:20" ht="15.75" x14ac:dyDescent="0.25">
      <x:c r="A1754"/>
      <x:c r="B1754"/>
      <x:c r="C1754"/>
      <x:c r="D1754"/>
      <x:c r="E1754" s="31"/>
      <x:c r="F1754" s="8"/>
      <x:c r="G1754" s="8"/>
      <x:c r="H1754" s="6"/>
      <x:c r="I1754" s="27"/>
      <x:c r="J1754" s="6"/>
      <x:c r="K1754" s="6"/>
      <x:c r="L1754" s="6"/>
      <x:c r="M1754" s="6"/>
      <x:c r="N1754" s="6"/>
      <x:c r="O1754" s="6"/>
      <x:c r="P1754" s="6"/>
      <x:c r="Q1754" s="6"/>
      <x:c r="R1754"/>
      <x:c r="S1754"/>
      <x:c r="T1754"/>
    </x:row>
    <x:row r="1755" spans="1:20" ht="15.75" x14ac:dyDescent="0.25">
      <x:c r="A1755"/>
      <x:c r="B1755"/>
      <x:c r="C1755"/>
      <x:c r="D1755"/>
      <x:c r="E1755" s="31"/>
      <x:c r="F1755" s="8"/>
      <x:c r="G1755" s="8"/>
      <x:c r="H1755" s="6"/>
      <x:c r="I1755" s="27"/>
      <x:c r="J1755" s="6"/>
      <x:c r="K1755" s="6"/>
      <x:c r="L1755" s="6"/>
      <x:c r="M1755" s="6"/>
      <x:c r="N1755" s="6"/>
      <x:c r="O1755" s="6"/>
      <x:c r="P1755" s="6"/>
      <x:c r="Q1755" s="6"/>
      <x:c r="R1755"/>
      <x:c r="S1755"/>
      <x:c r="T1755"/>
    </x:row>
    <x:row r="1756" spans="1:20" ht="15.75" x14ac:dyDescent="0.25">
      <x:c r="A1756"/>
      <x:c r="B1756"/>
      <x:c r="C1756"/>
      <x:c r="D1756"/>
      <x:c r="E1756" s="31"/>
      <x:c r="F1756" s="8"/>
      <x:c r="G1756" s="8"/>
      <x:c r="H1756" s="6"/>
      <x:c r="I1756" s="27"/>
      <x:c r="J1756" s="6"/>
      <x:c r="K1756" s="6"/>
      <x:c r="L1756" s="6"/>
      <x:c r="M1756" s="6"/>
      <x:c r="N1756" s="6"/>
      <x:c r="O1756" s="6"/>
      <x:c r="P1756" s="6"/>
      <x:c r="Q1756" s="6"/>
      <x:c r="R1756"/>
      <x:c r="S1756"/>
      <x:c r="T1756"/>
    </x:row>
    <x:row r="1757" spans="1:20" ht="15.75" x14ac:dyDescent="0.25">
      <x:c r="A1757"/>
      <x:c r="B1757"/>
      <x:c r="C1757"/>
      <x:c r="D1757"/>
      <x:c r="E1757" s="31"/>
      <x:c r="F1757" s="8"/>
      <x:c r="G1757" s="8"/>
      <x:c r="H1757" s="6"/>
      <x:c r="I1757" s="27"/>
      <x:c r="J1757" s="6"/>
      <x:c r="K1757" s="6"/>
      <x:c r="L1757" s="6"/>
      <x:c r="M1757" s="6"/>
      <x:c r="N1757" s="6"/>
      <x:c r="O1757" s="6"/>
      <x:c r="P1757" s="6"/>
      <x:c r="Q1757" s="6"/>
      <x:c r="R1757"/>
      <x:c r="S1757"/>
      <x:c r="T1757"/>
    </x:row>
    <x:row r="1758" spans="1:20" ht="15.75" x14ac:dyDescent="0.25">
      <x:c r="A1758"/>
      <x:c r="B1758"/>
      <x:c r="C1758"/>
      <x:c r="D1758"/>
      <x:c r="E1758" s="31"/>
      <x:c r="F1758" s="8"/>
      <x:c r="G1758" s="8"/>
      <x:c r="H1758" s="6"/>
      <x:c r="I1758" s="27"/>
      <x:c r="J1758" s="6"/>
      <x:c r="K1758" s="6"/>
      <x:c r="L1758" s="6"/>
      <x:c r="M1758" s="6"/>
      <x:c r="N1758" s="6"/>
      <x:c r="O1758" s="6"/>
      <x:c r="P1758" s="6"/>
      <x:c r="Q1758" s="6"/>
      <x:c r="R1758"/>
      <x:c r="S1758"/>
      <x:c r="T1758"/>
    </x:row>
    <x:row r="1759" spans="1:20" ht="15.75" x14ac:dyDescent="0.25">
      <x:c r="A1759"/>
      <x:c r="B1759"/>
      <x:c r="C1759"/>
      <x:c r="D1759"/>
      <x:c r="E1759" s="31"/>
      <x:c r="F1759" s="8"/>
      <x:c r="G1759" s="8"/>
      <x:c r="H1759" s="6"/>
      <x:c r="I1759" s="27"/>
      <x:c r="J1759" s="6"/>
      <x:c r="K1759" s="6"/>
      <x:c r="L1759" s="6"/>
      <x:c r="M1759" s="6"/>
      <x:c r="N1759" s="6"/>
      <x:c r="O1759" s="6"/>
      <x:c r="P1759" s="6"/>
      <x:c r="Q1759" s="6"/>
      <x:c r="R1759"/>
      <x:c r="S1759"/>
      <x:c r="T1759"/>
    </x:row>
    <x:row r="1760" spans="1:20" ht="15.75" x14ac:dyDescent="0.25">
      <x:c r="A1760"/>
      <x:c r="B1760"/>
      <x:c r="C1760"/>
      <x:c r="D1760"/>
      <x:c r="E1760" s="31"/>
      <x:c r="F1760" s="8"/>
      <x:c r="G1760" s="8"/>
      <x:c r="H1760" s="6"/>
      <x:c r="I1760" s="27"/>
      <x:c r="J1760" s="6"/>
      <x:c r="K1760" s="6"/>
      <x:c r="L1760" s="6"/>
      <x:c r="M1760" s="6"/>
      <x:c r="N1760" s="6"/>
      <x:c r="O1760" s="6"/>
      <x:c r="P1760" s="6"/>
      <x:c r="Q1760" s="6"/>
      <x:c r="R1760"/>
      <x:c r="S1760"/>
      <x:c r="T1760"/>
    </x:row>
    <x:row r="1761" spans="1:20" ht="15.75" x14ac:dyDescent="0.25">
      <x:c r="A1761"/>
      <x:c r="B1761"/>
      <x:c r="C1761"/>
      <x:c r="D1761"/>
      <x:c r="E1761" s="31"/>
      <x:c r="F1761" s="8"/>
      <x:c r="G1761" s="8"/>
      <x:c r="H1761" s="6"/>
      <x:c r="I1761" s="27"/>
      <x:c r="J1761" s="6"/>
      <x:c r="K1761" s="6"/>
      <x:c r="L1761" s="6"/>
      <x:c r="M1761" s="6"/>
      <x:c r="N1761" s="6"/>
      <x:c r="O1761" s="6"/>
      <x:c r="P1761" s="6"/>
      <x:c r="Q1761" s="6"/>
      <x:c r="R1761"/>
      <x:c r="S1761"/>
      <x:c r="T1761"/>
    </x:row>
    <x:row r="1762" spans="1:20" ht="15.75" x14ac:dyDescent="0.25">
      <x:c r="A1762"/>
      <x:c r="B1762"/>
      <x:c r="C1762"/>
      <x:c r="D1762"/>
      <x:c r="E1762" s="31"/>
      <x:c r="F1762" s="8"/>
      <x:c r="G1762" s="8"/>
      <x:c r="H1762" s="6"/>
      <x:c r="I1762" s="27"/>
      <x:c r="J1762" s="6"/>
      <x:c r="K1762" s="6"/>
      <x:c r="L1762" s="6"/>
      <x:c r="M1762" s="6"/>
      <x:c r="N1762" s="6"/>
      <x:c r="O1762" s="6"/>
      <x:c r="P1762" s="6"/>
      <x:c r="Q1762" s="6"/>
      <x:c r="R1762"/>
      <x:c r="S1762"/>
      <x:c r="T1762"/>
    </x:row>
    <x:row r="1763" spans="1:20" ht="15.75" x14ac:dyDescent="0.25">
      <x:c r="A1763"/>
      <x:c r="B1763"/>
      <x:c r="C1763"/>
      <x:c r="D1763"/>
      <x:c r="E1763" s="31"/>
      <x:c r="F1763" s="8"/>
      <x:c r="G1763" s="8"/>
      <x:c r="H1763" s="6"/>
      <x:c r="I1763" s="27"/>
      <x:c r="J1763" s="6"/>
      <x:c r="K1763" s="6"/>
      <x:c r="L1763" s="6"/>
      <x:c r="M1763" s="6"/>
      <x:c r="N1763" s="6"/>
      <x:c r="O1763" s="6"/>
      <x:c r="P1763" s="6"/>
      <x:c r="Q1763" s="6"/>
      <x:c r="R1763"/>
      <x:c r="S1763"/>
      <x:c r="T1763"/>
    </x:row>
    <x:row r="1764" spans="1:20" ht="15.75" x14ac:dyDescent="0.25">
      <x:c r="A1764"/>
      <x:c r="B1764"/>
      <x:c r="C1764"/>
      <x:c r="D1764"/>
      <x:c r="E1764" s="31"/>
      <x:c r="F1764" s="8"/>
      <x:c r="G1764" s="8"/>
      <x:c r="H1764" s="6"/>
      <x:c r="I1764" s="27"/>
      <x:c r="J1764" s="6"/>
      <x:c r="K1764" s="6"/>
      <x:c r="L1764" s="6"/>
      <x:c r="M1764" s="6"/>
      <x:c r="N1764" s="6"/>
      <x:c r="O1764" s="6"/>
      <x:c r="P1764" s="6"/>
      <x:c r="Q1764" s="6"/>
      <x:c r="R1764"/>
      <x:c r="S1764"/>
      <x:c r="T1764"/>
    </x:row>
    <x:row r="1765" spans="1:20" ht="15.75" x14ac:dyDescent="0.25">
      <x:c r="A1765"/>
      <x:c r="B1765"/>
      <x:c r="C1765"/>
      <x:c r="D1765"/>
      <x:c r="E1765" s="31"/>
      <x:c r="F1765" s="8"/>
      <x:c r="G1765" s="8"/>
      <x:c r="H1765" s="6"/>
      <x:c r="I1765" s="27"/>
      <x:c r="J1765" s="6"/>
      <x:c r="K1765" s="6"/>
      <x:c r="L1765" s="6"/>
      <x:c r="M1765" s="6"/>
      <x:c r="N1765" s="6"/>
      <x:c r="O1765" s="6"/>
      <x:c r="P1765" s="6"/>
      <x:c r="Q1765" s="6"/>
      <x:c r="R1765"/>
      <x:c r="S1765"/>
      <x:c r="T1765"/>
    </x:row>
    <x:row r="1766" spans="1:20" ht="15.75" x14ac:dyDescent="0.25">
      <x:c r="A1766"/>
      <x:c r="B1766"/>
      <x:c r="C1766"/>
      <x:c r="D1766"/>
      <x:c r="E1766" s="31"/>
      <x:c r="F1766" s="8"/>
      <x:c r="G1766" s="8"/>
      <x:c r="H1766" s="6"/>
      <x:c r="I1766" s="27"/>
      <x:c r="J1766" s="6"/>
      <x:c r="K1766" s="6"/>
      <x:c r="L1766" s="6"/>
      <x:c r="M1766" s="6"/>
      <x:c r="N1766" s="6"/>
      <x:c r="O1766" s="6"/>
      <x:c r="P1766" s="6"/>
      <x:c r="Q1766" s="6"/>
      <x:c r="R1766"/>
      <x:c r="S1766"/>
      <x:c r="T1766"/>
    </x:row>
    <x:row r="1767" spans="1:20" ht="15.75" x14ac:dyDescent="0.25">
      <x:c r="A1767"/>
      <x:c r="B1767"/>
      <x:c r="C1767"/>
      <x:c r="D1767"/>
      <x:c r="E1767" s="31"/>
      <x:c r="F1767" s="8"/>
      <x:c r="G1767" s="8"/>
      <x:c r="H1767" s="6"/>
      <x:c r="I1767" s="27"/>
      <x:c r="J1767" s="6"/>
      <x:c r="K1767" s="6"/>
      <x:c r="L1767" s="6"/>
      <x:c r="M1767" s="6"/>
      <x:c r="N1767" s="6"/>
      <x:c r="O1767" s="6"/>
      <x:c r="P1767" s="6"/>
      <x:c r="Q1767" s="6"/>
      <x:c r="R1767"/>
      <x:c r="S1767"/>
      <x:c r="T1767"/>
    </x:row>
    <x:row r="1768" spans="1:20" ht="15.75" x14ac:dyDescent="0.25">
      <x:c r="A1768"/>
      <x:c r="B1768"/>
      <x:c r="C1768"/>
      <x:c r="D1768"/>
      <x:c r="E1768" s="31"/>
      <x:c r="F1768" s="8"/>
      <x:c r="G1768" s="8"/>
      <x:c r="H1768" s="6"/>
      <x:c r="I1768" s="27"/>
      <x:c r="J1768" s="6"/>
      <x:c r="K1768" s="6"/>
      <x:c r="L1768" s="6"/>
      <x:c r="M1768" s="6"/>
      <x:c r="N1768" s="6"/>
      <x:c r="O1768" s="6"/>
      <x:c r="P1768" s="6"/>
      <x:c r="Q1768" s="6"/>
      <x:c r="R1768"/>
      <x:c r="S1768"/>
      <x:c r="T1768"/>
    </x:row>
    <x:row r="1769" spans="1:20" ht="15.75" x14ac:dyDescent="0.25">
      <x:c r="A1769"/>
      <x:c r="B1769"/>
      <x:c r="C1769"/>
      <x:c r="D1769"/>
      <x:c r="E1769" s="31"/>
      <x:c r="F1769" s="8"/>
      <x:c r="G1769" s="8"/>
      <x:c r="H1769" s="6"/>
      <x:c r="I1769" s="27"/>
      <x:c r="J1769" s="6"/>
      <x:c r="K1769" s="6"/>
      <x:c r="L1769" s="6"/>
      <x:c r="M1769" s="6"/>
      <x:c r="N1769" s="6"/>
      <x:c r="O1769" s="6"/>
      <x:c r="P1769" s="6"/>
      <x:c r="Q1769" s="6"/>
      <x:c r="R1769"/>
      <x:c r="S1769"/>
      <x:c r="T1769"/>
    </x:row>
    <x:row r="1770" spans="1:20" ht="15.75" x14ac:dyDescent="0.25">
      <x:c r="A1770"/>
      <x:c r="B1770"/>
      <x:c r="C1770"/>
      <x:c r="D1770"/>
      <x:c r="E1770" s="31"/>
      <x:c r="F1770" s="8"/>
      <x:c r="G1770" s="8"/>
      <x:c r="H1770" s="6"/>
      <x:c r="I1770" s="27"/>
      <x:c r="J1770" s="6"/>
      <x:c r="K1770" s="6"/>
      <x:c r="L1770" s="6"/>
      <x:c r="M1770" s="6"/>
      <x:c r="N1770" s="6"/>
      <x:c r="O1770" s="6"/>
      <x:c r="P1770" s="6"/>
      <x:c r="Q1770" s="6"/>
      <x:c r="R1770"/>
      <x:c r="S1770"/>
      <x:c r="T1770"/>
    </x:row>
    <x:row r="1771" spans="1:20" ht="15.75" x14ac:dyDescent="0.25">
      <x:c r="A1771"/>
      <x:c r="B1771"/>
      <x:c r="C1771"/>
      <x:c r="D1771"/>
      <x:c r="E1771" s="31"/>
      <x:c r="F1771" s="8"/>
      <x:c r="G1771" s="8"/>
      <x:c r="H1771" s="6"/>
      <x:c r="I1771" s="27"/>
      <x:c r="J1771" s="6"/>
      <x:c r="K1771" s="6"/>
      <x:c r="L1771" s="6"/>
      <x:c r="M1771" s="6"/>
      <x:c r="N1771" s="6"/>
      <x:c r="O1771" s="6"/>
      <x:c r="P1771" s="6"/>
      <x:c r="Q1771" s="6"/>
      <x:c r="R1771"/>
      <x:c r="S1771"/>
      <x:c r="T1771"/>
    </x:row>
    <x:row r="1772" spans="1:20" ht="15.75" x14ac:dyDescent="0.25">
      <x:c r="A1772"/>
      <x:c r="B1772"/>
      <x:c r="C1772"/>
      <x:c r="D1772"/>
      <x:c r="E1772" s="31"/>
      <x:c r="F1772" s="8"/>
      <x:c r="G1772" s="8"/>
      <x:c r="H1772" s="6"/>
      <x:c r="I1772" s="27"/>
      <x:c r="J1772" s="6"/>
      <x:c r="K1772" s="6"/>
      <x:c r="L1772" s="6"/>
      <x:c r="M1772" s="6"/>
      <x:c r="N1772" s="6"/>
      <x:c r="O1772" s="6"/>
      <x:c r="P1772" s="6"/>
      <x:c r="Q1772" s="6"/>
      <x:c r="R1772"/>
      <x:c r="S1772"/>
      <x:c r="T1772"/>
    </x:row>
    <x:row r="1773" spans="1:20" ht="15.75" x14ac:dyDescent="0.25">
      <x:c r="A1773"/>
      <x:c r="B1773"/>
      <x:c r="C1773"/>
      <x:c r="D1773"/>
      <x:c r="E1773" s="31"/>
      <x:c r="F1773" s="8"/>
      <x:c r="G1773" s="8"/>
      <x:c r="H1773" s="6"/>
      <x:c r="I1773" s="27"/>
      <x:c r="J1773" s="6"/>
      <x:c r="K1773" s="6"/>
      <x:c r="L1773" s="6"/>
      <x:c r="M1773" s="6"/>
      <x:c r="N1773" s="6"/>
      <x:c r="O1773" s="6"/>
      <x:c r="P1773" s="6"/>
      <x:c r="Q1773" s="6"/>
      <x:c r="R1773"/>
      <x:c r="S1773"/>
      <x:c r="T1773"/>
    </x:row>
    <x:row r="1774" spans="1:20" ht="15.75" x14ac:dyDescent="0.25">
      <x:c r="A1774"/>
      <x:c r="B1774"/>
      <x:c r="C1774"/>
      <x:c r="D1774"/>
      <x:c r="E1774" s="31"/>
      <x:c r="F1774" s="8"/>
      <x:c r="G1774" s="8"/>
      <x:c r="H1774" s="6"/>
      <x:c r="I1774" s="27"/>
      <x:c r="J1774" s="6"/>
      <x:c r="K1774" s="6"/>
      <x:c r="L1774" s="6"/>
      <x:c r="M1774" s="6"/>
      <x:c r="N1774" s="6"/>
      <x:c r="O1774" s="6"/>
      <x:c r="P1774" s="6"/>
      <x:c r="Q1774" s="6"/>
      <x:c r="R1774"/>
      <x:c r="S1774"/>
      <x:c r="T1774"/>
    </x:row>
    <x:row r="1775" spans="1:20" ht="15.75" x14ac:dyDescent="0.25">
      <x:c r="A1775"/>
      <x:c r="B1775"/>
      <x:c r="C1775"/>
      <x:c r="D1775"/>
      <x:c r="E1775" s="31"/>
      <x:c r="F1775" s="8"/>
      <x:c r="G1775" s="8"/>
      <x:c r="H1775" s="6"/>
      <x:c r="I1775" s="27"/>
      <x:c r="J1775" s="6"/>
      <x:c r="K1775" s="6"/>
      <x:c r="L1775" s="6"/>
      <x:c r="M1775" s="6"/>
      <x:c r="N1775" s="6"/>
      <x:c r="O1775" s="6"/>
      <x:c r="P1775" s="6"/>
      <x:c r="Q1775" s="6"/>
      <x:c r="R1775"/>
      <x:c r="S1775"/>
      <x:c r="T1775"/>
    </x:row>
    <x:row r="1776" spans="1:20" ht="15.75" x14ac:dyDescent="0.25">
      <x:c r="A1776"/>
      <x:c r="B1776"/>
      <x:c r="C1776"/>
      <x:c r="D1776"/>
      <x:c r="E1776" s="31"/>
      <x:c r="F1776" s="8"/>
      <x:c r="G1776" s="8"/>
      <x:c r="H1776" s="6"/>
      <x:c r="I1776" s="27"/>
      <x:c r="J1776" s="6"/>
      <x:c r="K1776" s="6"/>
      <x:c r="L1776" s="6"/>
      <x:c r="M1776" s="6"/>
      <x:c r="N1776" s="6"/>
      <x:c r="O1776" s="6"/>
      <x:c r="P1776" s="6"/>
      <x:c r="Q1776" s="6"/>
      <x:c r="R1776"/>
      <x:c r="S1776"/>
      <x:c r="T1776"/>
    </x:row>
    <x:row r="1777" spans="1:20" ht="15.75" x14ac:dyDescent="0.25">
      <x:c r="A1777"/>
      <x:c r="B1777"/>
      <x:c r="C1777"/>
      <x:c r="D1777"/>
      <x:c r="E1777" s="31"/>
      <x:c r="F1777" s="8"/>
      <x:c r="G1777" s="8"/>
      <x:c r="H1777" s="6"/>
      <x:c r="I1777" s="27"/>
      <x:c r="J1777" s="6"/>
      <x:c r="K1777" s="6"/>
      <x:c r="L1777" s="6"/>
      <x:c r="M1777" s="6"/>
      <x:c r="N1777" s="6"/>
      <x:c r="O1777" s="6"/>
      <x:c r="P1777" s="6"/>
      <x:c r="Q1777" s="6"/>
      <x:c r="R1777"/>
      <x:c r="S1777"/>
      <x:c r="T1777"/>
    </x:row>
    <x:row r="1778" spans="1:20" ht="15.75" x14ac:dyDescent="0.25">
      <x:c r="A1778"/>
      <x:c r="B1778"/>
      <x:c r="C1778"/>
      <x:c r="D1778"/>
      <x:c r="E1778" s="31"/>
      <x:c r="F1778" s="8"/>
      <x:c r="G1778" s="8"/>
      <x:c r="H1778" s="6"/>
      <x:c r="I1778" s="27"/>
      <x:c r="J1778" s="6"/>
      <x:c r="K1778" s="6"/>
      <x:c r="L1778" s="6"/>
      <x:c r="M1778" s="6"/>
      <x:c r="N1778" s="6"/>
      <x:c r="O1778" s="6"/>
      <x:c r="P1778" s="6"/>
      <x:c r="Q1778" s="6"/>
      <x:c r="R1778"/>
      <x:c r="S1778"/>
      <x:c r="T1778"/>
    </x:row>
    <x:row r="1779" spans="1:20" ht="15.75" x14ac:dyDescent="0.25">
      <x:c r="A1779"/>
      <x:c r="B1779"/>
      <x:c r="C1779"/>
      <x:c r="D1779"/>
      <x:c r="E1779" s="31"/>
      <x:c r="F1779" s="8"/>
      <x:c r="G1779" s="8"/>
      <x:c r="H1779" s="6"/>
      <x:c r="I1779" s="27"/>
      <x:c r="J1779" s="6"/>
      <x:c r="K1779" s="6"/>
      <x:c r="L1779" s="6"/>
      <x:c r="M1779" s="6"/>
      <x:c r="N1779" s="6"/>
      <x:c r="O1779" s="6"/>
      <x:c r="P1779" s="6"/>
      <x:c r="Q1779" s="6"/>
      <x:c r="R1779"/>
      <x:c r="S1779"/>
      <x:c r="T1779"/>
    </x:row>
    <x:row r="1780" spans="1:20" ht="15.75" x14ac:dyDescent="0.25">
      <x:c r="A1780"/>
      <x:c r="B1780"/>
      <x:c r="C1780"/>
      <x:c r="D1780"/>
      <x:c r="E1780" s="31"/>
      <x:c r="F1780" s="8"/>
      <x:c r="G1780" s="8"/>
      <x:c r="H1780" s="6"/>
      <x:c r="I1780" s="27"/>
      <x:c r="J1780" s="6"/>
      <x:c r="K1780" s="6"/>
      <x:c r="L1780" s="6"/>
      <x:c r="M1780" s="6"/>
      <x:c r="N1780" s="6"/>
      <x:c r="O1780" s="6"/>
      <x:c r="P1780" s="6"/>
      <x:c r="Q1780" s="6"/>
      <x:c r="R1780"/>
      <x:c r="S1780"/>
      <x:c r="T1780"/>
    </x:row>
    <x:row r="1781" spans="1:20" ht="15.75" x14ac:dyDescent="0.25">
      <x:c r="A1781"/>
      <x:c r="B1781"/>
      <x:c r="C1781"/>
      <x:c r="D1781"/>
      <x:c r="E1781" s="31"/>
      <x:c r="F1781" s="8"/>
      <x:c r="G1781" s="8"/>
      <x:c r="H1781" s="6"/>
      <x:c r="I1781" s="27"/>
      <x:c r="J1781" s="6"/>
      <x:c r="K1781" s="6"/>
      <x:c r="L1781" s="6"/>
      <x:c r="M1781" s="6"/>
      <x:c r="N1781" s="6"/>
      <x:c r="O1781" s="6"/>
      <x:c r="P1781" s="6"/>
      <x:c r="Q1781" s="6"/>
      <x:c r="R1781"/>
      <x:c r="S1781"/>
      <x:c r="T1781"/>
    </x:row>
    <x:row r="1782" spans="1:20" ht="15.75" x14ac:dyDescent="0.25">
      <x:c r="A1782"/>
      <x:c r="B1782"/>
      <x:c r="C1782"/>
      <x:c r="D1782"/>
      <x:c r="E1782" s="31"/>
      <x:c r="F1782" s="8"/>
      <x:c r="G1782" s="8"/>
      <x:c r="H1782" s="6"/>
      <x:c r="I1782" s="27"/>
      <x:c r="J1782" s="6"/>
      <x:c r="K1782" s="6"/>
      <x:c r="L1782" s="6"/>
      <x:c r="M1782" s="6"/>
      <x:c r="N1782" s="6"/>
      <x:c r="O1782" s="6"/>
      <x:c r="P1782" s="6"/>
      <x:c r="Q1782" s="6"/>
      <x:c r="R1782"/>
      <x:c r="S1782"/>
      <x:c r="T1782"/>
    </x:row>
    <x:row r="1783" spans="1:20" ht="15.75" x14ac:dyDescent="0.25">
      <x:c r="A1783"/>
      <x:c r="B1783"/>
      <x:c r="C1783"/>
      <x:c r="D1783"/>
      <x:c r="E1783" s="31"/>
      <x:c r="F1783" s="8"/>
      <x:c r="G1783" s="8"/>
      <x:c r="H1783" s="6"/>
      <x:c r="I1783" s="27"/>
      <x:c r="J1783" s="6"/>
      <x:c r="K1783" s="6"/>
      <x:c r="L1783" s="6"/>
      <x:c r="M1783" s="6"/>
      <x:c r="N1783" s="6"/>
      <x:c r="O1783" s="6"/>
      <x:c r="P1783" s="6"/>
      <x:c r="Q1783" s="6"/>
      <x:c r="R1783"/>
      <x:c r="S1783"/>
      <x:c r="T1783"/>
    </x:row>
    <x:row r="1784" spans="1:20" ht="15.75" x14ac:dyDescent="0.25">
      <x:c r="A1784"/>
      <x:c r="B1784"/>
      <x:c r="C1784"/>
      <x:c r="D1784"/>
      <x:c r="E1784" s="31"/>
      <x:c r="F1784" s="8"/>
      <x:c r="G1784" s="8"/>
      <x:c r="H1784" s="6"/>
      <x:c r="I1784" s="27"/>
      <x:c r="J1784" s="6"/>
      <x:c r="K1784" s="6"/>
      <x:c r="L1784" s="6"/>
      <x:c r="M1784" s="6"/>
      <x:c r="N1784" s="6"/>
      <x:c r="O1784" s="6"/>
      <x:c r="P1784" s="6"/>
      <x:c r="Q1784" s="6"/>
      <x:c r="R1784"/>
      <x:c r="S1784"/>
      <x:c r="T1784"/>
    </x:row>
    <x:row r="1785" spans="1:20" ht="15.75" x14ac:dyDescent="0.25">
      <x:c r="A1785"/>
      <x:c r="B1785"/>
      <x:c r="C1785"/>
      <x:c r="D1785"/>
      <x:c r="E1785" s="31"/>
      <x:c r="F1785" s="8"/>
      <x:c r="G1785" s="8"/>
      <x:c r="H1785" s="6"/>
      <x:c r="I1785" s="27"/>
      <x:c r="J1785" s="6"/>
      <x:c r="K1785" s="6"/>
      <x:c r="L1785" s="6"/>
      <x:c r="M1785" s="6"/>
      <x:c r="N1785" s="6"/>
      <x:c r="O1785" s="6"/>
      <x:c r="P1785" s="6"/>
      <x:c r="Q1785" s="6"/>
      <x:c r="R1785"/>
      <x:c r="S1785"/>
      <x:c r="T1785"/>
    </x:row>
    <x:row r="1786" spans="1:20" ht="15.75" x14ac:dyDescent="0.25">
      <x:c r="A1786"/>
      <x:c r="B1786"/>
      <x:c r="C1786"/>
      <x:c r="D1786"/>
      <x:c r="E1786" s="31"/>
      <x:c r="F1786" s="8"/>
      <x:c r="G1786" s="8"/>
      <x:c r="H1786" s="6"/>
      <x:c r="I1786" s="27"/>
      <x:c r="J1786" s="6"/>
      <x:c r="K1786" s="6"/>
      <x:c r="L1786" s="6"/>
      <x:c r="M1786" s="6"/>
      <x:c r="N1786" s="6"/>
      <x:c r="O1786" s="6"/>
      <x:c r="P1786" s="6"/>
      <x:c r="Q1786" s="6"/>
      <x:c r="R1786"/>
      <x:c r="S1786"/>
      <x:c r="T1786"/>
    </x:row>
    <x:row r="1787" spans="1:20" ht="15.75" x14ac:dyDescent="0.25">
      <x:c r="A1787"/>
      <x:c r="B1787"/>
      <x:c r="C1787"/>
      <x:c r="D1787"/>
      <x:c r="E1787" s="31"/>
      <x:c r="F1787" s="8"/>
      <x:c r="G1787" s="8"/>
      <x:c r="H1787" s="6"/>
      <x:c r="I1787" s="27"/>
      <x:c r="J1787" s="6"/>
      <x:c r="K1787" s="6"/>
      <x:c r="L1787" s="6"/>
      <x:c r="M1787" s="6"/>
      <x:c r="N1787" s="6"/>
      <x:c r="O1787" s="6"/>
      <x:c r="P1787" s="6"/>
      <x:c r="Q1787" s="6"/>
      <x:c r="R1787"/>
      <x:c r="S1787"/>
      <x:c r="T1787"/>
    </x:row>
    <x:row r="1788" spans="1:20" ht="15.75" x14ac:dyDescent="0.25">
      <x:c r="A1788"/>
      <x:c r="B1788"/>
      <x:c r="C1788"/>
      <x:c r="D1788"/>
      <x:c r="E1788" s="31"/>
      <x:c r="F1788" s="8"/>
      <x:c r="G1788" s="8"/>
      <x:c r="H1788" s="6"/>
      <x:c r="I1788" s="27"/>
      <x:c r="J1788" s="6"/>
      <x:c r="K1788" s="6"/>
      <x:c r="L1788" s="6"/>
      <x:c r="M1788" s="6"/>
      <x:c r="N1788" s="6"/>
      <x:c r="O1788" s="6"/>
      <x:c r="P1788" s="6"/>
      <x:c r="Q1788" s="6"/>
      <x:c r="R1788"/>
      <x:c r="S1788"/>
      <x:c r="T1788"/>
    </x:row>
    <x:row r="1789" spans="1:20" ht="15.75" x14ac:dyDescent="0.25">
      <x:c r="A1789"/>
      <x:c r="B1789"/>
      <x:c r="C1789"/>
      <x:c r="D1789"/>
      <x:c r="E1789" s="31"/>
      <x:c r="F1789" s="8"/>
      <x:c r="G1789" s="8"/>
      <x:c r="H1789" s="6"/>
      <x:c r="I1789" s="27"/>
      <x:c r="J1789" s="6"/>
      <x:c r="K1789" s="6"/>
      <x:c r="L1789" s="6"/>
      <x:c r="M1789" s="6"/>
      <x:c r="N1789" s="6"/>
      <x:c r="O1789" s="6"/>
      <x:c r="P1789" s="6"/>
      <x:c r="Q1789" s="6"/>
      <x:c r="R1789"/>
      <x:c r="S1789"/>
      <x:c r="T1789"/>
    </x:row>
    <x:row r="1790" spans="1:20" ht="15.75" x14ac:dyDescent="0.25">
      <x:c r="A1790"/>
      <x:c r="B1790"/>
      <x:c r="C1790"/>
      <x:c r="D1790"/>
      <x:c r="E1790" s="31"/>
      <x:c r="F1790" s="8"/>
      <x:c r="G1790" s="8"/>
      <x:c r="H1790" s="6"/>
      <x:c r="I1790" s="27"/>
      <x:c r="J1790" s="6"/>
      <x:c r="K1790" s="6"/>
      <x:c r="L1790" s="6"/>
      <x:c r="M1790" s="6"/>
      <x:c r="N1790" s="6"/>
      <x:c r="O1790" s="6"/>
      <x:c r="P1790" s="6"/>
      <x:c r="Q1790" s="6"/>
      <x:c r="R1790"/>
      <x:c r="S1790"/>
      <x:c r="T1790"/>
    </x:row>
    <x:row r="1791" spans="1:20" ht="15.75" x14ac:dyDescent="0.25">
      <x:c r="A1791"/>
      <x:c r="B1791"/>
      <x:c r="C1791"/>
      <x:c r="D1791"/>
      <x:c r="E1791" s="31"/>
      <x:c r="F1791" s="8"/>
      <x:c r="G1791" s="8"/>
      <x:c r="H1791" s="6"/>
      <x:c r="I1791" s="27"/>
      <x:c r="J1791" s="6"/>
      <x:c r="K1791" s="6"/>
      <x:c r="L1791" s="6"/>
      <x:c r="M1791" s="6"/>
      <x:c r="N1791" s="6"/>
      <x:c r="O1791" s="6"/>
      <x:c r="P1791" s="6"/>
      <x:c r="Q1791" s="6"/>
      <x:c r="R1791"/>
      <x:c r="S1791"/>
      <x:c r="T1791"/>
    </x:row>
    <x:row r="1792" spans="1:20" ht="15.75" x14ac:dyDescent="0.25">
      <x:c r="A1792"/>
      <x:c r="B1792"/>
      <x:c r="C1792"/>
      <x:c r="D1792"/>
      <x:c r="E1792" s="31"/>
      <x:c r="F1792" s="8"/>
      <x:c r="G1792" s="8"/>
      <x:c r="H1792" s="6"/>
      <x:c r="I1792" s="27"/>
      <x:c r="J1792" s="6"/>
      <x:c r="K1792" s="6"/>
      <x:c r="L1792" s="6"/>
      <x:c r="M1792" s="6"/>
      <x:c r="N1792" s="6"/>
      <x:c r="O1792" s="6"/>
      <x:c r="P1792" s="6"/>
      <x:c r="Q1792" s="6"/>
      <x:c r="R1792"/>
      <x:c r="S1792"/>
      <x:c r="T1792"/>
    </x:row>
    <x:row r="1793" spans="1:20" ht="15.75" x14ac:dyDescent="0.25">
      <x:c r="A1793"/>
      <x:c r="B1793"/>
      <x:c r="C1793"/>
      <x:c r="D1793"/>
      <x:c r="E1793" s="31"/>
      <x:c r="F1793" s="8"/>
      <x:c r="G1793" s="8"/>
      <x:c r="H1793" s="6"/>
      <x:c r="I1793" s="27"/>
      <x:c r="J1793" s="6"/>
      <x:c r="K1793" s="6"/>
      <x:c r="L1793" s="6"/>
      <x:c r="M1793" s="6"/>
      <x:c r="N1793" s="6"/>
      <x:c r="O1793" s="6"/>
      <x:c r="P1793" s="6"/>
      <x:c r="Q1793" s="6"/>
      <x:c r="R1793"/>
      <x:c r="S1793"/>
      <x:c r="T1793"/>
    </x:row>
    <x:row r="1794" spans="1:20" ht="15.75" x14ac:dyDescent="0.25">
      <x:c r="A1794"/>
      <x:c r="B1794"/>
      <x:c r="C1794"/>
      <x:c r="D1794"/>
      <x:c r="E1794" s="31"/>
      <x:c r="F1794" s="8"/>
      <x:c r="G1794" s="8"/>
      <x:c r="H1794" s="6"/>
      <x:c r="I1794" s="27"/>
      <x:c r="J1794" s="6"/>
      <x:c r="K1794" s="6"/>
      <x:c r="L1794" s="6"/>
      <x:c r="M1794" s="6"/>
      <x:c r="N1794" s="6"/>
      <x:c r="O1794" s="6"/>
      <x:c r="P1794" s="6"/>
      <x:c r="Q1794" s="6"/>
      <x:c r="R1794"/>
      <x:c r="S1794"/>
      <x:c r="T1794"/>
    </x:row>
    <x:row r="1795" spans="1:20" ht="15.75" x14ac:dyDescent="0.25">
      <x:c r="A1795"/>
      <x:c r="B1795"/>
      <x:c r="C1795"/>
      <x:c r="D1795"/>
      <x:c r="E1795" s="31"/>
      <x:c r="F1795" s="8"/>
      <x:c r="G1795" s="8"/>
      <x:c r="H1795" s="6"/>
      <x:c r="I1795" s="27"/>
      <x:c r="J1795" s="6"/>
      <x:c r="K1795" s="6"/>
      <x:c r="L1795" s="6"/>
      <x:c r="M1795" s="6"/>
      <x:c r="N1795" s="6"/>
      <x:c r="O1795" s="6"/>
      <x:c r="P1795" s="6"/>
      <x:c r="Q1795" s="6"/>
      <x:c r="R1795"/>
      <x:c r="S1795"/>
      <x:c r="T1795"/>
    </x:row>
    <x:row r="1796" spans="1:20" ht="15.75" x14ac:dyDescent="0.25">
      <x:c r="A1796"/>
      <x:c r="B1796"/>
      <x:c r="C1796"/>
      <x:c r="D1796"/>
      <x:c r="E1796" s="31"/>
      <x:c r="F1796" s="8"/>
      <x:c r="G1796" s="8"/>
      <x:c r="H1796" s="6"/>
      <x:c r="I1796" s="27"/>
      <x:c r="J1796" s="6"/>
      <x:c r="K1796" s="6"/>
      <x:c r="L1796" s="6"/>
      <x:c r="M1796" s="6"/>
      <x:c r="N1796" s="6"/>
      <x:c r="O1796" s="6"/>
      <x:c r="P1796" s="6"/>
      <x:c r="Q1796" s="6"/>
      <x:c r="R1796"/>
      <x:c r="S1796"/>
      <x:c r="T1796"/>
    </x:row>
    <x:row r="1797" spans="1:20" ht="15.75" x14ac:dyDescent="0.25">
      <x:c r="A1797"/>
      <x:c r="B1797"/>
      <x:c r="C1797"/>
      <x:c r="D1797"/>
      <x:c r="E1797" s="31"/>
      <x:c r="F1797" s="8"/>
      <x:c r="G1797" s="8"/>
      <x:c r="H1797" s="6"/>
      <x:c r="I1797" s="27"/>
      <x:c r="J1797" s="6"/>
      <x:c r="K1797" s="6"/>
      <x:c r="L1797" s="6"/>
      <x:c r="M1797" s="6"/>
      <x:c r="N1797" s="6"/>
      <x:c r="O1797" s="6"/>
      <x:c r="P1797" s="6"/>
      <x:c r="Q1797" s="6"/>
      <x:c r="R1797"/>
      <x:c r="S1797"/>
      <x:c r="T1797"/>
    </x:row>
    <x:row r="1798" spans="1:20" ht="15.75" x14ac:dyDescent="0.25">
      <x:c r="A1798"/>
      <x:c r="B1798"/>
      <x:c r="C1798"/>
      <x:c r="D1798"/>
      <x:c r="E1798" s="31"/>
      <x:c r="F1798" s="8"/>
      <x:c r="G1798" s="8"/>
      <x:c r="H1798" s="6"/>
      <x:c r="I1798" s="27"/>
      <x:c r="J1798" s="6"/>
      <x:c r="K1798" s="6"/>
      <x:c r="L1798" s="6"/>
      <x:c r="M1798" s="6"/>
      <x:c r="N1798" s="6"/>
      <x:c r="O1798" s="6"/>
      <x:c r="P1798" s="6"/>
      <x:c r="Q1798" s="6"/>
      <x:c r="R1798"/>
      <x:c r="S1798"/>
      <x:c r="T1798"/>
    </x:row>
    <x:row r="1799" spans="1:20" ht="15.75" x14ac:dyDescent="0.25">
      <x:c r="A1799"/>
      <x:c r="B1799"/>
      <x:c r="C1799"/>
      <x:c r="D1799"/>
      <x:c r="E1799" s="31"/>
      <x:c r="F1799" s="8"/>
      <x:c r="G1799" s="8"/>
      <x:c r="H1799" s="6"/>
      <x:c r="I1799" s="27"/>
      <x:c r="J1799" s="6"/>
      <x:c r="K1799" s="6"/>
      <x:c r="L1799" s="6"/>
      <x:c r="M1799" s="6"/>
      <x:c r="N1799" s="6"/>
      <x:c r="O1799" s="6"/>
      <x:c r="P1799" s="6"/>
      <x:c r="Q1799" s="6"/>
      <x:c r="R1799"/>
      <x:c r="S1799"/>
      <x:c r="T1799"/>
    </x:row>
    <x:row r="1800" spans="1:20" ht="15.75" x14ac:dyDescent="0.25">
      <x:c r="A1800"/>
      <x:c r="B1800"/>
      <x:c r="C1800"/>
      <x:c r="D1800"/>
      <x:c r="E1800" s="31"/>
      <x:c r="F1800" s="8"/>
      <x:c r="G1800" s="8"/>
      <x:c r="H1800" s="6"/>
      <x:c r="I1800" s="27"/>
      <x:c r="J1800" s="6"/>
      <x:c r="K1800" s="6"/>
      <x:c r="L1800" s="6"/>
      <x:c r="M1800" s="6"/>
      <x:c r="N1800" s="6"/>
      <x:c r="O1800" s="6"/>
      <x:c r="P1800" s="6"/>
      <x:c r="Q1800" s="6"/>
      <x:c r="R1800"/>
      <x:c r="S1800"/>
      <x:c r="T1800"/>
    </x:row>
    <x:row r="1801" spans="1:20" ht="15.75" x14ac:dyDescent="0.25">
      <x:c r="A1801"/>
      <x:c r="B1801"/>
      <x:c r="C1801"/>
      <x:c r="D1801"/>
      <x:c r="E1801" s="31"/>
      <x:c r="F1801" s="8"/>
      <x:c r="G1801" s="8"/>
      <x:c r="H1801" s="6"/>
      <x:c r="I1801" s="27"/>
      <x:c r="J1801" s="6"/>
      <x:c r="K1801" s="6"/>
      <x:c r="L1801" s="6"/>
      <x:c r="M1801" s="6"/>
      <x:c r="N1801" s="6"/>
      <x:c r="O1801" s="6"/>
      <x:c r="P1801" s="6"/>
      <x:c r="Q1801" s="6"/>
      <x:c r="R1801"/>
      <x:c r="S1801"/>
      <x:c r="T1801"/>
    </x:row>
    <x:row r="1802" spans="1:20" ht="15.75" x14ac:dyDescent="0.25">
      <x:c r="A1802"/>
      <x:c r="B1802"/>
      <x:c r="C1802"/>
      <x:c r="D1802"/>
      <x:c r="E1802" s="31"/>
      <x:c r="F1802" s="8"/>
      <x:c r="G1802" s="8"/>
      <x:c r="H1802" s="6"/>
      <x:c r="I1802" s="27"/>
      <x:c r="J1802" s="6"/>
      <x:c r="K1802" s="6"/>
      <x:c r="L1802" s="6"/>
      <x:c r="M1802" s="6"/>
      <x:c r="N1802" s="6"/>
      <x:c r="O1802" s="6"/>
      <x:c r="P1802" s="6"/>
      <x:c r="Q1802" s="6"/>
      <x:c r="R1802"/>
      <x:c r="S1802"/>
      <x:c r="T1802"/>
    </x:row>
    <x:row r="1803" spans="1:20" ht="15.75" x14ac:dyDescent="0.25">
      <x:c r="A1803"/>
      <x:c r="B1803"/>
      <x:c r="C1803"/>
      <x:c r="D1803"/>
      <x:c r="E1803" s="31"/>
      <x:c r="F1803" s="8"/>
      <x:c r="G1803" s="8"/>
      <x:c r="H1803" s="6"/>
      <x:c r="I1803" s="27"/>
      <x:c r="J1803" s="6"/>
      <x:c r="K1803" s="6"/>
      <x:c r="L1803" s="6"/>
      <x:c r="M1803" s="6"/>
      <x:c r="N1803" s="6"/>
      <x:c r="O1803" s="6"/>
      <x:c r="P1803" s="6"/>
      <x:c r="Q1803" s="6"/>
      <x:c r="R1803"/>
      <x:c r="S1803"/>
      <x:c r="T1803"/>
    </x:row>
    <x:row r="1804" spans="1:20" ht="15.75" x14ac:dyDescent="0.25">
      <x:c r="A1804"/>
      <x:c r="B1804"/>
      <x:c r="C1804"/>
      <x:c r="D1804"/>
      <x:c r="E1804" s="31"/>
      <x:c r="F1804" s="8"/>
      <x:c r="G1804" s="8"/>
      <x:c r="H1804" s="6"/>
      <x:c r="I1804" s="27"/>
      <x:c r="J1804" s="6"/>
      <x:c r="K1804" s="6"/>
      <x:c r="L1804" s="6"/>
      <x:c r="M1804" s="6"/>
      <x:c r="N1804" s="6"/>
      <x:c r="O1804" s="6"/>
      <x:c r="P1804" s="6"/>
      <x:c r="Q1804" s="6"/>
      <x:c r="R1804"/>
      <x:c r="S1804"/>
      <x:c r="T1804"/>
    </x:row>
    <x:row r="1805" spans="1:20" ht="15.75" x14ac:dyDescent="0.25">
      <x:c r="A1805"/>
      <x:c r="B1805"/>
      <x:c r="C1805"/>
      <x:c r="D1805"/>
      <x:c r="E1805" s="31"/>
      <x:c r="F1805" s="8"/>
      <x:c r="G1805" s="8"/>
      <x:c r="H1805" s="6"/>
      <x:c r="I1805" s="27"/>
      <x:c r="J1805" s="6"/>
      <x:c r="K1805" s="6"/>
      <x:c r="L1805" s="6"/>
      <x:c r="M1805" s="6"/>
      <x:c r="N1805" s="6"/>
      <x:c r="O1805" s="6"/>
      <x:c r="P1805" s="6"/>
      <x:c r="Q1805" s="6"/>
      <x:c r="R1805"/>
      <x:c r="S1805"/>
      <x:c r="T1805"/>
    </x:row>
    <x:row r="1806" spans="1:20" ht="15.75" x14ac:dyDescent="0.25">
      <x:c r="A1806"/>
      <x:c r="B1806"/>
      <x:c r="C1806"/>
      <x:c r="D1806"/>
      <x:c r="E1806" s="31"/>
      <x:c r="F1806" s="8"/>
      <x:c r="G1806" s="8"/>
      <x:c r="H1806" s="6"/>
      <x:c r="I1806" s="27"/>
      <x:c r="J1806" s="6"/>
      <x:c r="K1806" s="6"/>
      <x:c r="L1806" s="6"/>
      <x:c r="M1806" s="6"/>
      <x:c r="N1806" s="6"/>
      <x:c r="O1806" s="6"/>
      <x:c r="P1806" s="6"/>
      <x:c r="Q1806" s="6"/>
      <x:c r="R1806"/>
      <x:c r="S1806"/>
      <x:c r="T1806"/>
    </x:row>
    <x:row r="1807" spans="1:20" ht="15.75" x14ac:dyDescent="0.25">
      <x:c r="A1807"/>
      <x:c r="B1807"/>
      <x:c r="C1807"/>
      <x:c r="D1807"/>
      <x:c r="E1807" s="31"/>
      <x:c r="F1807" s="8"/>
      <x:c r="G1807" s="8"/>
      <x:c r="H1807" s="6"/>
      <x:c r="I1807" s="27"/>
      <x:c r="J1807" s="6"/>
      <x:c r="K1807" s="6"/>
      <x:c r="L1807" s="6"/>
      <x:c r="M1807" s="6"/>
      <x:c r="N1807" s="6"/>
      <x:c r="O1807" s="6"/>
      <x:c r="P1807" s="6"/>
      <x:c r="Q1807" s="6"/>
      <x:c r="R1807"/>
      <x:c r="S1807"/>
      <x:c r="T1807"/>
    </x:row>
    <x:row r="1808" spans="1:20" ht="15.75" x14ac:dyDescent="0.25">
      <x:c r="A1808"/>
      <x:c r="B1808"/>
      <x:c r="C1808"/>
      <x:c r="D1808"/>
      <x:c r="E1808" s="31"/>
      <x:c r="F1808" s="8"/>
      <x:c r="G1808" s="8"/>
      <x:c r="H1808" s="6"/>
      <x:c r="I1808" s="27"/>
      <x:c r="J1808" s="6"/>
      <x:c r="K1808" s="6"/>
      <x:c r="L1808" s="6"/>
      <x:c r="M1808" s="6"/>
      <x:c r="N1808" s="6"/>
      <x:c r="O1808" s="6"/>
      <x:c r="P1808" s="6"/>
      <x:c r="Q1808" s="6"/>
      <x:c r="R1808"/>
      <x:c r="S1808"/>
      <x:c r="T1808"/>
    </x:row>
    <x:row r="1809" spans="1:20" ht="15.75" x14ac:dyDescent="0.25">
      <x:c r="A1809"/>
      <x:c r="B1809"/>
      <x:c r="C1809"/>
      <x:c r="D1809"/>
      <x:c r="E1809" s="31"/>
      <x:c r="F1809" s="8"/>
      <x:c r="G1809" s="8"/>
      <x:c r="H1809" s="6"/>
      <x:c r="I1809" s="27"/>
      <x:c r="J1809" s="6"/>
      <x:c r="K1809" s="6"/>
      <x:c r="L1809" s="6"/>
      <x:c r="M1809" s="6"/>
      <x:c r="N1809" s="6"/>
      <x:c r="O1809" s="6"/>
      <x:c r="P1809" s="6"/>
      <x:c r="Q1809" s="6"/>
      <x:c r="R1809"/>
      <x:c r="S1809"/>
      <x:c r="T1809"/>
    </x:row>
    <x:row r="1810" spans="1:20" ht="15.75" x14ac:dyDescent="0.25">
      <x:c r="A1810"/>
      <x:c r="B1810"/>
      <x:c r="C1810"/>
      <x:c r="D1810"/>
      <x:c r="E1810" s="31"/>
      <x:c r="F1810" s="8"/>
      <x:c r="G1810" s="8"/>
      <x:c r="H1810" s="6"/>
      <x:c r="I1810" s="27"/>
      <x:c r="J1810" s="6"/>
      <x:c r="K1810" s="6"/>
      <x:c r="L1810" s="6"/>
      <x:c r="M1810" s="6"/>
      <x:c r="N1810" s="6"/>
      <x:c r="O1810" s="6"/>
      <x:c r="P1810" s="6"/>
      <x:c r="Q1810" s="6"/>
      <x:c r="R1810"/>
      <x:c r="S1810"/>
      <x:c r="T1810"/>
    </x:row>
    <x:row r="1811" spans="1:20" ht="15.75" x14ac:dyDescent="0.25">
      <x:c r="A1811"/>
      <x:c r="B1811"/>
      <x:c r="C1811"/>
      <x:c r="D1811"/>
      <x:c r="E1811" s="31"/>
      <x:c r="F1811" s="8"/>
      <x:c r="G1811" s="8"/>
      <x:c r="H1811" s="6"/>
      <x:c r="I1811" s="27"/>
      <x:c r="J1811" s="6"/>
      <x:c r="K1811" s="6"/>
      <x:c r="L1811" s="6"/>
      <x:c r="M1811" s="6"/>
      <x:c r="N1811" s="6"/>
      <x:c r="O1811" s="6"/>
      <x:c r="P1811" s="6"/>
      <x:c r="Q1811" s="6"/>
      <x:c r="R1811"/>
      <x:c r="S1811"/>
      <x:c r="T1811"/>
    </x:row>
    <x:row r="1812" spans="1:20" ht="15.75" x14ac:dyDescent="0.25">
      <x:c r="A1812"/>
      <x:c r="B1812"/>
      <x:c r="C1812"/>
      <x:c r="D1812"/>
      <x:c r="E1812" s="31"/>
      <x:c r="F1812" s="8"/>
      <x:c r="G1812" s="8"/>
      <x:c r="H1812" s="6"/>
      <x:c r="I1812" s="27"/>
      <x:c r="J1812" s="6"/>
      <x:c r="K1812" s="6"/>
      <x:c r="L1812" s="6"/>
      <x:c r="M1812" s="6"/>
      <x:c r="N1812" s="6"/>
      <x:c r="O1812" s="6"/>
      <x:c r="P1812" s="6"/>
      <x:c r="Q1812" s="6"/>
      <x:c r="R1812"/>
      <x:c r="S1812"/>
      <x:c r="T1812"/>
    </x:row>
    <x:row r="1813" spans="1:20" ht="15.75" x14ac:dyDescent="0.25">
      <x:c r="A1813"/>
      <x:c r="B1813"/>
      <x:c r="C1813"/>
      <x:c r="D1813"/>
      <x:c r="E1813" s="31"/>
      <x:c r="F1813" s="8"/>
      <x:c r="G1813" s="8"/>
      <x:c r="H1813" s="6"/>
      <x:c r="I1813" s="27"/>
      <x:c r="J1813" s="6"/>
      <x:c r="K1813" s="6"/>
      <x:c r="L1813" s="6"/>
      <x:c r="M1813" s="6"/>
      <x:c r="N1813" s="6"/>
      <x:c r="O1813" s="6"/>
      <x:c r="P1813" s="6"/>
      <x:c r="Q1813" s="6"/>
      <x:c r="R1813"/>
      <x:c r="S1813"/>
      <x:c r="T1813"/>
    </x:row>
    <x:row r="1814" spans="1:20" ht="15.75" x14ac:dyDescent="0.25">
      <x:c r="A1814"/>
      <x:c r="B1814"/>
      <x:c r="C1814"/>
      <x:c r="D1814"/>
      <x:c r="E1814" s="31"/>
      <x:c r="F1814" s="8"/>
      <x:c r="G1814" s="8"/>
      <x:c r="H1814" s="6"/>
      <x:c r="I1814" s="27"/>
      <x:c r="J1814" s="6"/>
      <x:c r="K1814" s="6"/>
      <x:c r="L1814" s="6"/>
      <x:c r="M1814" s="6"/>
      <x:c r="N1814" s="6"/>
      <x:c r="O1814" s="6"/>
      <x:c r="P1814" s="6"/>
      <x:c r="Q1814" s="6"/>
      <x:c r="R1814"/>
      <x:c r="S1814"/>
      <x:c r="T1814"/>
    </x:row>
    <x:row r="1815" spans="1:20" ht="15.75" x14ac:dyDescent="0.25">
      <x:c r="A1815"/>
      <x:c r="B1815"/>
      <x:c r="C1815"/>
      <x:c r="D1815"/>
      <x:c r="E1815" s="31"/>
      <x:c r="F1815" s="8"/>
      <x:c r="G1815" s="8"/>
      <x:c r="H1815" s="6"/>
      <x:c r="I1815" s="27"/>
      <x:c r="J1815" s="6"/>
      <x:c r="K1815" s="6"/>
      <x:c r="L1815" s="6"/>
      <x:c r="M1815" s="6"/>
      <x:c r="N1815" s="6"/>
      <x:c r="O1815" s="6"/>
      <x:c r="P1815" s="6"/>
      <x:c r="Q1815" s="6"/>
      <x:c r="R1815"/>
      <x:c r="S1815"/>
      <x:c r="T1815"/>
    </x:row>
    <x:row r="1816" spans="1:20" ht="15.75" x14ac:dyDescent="0.25">
      <x:c r="A1816"/>
      <x:c r="B1816"/>
      <x:c r="C1816"/>
      <x:c r="D1816"/>
      <x:c r="E1816" s="31"/>
      <x:c r="F1816" s="8"/>
      <x:c r="G1816" s="8"/>
      <x:c r="H1816" s="6"/>
      <x:c r="I1816" s="27"/>
      <x:c r="J1816" s="6"/>
      <x:c r="K1816" s="6"/>
      <x:c r="L1816" s="6"/>
      <x:c r="M1816" s="6"/>
      <x:c r="N1816" s="6"/>
      <x:c r="O1816" s="6"/>
      <x:c r="P1816" s="6"/>
      <x:c r="Q1816" s="6"/>
      <x:c r="R1816"/>
      <x:c r="S1816"/>
      <x:c r="T1816"/>
    </x:row>
    <x:row r="1817" spans="1:20" ht="15.75" x14ac:dyDescent="0.25">
      <x:c r="A1817"/>
      <x:c r="B1817"/>
      <x:c r="C1817"/>
      <x:c r="D1817"/>
      <x:c r="E1817" s="31"/>
      <x:c r="F1817" s="8"/>
      <x:c r="G1817" s="8"/>
      <x:c r="H1817" s="6"/>
      <x:c r="I1817" s="27"/>
      <x:c r="J1817" s="6"/>
      <x:c r="K1817" s="6"/>
      <x:c r="L1817" s="6"/>
      <x:c r="M1817" s="6"/>
      <x:c r="N1817" s="6"/>
      <x:c r="O1817" s="6"/>
      <x:c r="P1817" s="6"/>
      <x:c r="Q1817" s="6"/>
      <x:c r="R1817"/>
      <x:c r="S1817"/>
      <x:c r="T1817"/>
    </x:row>
    <x:row r="1818" spans="1:20" ht="15.75" x14ac:dyDescent="0.25">
      <x:c r="A1818"/>
      <x:c r="B1818"/>
      <x:c r="C1818"/>
      <x:c r="D1818"/>
      <x:c r="E1818" s="31"/>
      <x:c r="F1818" s="8"/>
      <x:c r="G1818" s="8"/>
      <x:c r="H1818" s="6"/>
      <x:c r="I1818" s="27"/>
      <x:c r="J1818" s="6"/>
      <x:c r="K1818" s="6"/>
      <x:c r="L1818" s="6"/>
      <x:c r="M1818" s="6"/>
      <x:c r="N1818" s="6"/>
      <x:c r="O1818" s="6"/>
      <x:c r="P1818" s="6"/>
      <x:c r="Q1818" s="6"/>
      <x:c r="R1818"/>
      <x:c r="S1818"/>
      <x:c r="T1818"/>
    </x:row>
    <x:row r="1819" spans="1:20" ht="15.75" x14ac:dyDescent="0.25">
      <x:c r="A1819"/>
      <x:c r="B1819"/>
      <x:c r="C1819"/>
      <x:c r="D1819"/>
      <x:c r="E1819" s="31"/>
      <x:c r="F1819" s="8"/>
      <x:c r="G1819" s="8"/>
      <x:c r="H1819" s="6"/>
      <x:c r="I1819" s="27"/>
      <x:c r="J1819" s="6"/>
      <x:c r="K1819" s="6"/>
      <x:c r="L1819" s="6"/>
      <x:c r="M1819" s="6"/>
      <x:c r="N1819" s="6"/>
      <x:c r="O1819" s="6"/>
      <x:c r="P1819" s="6"/>
      <x:c r="Q1819" s="6"/>
      <x:c r="R1819"/>
      <x:c r="S1819"/>
      <x:c r="T1819"/>
    </x:row>
    <x:row r="1820" spans="1:20" ht="15.75" x14ac:dyDescent="0.25">
      <x:c r="A1820"/>
      <x:c r="B1820"/>
      <x:c r="C1820"/>
      <x:c r="D1820"/>
      <x:c r="E1820" s="31"/>
      <x:c r="F1820" s="8"/>
      <x:c r="G1820" s="8"/>
      <x:c r="H1820" s="6"/>
      <x:c r="I1820" s="27"/>
      <x:c r="J1820" s="6"/>
      <x:c r="K1820" s="6"/>
      <x:c r="L1820" s="6"/>
      <x:c r="M1820" s="6"/>
      <x:c r="N1820" s="6"/>
      <x:c r="O1820" s="6"/>
      <x:c r="P1820" s="6"/>
      <x:c r="Q1820" s="6"/>
      <x:c r="R1820"/>
      <x:c r="S1820"/>
      <x:c r="T1820"/>
    </x:row>
    <x:row r="1821" spans="1:20" ht="15.75" x14ac:dyDescent="0.25">
      <x:c r="A1821"/>
      <x:c r="B1821"/>
      <x:c r="C1821"/>
      <x:c r="D1821"/>
      <x:c r="E1821" s="31"/>
      <x:c r="F1821" s="8"/>
      <x:c r="G1821" s="8"/>
      <x:c r="H1821" s="6"/>
      <x:c r="I1821" s="27"/>
      <x:c r="J1821" s="6"/>
      <x:c r="K1821" s="6"/>
      <x:c r="L1821" s="6"/>
      <x:c r="M1821" s="6"/>
      <x:c r="N1821" s="6"/>
      <x:c r="O1821" s="6"/>
      <x:c r="P1821" s="6"/>
      <x:c r="Q1821" s="6"/>
      <x:c r="R1821"/>
      <x:c r="S1821"/>
      <x:c r="T1821"/>
    </x:row>
    <x:row r="1822" spans="1:20" ht="15.75" x14ac:dyDescent="0.25">
      <x:c r="A1822"/>
      <x:c r="B1822"/>
      <x:c r="C1822"/>
      <x:c r="D1822"/>
      <x:c r="E1822" s="31"/>
      <x:c r="F1822" s="8"/>
      <x:c r="G1822" s="8"/>
      <x:c r="H1822" s="6"/>
      <x:c r="I1822" s="27"/>
      <x:c r="J1822" s="6"/>
      <x:c r="K1822" s="6"/>
      <x:c r="L1822" s="6"/>
      <x:c r="M1822" s="6"/>
      <x:c r="N1822" s="6"/>
      <x:c r="O1822" s="6"/>
      <x:c r="P1822" s="6"/>
      <x:c r="Q1822" s="6"/>
      <x:c r="R1822"/>
      <x:c r="S1822"/>
      <x:c r="T1822"/>
    </x:row>
    <x:row r="1823" spans="1:20" ht="15.75" x14ac:dyDescent="0.25">
      <x:c r="A1823"/>
      <x:c r="B1823"/>
      <x:c r="C1823"/>
      <x:c r="D1823"/>
      <x:c r="E1823" s="31"/>
      <x:c r="F1823" s="8"/>
      <x:c r="G1823" s="8"/>
      <x:c r="H1823" s="6"/>
      <x:c r="I1823" s="27"/>
      <x:c r="J1823" s="6"/>
      <x:c r="K1823" s="6"/>
      <x:c r="L1823" s="6"/>
      <x:c r="M1823" s="6"/>
      <x:c r="N1823" s="6"/>
      <x:c r="O1823" s="6"/>
      <x:c r="P1823" s="6"/>
      <x:c r="Q1823" s="6"/>
      <x:c r="R1823"/>
      <x:c r="S1823"/>
      <x:c r="T1823"/>
    </x:row>
    <x:row r="1824" spans="1:20" ht="15.75" x14ac:dyDescent="0.25">
      <x:c r="A1824"/>
      <x:c r="B1824"/>
      <x:c r="C1824"/>
      <x:c r="D1824"/>
      <x:c r="E1824" s="31"/>
      <x:c r="F1824" s="8"/>
      <x:c r="G1824" s="8"/>
      <x:c r="H1824" s="6"/>
      <x:c r="I1824" s="27"/>
      <x:c r="J1824" s="6"/>
      <x:c r="K1824" s="6"/>
      <x:c r="L1824" s="6"/>
      <x:c r="M1824" s="6"/>
      <x:c r="N1824" s="6"/>
      <x:c r="O1824" s="6"/>
      <x:c r="P1824" s="6"/>
      <x:c r="Q1824" s="6"/>
      <x:c r="R1824"/>
      <x:c r="S1824"/>
      <x:c r="T1824"/>
    </x:row>
    <x:row r="1825" spans="1:20" ht="15.75" x14ac:dyDescent="0.25">
      <x:c r="A1825"/>
      <x:c r="B1825"/>
      <x:c r="C1825"/>
      <x:c r="D1825"/>
      <x:c r="E1825" s="31"/>
      <x:c r="F1825" s="8"/>
      <x:c r="G1825" s="8"/>
      <x:c r="H1825" s="6"/>
      <x:c r="I1825" s="27"/>
      <x:c r="J1825" s="6"/>
      <x:c r="K1825" s="6"/>
      <x:c r="L1825" s="6"/>
      <x:c r="M1825" s="6"/>
      <x:c r="N1825" s="6"/>
      <x:c r="O1825" s="6"/>
      <x:c r="P1825" s="6"/>
      <x:c r="Q1825" s="6"/>
      <x:c r="R1825"/>
      <x:c r="S1825"/>
      <x:c r="T1825"/>
    </x:row>
    <x:row r="1826" spans="1:20" ht="15.75" x14ac:dyDescent="0.25">
      <x:c r="A1826"/>
      <x:c r="B1826"/>
      <x:c r="C1826"/>
      <x:c r="D1826"/>
      <x:c r="E1826" s="31"/>
      <x:c r="F1826" s="8"/>
      <x:c r="G1826" s="8"/>
      <x:c r="H1826" s="6"/>
      <x:c r="I1826" s="27"/>
      <x:c r="J1826" s="6"/>
      <x:c r="K1826" s="6"/>
      <x:c r="L1826" s="6"/>
      <x:c r="M1826" s="6"/>
      <x:c r="N1826" s="6"/>
      <x:c r="O1826" s="6"/>
      <x:c r="P1826" s="6"/>
      <x:c r="Q1826" s="6"/>
      <x:c r="R1826"/>
      <x:c r="S1826"/>
      <x:c r="T1826"/>
    </x:row>
    <x:row r="1827" spans="1:20" ht="15.75" x14ac:dyDescent="0.25">
      <x:c r="A1827"/>
      <x:c r="B1827"/>
      <x:c r="C1827"/>
      <x:c r="D1827"/>
      <x:c r="E1827" s="31"/>
      <x:c r="F1827" s="8"/>
      <x:c r="G1827" s="8"/>
      <x:c r="H1827" s="6"/>
      <x:c r="I1827" s="27"/>
      <x:c r="J1827" s="6"/>
      <x:c r="K1827" s="6"/>
      <x:c r="L1827" s="6"/>
      <x:c r="M1827" s="6"/>
      <x:c r="N1827" s="6"/>
      <x:c r="O1827" s="6"/>
      <x:c r="P1827" s="6"/>
      <x:c r="Q1827" s="6"/>
      <x:c r="R1827"/>
      <x:c r="S1827"/>
      <x:c r="T1827"/>
    </x:row>
    <x:row r="1828" spans="1:20" ht="15.75" x14ac:dyDescent="0.25">
      <x:c r="A1828"/>
      <x:c r="B1828"/>
      <x:c r="C1828"/>
      <x:c r="D1828"/>
      <x:c r="E1828" s="31"/>
      <x:c r="F1828" s="8"/>
      <x:c r="G1828" s="8"/>
      <x:c r="H1828" s="6"/>
      <x:c r="I1828" s="27"/>
      <x:c r="J1828" s="6"/>
      <x:c r="K1828" s="6"/>
      <x:c r="L1828" s="6"/>
      <x:c r="M1828" s="6"/>
      <x:c r="N1828" s="6"/>
      <x:c r="O1828" s="6"/>
      <x:c r="P1828" s="6"/>
      <x:c r="Q1828" s="6"/>
      <x:c r="R1828"/>
      <x:c r="S1828"/>
      <x:c r="T1828"/>
    </x:row>
    <x:row r="1829" spans="1:20" ht="15.75" x14ac:dyDescent="0.25">
      <x:c r="A1829"/>
      <x:c r="B1829"/>
      <x:c r="C1829"/>
      <x:c r="D1829"/>
      <x:c r="E1829" s="31"/>
      <x:c r="F1829" s="8"/>
      <x:c r="G1829" s="8"/>
      <x:c r="H1829" s="6"/>
      <x:c r="I1829" s="27"/>
      <x:c r="J1829" s="6"/>
      <x:c r="K1829" s="6"/>
      <x:c r="L1829" s="6"/>
      <x:c r="M1829" s="6"/>
      <x:c r="N1829" s="6"/>
      <x:c r="O1829" s="6"/>
      <x:c r="P1829" s="6"/>
      <x:c r="Q1829" s="6"/>
      <x:c r="R1829"/>
      <x:c r="S1829"/>
      <x:c r="T1829"/>
    </x:row>
    <x:row r="1830" spans="1:20" ht="15.75" x14ac:dyDescent="0.25">
      <x:c r="A1830"/>
      <x:c r="B1830"/>
      <x:c r="C1830"/>
      <x:c r="D1830"/>
      <x:c r="E1830" s="31"/>
      <x:c r="F1830" s="8"/>
      <x:c r="G1830" s="8"/>
      <x:c r="H1830" s="6"/>
      <x:c r="I1830" s="27"/>
      <x:c r="J1830" s="6"/>
      <x:c r="K1830" s="6"/>
      <x:c r="L1830" s="6"/>
      <x:c r="M1830" s="6"/>
      <x:c r="N1830" s="6"/>
      <x:c r="O1830" s="6"/>
      <x:c r="P1830" s="6"/>
      <x:c r="Q1830" s="6"/>
      <x:c r="R1830"/>
      <x:c r="S1830"/>
      <x:c r="T1830"/>
    </x:row>
    <x:row r="1831" spans="1:20" ht="15.75" x14ac:dyDescent="0.25">
      <x:c r="A1831"/>
      <x:c r="B1831"/>
      <x:c r="C1831"/>
      <x:c r="D1831"/>
      <x:c r="E1831" s="31"/>
      <x:c r="F1831" s="8"/>
      <x:c r="G1831" s="8"/>
      <x:c r="H1831" s="6"/>
      <x:c r="I1831" s="27"/>
      <x:c r="J1831" s="6"/>
      <x:c r="K1831" s="6"/>
      <x:c r="L1831" s="6"/>
      <x:c r="M1831" s="6"/>
      <x:c r="N1831" s="6"/>
      <x:c r="O1831" s="6"/>
      <x:c r="P1831" s="6"/>
      <x:c r="Q1831" s="6"/>
      <x:c r="R1831"/>
      <x:c r="S1831"/>
      <x:c r="T1831"/>
    </x:row>
    <x:row r="1832" spans="1:20" ht="15.75" x14ac:dyDescent="0.25">
      <x:c r="A1832"/>
      <x:c r="B1832"/>
      <x:c r="C1832"/>
      <x:c r="D1832"/>
      <x:c r="E1832" s="31"/>
      <x:c r="F1832" s="8"/>
      <x:c r="G1832" s="8"/>
      <x:c r="H1832" s="6"/>
      <x:c r="I1832" s="27"/>
      <x:c r="J1832" s="6"/>
      <x:c r="K1832" s="6"/>
      <x:c r="L1832" s="6"/>
      <x:c r="M1832" s="6"/>
      <x:c r="N1832" s="6"/>
      <x:c r="O1832" s="6"/>
      <x:c r="P1832" s="6"/>
      <x:c r="Q1832" s="6"/>
      <x:c r="R1832"/>
      <x:c r="S1832"/>
      <x:c r="T1832"/>
    </x:row>
    <x:row r="1833" spans="1:20" ht="15.75" x14ac:dyDescent="0.25">
      <x:c r="A1833"/>
      <x:c r="B1833"/>
      <x:c r="C1833"/>
      <x:c r="D1833"/>
      <x:c r="E1833" s="31"/>
      <x:c r="F1833" s="8"/>
      <x:c r="G1833" s="8"/>
      <x:c r="H1833" s="6"/>
      <x:c r="I1833" s="27"/>
      <x:c r="J1833" s="6"/>
      <x:c r="K1833" s="6"/>
      <x:c r="L1833" s="6"/>
      <x:c r="M1833" s="6"/>
      <x:c r="N1833" s="6"/>
      <x:c r="O1833" s="6"/>
      <x:c r="P1833" s="6"/>
      <x:c r="Q1833" s="6"/>
      <x:c r="R1833"/>
      <x:c r="S1833"/>
      <x:c r="T1833"/>
    </x:row>
    <x:row r="1834" spans="1:20" ht="15.75" x14ac:dyDescent="0.25">
      <x:c r="A1834"/>
      <x:c r="B1834"/>
      <x:c r="C1834"/>
      <x:c r="D1834"/>
      <x:c r="E1834" s="31"/>
      <x:c r="F1834" s="8"/>
      <x:c r="G1834" s="8"/>
      <x:c r="H1834" s="6"/>
      <x:c r="I1834" s="27"/>
      <x:c r="J1834" s="6"/>
      <x:c r="K1834" s="6"/>
      <x:c r="L1834" s="6"/>
      <x:c r="M1834" s="6"/>
      <x:c r="N1834" s="6"/>
      <x:c r="O1834" s="6"/>
      <x:c r="P1834" s="6"/>
      <x:c r="Q1834" s="6"/>
      <x:c r="R1834"/>
      <x:c r="S1834"/>
      <x:c r="T1834"/>
    </x:row>
    <x:row r="1835" spans="1:20" ht="15.75" x14ac:dyDescent="0.25">
      <x:c r="A1835"/>
      <x:c r="B1835"/>
      <x:c r="C1835"/>
      <x:c r="D1835"/>
      <x:c r="E1835" s="31"/>
      <x:c r="F1835" s="8"/>
      <x:c r="G1835" s="8"/>
      <x:c r="H1835" s="6"/>
      <x:c r="I1835" s="27"/>
      <x:c r="J1835" s="6"/>
      <x:c r="K1835" s="6"/>
      <x:c r="L1835" s="6"/>
      <x:c r="M1835" s="6"/>
      <x:c r="N1835" s="6"/>
      <x:c r="O1835" s="6"/>
      <x:c r="P1835" s="6"/>
      <x:c r="Q1835" s="6"/>
      <x:c r="R1835"/>
      <x:c r="S1835"/>
      <x:c r="T1835"/>
    </x:row>
    <x:row r="1836" spans="1:20" ht="15.75" x14ac:dyDescent="0.25">
      <x:c r="A1836"/>
      <x:c r="B1836"/>
      <x:c r="C1836"/>
      <x:c r="D1836"/>
      <x:c r="E1836" s="31"/>
      <x:c r="F1836" s="8"/>
      <x:c r="G1836" s="8"/>
      <x:c r="H1836" s="6"/>
      <x:c r="I1836" s="27"/>
      <x:c r="J1836" s="6"/>
      <x:c r="K1836" s="6"/>
      <x:c r="L1836" s="6"/>
      <x:c r="M1836" s="6"/>
      <x:c r="N1836" s="6"/>
      <x:c r="O1836" s="6"/>
      <x:c r="P1836" s="6"/>
      <x:c r="Q1836" s="6"/>
      <x:c r="R1836"/>
      <x:c r="S1836"/>
      <x:c r="T1836"/>
    </x:row>
    <x:row r="1837" spans="1:20" ht="15.75" x14ac:dyDescent="0.25">
      <x:c r="A1837"/>
      <x:c r="B1837"/>
      <x:c r="C1837"/>
      <x:c r="D1837"/>
      <x:c r="E1837" s="31"/>
      <x:c r="F1837" s="8"/>
      <x:c r="G1837" s="8"/>
      <x:c r="H1837" s="6"/>
      <x:c r="I1837" s="27"/>
      <x:c r="J1837" s="6"/>
      <x:c r="K1837" s="6"/>
      <x:c r="L1837" s="6"/>
      <x:c r="M1837" s="6"/>
      <x:c r="N1837" s="6"/>
      <x:c r="O1837" s="6"/>
      <x:c r="P1837" s="6"/>
      <x:c r="Q1837" s="6"/>
      <x:c r="R1837"/>
      <x:c r="S1837"/>
      <x:c r="T1837"/>
    </x:row>
    <x:row r="1838" spans="1:20" ht="15.75" x14ac:dyDescent="0.25">
      <x:c r="A1838"/>
      <x:c r="B1838"/>
      <x:c r="C1838"/>
      <x:c r="D1838"/>
      <x:c r="E1838" s="31"/>
      <x:c r="F1838" s="8"/>
      <x:c r="G1838" s="8"/>
      <x:c r="H1838" s="6"/>
      <x:c r="I1838" s="27"/>
      <x:c r="J1838" s="6"/>
      <x:c r="K1838" s="6"/>
      <x:c r="L1838" s="6"/>
      <x:c r="M1838" s="6"/>
      <x:c r="N1838" s="6"/>
      <x:c r="O1838" s="6"/>
      <x:c r="P1838" s="6"/>
      <x:c r="Q1838" s="6"/>
      <x:c r="R1838"/>
      <x:c r="S1838"/>
      <x:c r="T1838"/>
    </x:row>
    <x:row r="1839" spans="1:20" ht="15.75" x14ac:dyDescent="0.25">
      <x:c r="A1839"/>
      <x:c r="B1839"/>
      <x:c r="C1839"/>
      <x:c r="D1839"/>
      <x:c r="E1839" s="31"/>
      <x:c r="F1839" s="8"/>
      <x:c r="G1839" s="8"/>
      <x:c r="H1839" s="6"/>
      <x:c r="I1839" s="27"/>
      <x:c r="J1839" s="6"/>
      <x:c r="K1839" s="6"/>
      <x:c r="L1839" s="6"/>
      <x:c r="M1839" s="6"/>
      <x:c r="N1839" s="6"/>
      <x:c r="O1839" s="6"/>
      <x:c r="P1839" s="6"/>
      <x:c r="Q1839" s="6"/>
      <x:c r="R1839"/>
      <x:c r="S1839"/>
      <x:c r="T1839"/>
    </x:row>
    <x:row r="1840" spans="1:20" ht="15.75" x14ac:dyDescent="0.25">
      <x:c r="A1840"/>
      <x:c r="B1840"/>
      <x:c r="C1840"/>
      <x:c r="D1840"/>
      <x:c r="E1840" s="31"/>
      <x:c r="F1840" s="8"/>
      <x:c r="G1840" s="8"/>
      <x:c r="H1840" s="6"/>
      <x:c r="I1840" s="27"/>
      <x:c r="J1840" s="6"/>
      <x:c r="K1840" s="6"/>
      <x:c r="L1840" s="6"/>
      <x:c r="M1840" s="6"/>
      <x:c r="N1840" s="6"/>
      <x:c r="O1840" s="6"/>
      <x:c r="P1840" s="6"/>
      <x:c r="Q1840" s="6"/>
      <x:c r="R1840"/>
      <x:c r="S1840"/>
      <x:c r="T1840"/>
    </x:row>
    <x:row r="1841" spans="1:20" ht="15.75" x14ac:dyDescent="0.25">
      <x:c r="A1841"/>
      <x:c r="B1841"/>
      <x:c r="C1841"/>
      <x:c r="D1841"/>
      <x:c r="E1841" s="31"/>
      <x:c r="F1841" s="8"/>
      <x:c r="G1841" s="8"/>
      <x:c r="H1841" s="6"/>
      <x:c r="I1841" s="27"/>
      <x:c r="J1841" s="6"/>
      <x:c r="K1841" s="6"/>
      <x:c r="L1841" s="6"/>
      <x:c r="M1841" s="6"/>
      <x:c r="N1841" s="6"/>
      <x:c r="O1841" s="6"/>
      <x:c r="P1841" s="6"/>
      <x:c r="Q1841" s="6"/>
      <x:c r="R1841"/>
      <x:c r="S1841"/>
      <x:c r="T1841"/>
    </x:row>
    <x:row r="1842" spans="1:20" ht="15.75" x14ac:dyDescent="0.25">
      <x:c r="A1842"/>
      <x:c r="B1842"/>
      <x:c r="C1842"/>
      <x:c r="D1842"/>
      <x:c r="E1842" s="31"/>
      <x:c r="F1842" s="8"/>
      <x:c r="G1842" s="8"/>
      <x:c r="H1842" s="6"/>
      <x:c r="I1842" s="27"/>
      <x:c r="J1842" s="6"/>
      <x:c r="K1842" s="6"/>
      <x:c r="L1842" s="6"/>
      <x:c r="M1842" s="6"/>
      <x:c r="N1842" s="6"/>
      <x:c r="O1842" s="6"/>
      <x:c r="P1842" s="6"/>
      <x:c r="Q1842" s="6"/>
      <x:c r="R1842"/>
      <x:c r="S1842"/>
      <x:c r="T1842"/>
    </x:row>
    <x:row r="1843" spans="1:20" ht="15.75" x14ac:dyDescent="0.25">
      <x:c r="A1843"/>
      <x:c r="B1843"/>
      <x:c r="C1843"/>
      <x:c r="D1843"/>
      <x:c r="E1843" s="31"/>
      <x:c r="F1843" s="8"/>
      <x:c r="G1843" s="8"/>
      <x:c r="H1843" s="6"/>
      <x:c r="I1843" s="27"/>
      <x:c r="J1843" s="6"/>
      <x:c r="K1843" s="6"/>
      <x:c r="L1843" s="6"/>
      <x:c r="M1843" s="6"/>
      <x:c r="N1843" s="6"/>
      <x:c r="O1843" s="6"/>
      <x:c r="P1843" s="6"/>
      <x:c r="Q1843" s="6"/>
      <x:c r="R1843"/>
      <x:c r="S1843"/>
      <x:c r="T1843"/>
    </x:row>
    <x:row r="1844" spans="1:20" ht="15.75" x14ac:dyDescent="0.25">
      <x:c r="A1844"/>
      <x:c r="B1844"/>
      <x:c r="C1844"/>
      <x:c r="D1844"/>
      <x:c r="E1844" s="31"/>
      <x:c r="F1844" s="8"/>
      <x:c r="G1844" s="8"/>
      <x:c r="H1844" s="6"/>
      <x:c r="I1844" s="27"/>
      <x:c r="J1844" s="6"/>
      <x:c r="K1844" s="6"/>
      <x:c r="L1844" s="6"/>
      <x:c r="M1844" s="6"/>
      <x:c r="N1844" s="6"/>
      <x:c r="O1844" s="6"/>
      <x:c r="P1844" s="6"/>
      <x:c r="Q1844" s="6"/>
      <x:c r="R1844"/>
      <x:c r="S1844"/>
      <x:c r="T1844"/>
    </x:row>
    <x:row r="1845" spans="1:20" ht="15.75" x14ac:dyDescent="0.25">
      <x:c r="A1845"/>
      <x:c r="B1845"/>
      <x:c r="C1845"/>
      <x:c r="D1845"/>
      <x:c r="E1845" s="31"/>
      <x:c r="F1845" s="8"/>
      <x:c r="G1845" s="8"/>
      <x:c r="H1845" s="6"/>
      <x:c r="I1845" s="27"/>
      <x:c r="J1845" s="6"/>
      <x:c r="K1845" s="6"/>
      <x:c r="L1845" s="6"/>
      <x:c r="M1845" s="6"/>
      <x:c r="N1845" s="6"/>
      <x:c r="O1845" s="6"/>
      <x:c r="P1845" s="6"/>
      <x:c r="Q1845" s="6"/>
      <x:c r="R1845"/>
      <x:c r="S1845"/>
      <x:c r="T1845"/>
    </x:row>
    <x:row r="1846" spans="1:20" ht="15.75" x14ac:dyDescent="0.25">
      <x:c r="A1846"/>
      <x:c r="B1846"/>
      <x:c r="C1846"/>
      <x:c r="D1846"/>
      <x:c r="E1846" s="31"/>
      <x:c r="F1846" s="8"/>
      <x:c r="G1846" s="8"/>
      <x:c r="H1846" s="6"/>
      <x:c r="I1846" s="27"/>
      <x:c r="J1846" s="6"/>
      <x:c r="K1846" s="6"/>
      <x:c r="L1846" s="6"/>
      <x:c r="M1846" s="6"/>
      <x:c r="N1846" s="6"/>
      <x:c r="O1846" s="6"/>
      <x:c r="P1846" s="6"/>
      <x:c r="Q1846" s="6"/>
      <x:c r="R1846"/>
      <x:c r="S1846"/>
      <x:c r="T1846"/>
    </x:row>
    <x:row r="1847" spans="1:20" ht="15.75" x14ac:dyDescent="0.25">
      <x:c r="A1847"/>
      <x:c r="B1847"/>
      <x:c r="C1847"/>
      <x:c r="D1847"/>
      <x:c r="E1847" s="31"/>
      <x:c r="F1847" s="8"/>
      <x:c r="G1847" s="8"/>
      <x:c r="H1847" s="6"/>
      <x:c r="I1847" s="27"/>
      <x:c r="J1847" s="6"/>
      <x:c r="K1847" s="6"/>
      <x:c r="L1847" s="6"/>
      <x:c r="M1847" s="6"/>
      <x:c r="N1847" s="6"/>
      <x:c r="O1847" s="6"/>
      <x:c r="P1847" s="6"/>
      <x:c r="Q1847" s="6"/>
      <x:c r="R1847"/>
      <x:c r="S1847"/>
      <x:c r="T1847"/>
    </x:row>
    <x:row r="1848" spans="1:20" ht="15.75" x14ac:dyDescent="0.25">
      <x:c r="A1848"/>
      <x:c r="B1848"/>
      <x:c r="C1848"/>
      <x:c r="D1848"/>
      <x:c r="E1848" s="31"/>
      <x:c r="F1848" s="8"/>
      <x:c r="G1848" s="8"/>
      <x:c r="H1848" s="6"/>
      <x:c r="I1848" s="27"/>
      <x:c r="J1848" s="6"/>
      <x:c r="K1848" s="6"/>
      <x:c r="L1848" s="6"/>
      <x:c r="M1848" s="6"/>
      <x:c r="N1848" s="6"/>
      <x:c r="O1848" s="6"/>
      <x:c r="P1848" s="6"/>
      <x:c r="Q1848" s="6"/>
      <x:c r="R1848"/>
      <x:c r="S1848"/>
      <x:c r="T1848"/>
    </x:row>
    <x:row r="1849" spans="1:20" ht="15.75" x14ac:dyDescent="0.25">
      <x:c r="A1849"/>
      <x:c r="B1849"/>
      <x:c r="C1849"/>
      <x:c r="D1849"/>
      <x:c r="E1849" s="31"/>
      <x:c r="F1849" s="8"/>
      <x:c r="G1849" s="8"/>
      <x:c r="H1849" s="6"/>
      <x:c r="I1849" s="27"/>
      <x:c r="J1849" s="6"/>
      <x:c r="K1849" s="6"/>
      <x:c r="L1849" s="6"/>
      <x:c r="M1849" s="6"/>
      <x:c r="N1849" s="6"/>
      <x:c r="O1849" s="6"/>
      <x:c r="P1849" s="6"/>
      <x:c r="Q1849" s="6"/>
      <x:c r="R1849"/>
      <x:c r="S1849"/>
      <x:c r="T1849"/>
    </x:row>
    <x:row r="1850" spans="1:20" ht="15.75" x14ac:dyDescent="0.25">
      <x:c r="A1850"/>
      <x:c r="B1850"/>
      <x:c r="C1850"/>
      <x:c r="D1850"/>
      <x:c r="E1850" s="31"/>
      <x:c r="F1850" s="8"/>
      <x:c r="G1850" s="8"/>
      <x:c r="H1850" s="6"/>
      <x:c r="I1850" s="27"/>
      <x:c r="J1850" s="6"/>
      <x:c r="K1850" s="6"/>
      <x:c r="L1850" s="6"/>
      <x:c r="M1850" s="6"/>
      <x:c r="N1850" s="6"/>
      <x:c r="O1850" s="6"/>
      <x:c r="P1850" s="6"/>
      <x:c r="Q1850" s="6"/>
      <x:c r="R1850"/>
      <x:c r="S1850"/>
      <x:c r="T1850"/>
    </x:row>
    <x:row r="1851" spans="1:20" ht="15.75" x14ac:dyDescent="0.25">
      <x:c r="A1851"/>
      <x:c r="B1851"/>
      <x:c r="C1851"/>
      <x:c r="D1851"/>
      <x:c r="E1851" s="31"/>
      <x:c r="F1851" s="8"/>
      <x:c r="G1851" s="8"/>
      <x:c r="H1851" s="6"/>
      <x:c r="I1851" s="27"/>
      <x:c r="J1851" s="6"/>
      <x:c r="K1851" s="6"/>
      <x:c r="L1851" s="6"/>
      <x:c r="M1851" s="6"/>
      <x:c r="N1851" s="6"/>
      <x:c r="O1851" s="6"/>
      <x:c r="P1851" s="6"/>
      <x:c r="Q1851" s="6"/>
      <x:c r="R1851"/>
      <x:c r="S1851"/>
      <x:c r="T1851"/>
    </x:row>
    <x:row r="1852" spans="1:20" ht="15.75" x14ac:dyDescent="0.25">
      <x:c r="A1852"/>
      <x:c r="B1852"/>
      <x:c r="C1852"/>
      <x:c r="D1852"/>
      <x:c r="E1852" s="31"/>
      <x:c r="F1852" s="8"/>
      <x:c r="G1852" s="8"/>
      <x:c r="H1852" s="6"/>
      <x:c r="I1852" s="27"/>
      <x:c r="J1852" s="6"/>
      <x:c r="K1852" s="6"/>
      <x:c r="L1852" s="6"/>
      <x:c r="M1852" s="6"/>
      <x:c r="N1852" s="6"/>
      <x:c r="O1852" s="6"/>
      <x:c r="P1852" s="6"/>
      <x:c r="Q1852" s="6"/>
      <x:c r="R1852"/>
      <x:c r="S1852"/>
      <x:c r="T1852"/>
    </x:row>
    <x:row r="1853" spans="1:20" ht="15.75" x14ac:dyDescent="0.25">
      <x:c r="A1853"/>
      <x:c r="B1853"/>
      <x:c r="C1853"/>
      <x:c r="D1853"/>
      <x:c r="E1853" s="31"/>
      <x:c r="F1853" s="8"/>
      <x:c r="G1853" s="8"/>
      <x:c r="H1853" s="6"/>
      <x:c r="I1853" s="27"/>
      <x:c r="J1853" s="6"/>
      <x:c r="K1853" s="6"/>
      <x:c r="L1853" s="6"/>
      <x:c r="M1853" s="6"/>
      <x:c r="N1853" s="6"/>
      <x:c r="O1853" s="6"/>
      <x:c r="P1853" s="6"/>
      <x:c r="Q1853" s="6"/>
      <x:c r="R1853"/>
      <x:c r="S1853"/>
      <x:c r="T1853"/>
    </x:row>
    <x:row r="1854" spans="1:20" ht="15.75" x14ac:dyDescent="0.25">
      <x:c r="A1854"/>
      <x:c r="B1854"/>
      <x:c r="C1854"/>
      <x:c r="D1854"/>
      <x:c r="E1854" s="31"/>
      <x:c r="F1854" s="8"/>
      <x:c r="G1854" s="8"/>
      <x:c r="H1854" s="6"/>
      <x:c r="I1854" s="27"/>
      <x:c r="J1854" s="6"/>
      <x:c r="K1854" s="6"/>
      <x:c r="L1854" s="6"/>
      <x:c r="M1854" s="6"/>
      <x:c r="N1854" s="6"/>
      <x:c r="O1854" s="6"/>
      <x:c r="P1854" s="6"/>
      <x:c r="Q1854" s="6"/>
      <x:c r="R1854"/>
      <x:c r="S1854"/>
      <x:c r="T1854"/>
    </x:row>
    <x:row r="1855" spans="1:20" ht="15.75" x14ac:dyDescent="0.25">
      <x:c r="A1855"/>
      <x:c r="B1855"/>
      <x:c r="C1855"/>
      <x:c r="D1855"/>
      <x:c r="E1855" s="31"/>
      <x:c r="F1855" s="8"/>
      <x:c r="G1855" s="8"/>
      <x:c r="H1855" s="6"/>
      <x:c r="I1855" s="27"/>
      <x:c r="J1855" s="6"/>
      <x:c r="K1855" s="6"/>
      <x:c r="L1855" s="6"/>
      <x:c r="M1855" s="6"/>
      <x:c r="N1855" s="6"/>
      <x:c r="O1855" s="6"/>
      <x:c r="P1855" s="6"/>
      <x:c r="Q1855" s="6"/>
      <x:c r="R1855"/>
      <x:c r="S1855"/>
      <x:c r="T1855"/>
    </x:row>
    <x:row r="1856" spans="1:20" ht="15.75" x14ac:dyDescent="0.25">
      <x:c r="A1856"/>
      <x:c r="B1856"/>
      <x:c r="C1856"/>
      <x:c r="D1856"/>
      <x:c r="E1856" s="31"/>
      <x:c r="F1856" s="8"/>
      <x:c r="G1856" s="8"/>
      <x:c r="H1856" s="6"/>
      <x:c r="I1856" s="27"/>
      <x:c r="J1856" s="6"/>
      <x:c r="K1856" s="6"/>
      <x:c r="L1856" s="6"/>
      <x:c r="M1856" s="6"/>
      <x:c r="N1856" s="6"/>
      <x:c r="O1856" s="6"/>
      <x:c r="P1856" s="6"/>
      <x:c r="Q1856" s="6"/>
      <x:c r="R1856"/>
      <x:c r="S1856"/>
      <x:c r="T1856"/>
    </x:row>
    <x:row r="1857" spans="1:20" ht="15.75" x14ac:dyDescent="0.25">
      <x:c r="A1857"/>
      <x:c r="B1857"/>
      <x:c r="C1857"/>
      <x:c r="D1857"/>
      <x:c r="E1857" s="31"/>
      <x:c r="F1857" s="8"/>
      <x:c r="G1857" s="8"/>
      <x:c r="H1857" s="6"/>
      <x:c r="I1857" s="27"/>
      <x:c r="J1857" s="6"/>
      <x:c r="K1857" s="6"/>
      <x:c r="L1857" s="6"/>
      <x:c r="M1857" s="6"/>
      <x:c r="N1857" s="6"/>
      <x:c r="O1857" s="6"/>
      <x:c r="P1857" s="6"/>
      <x:c r="Q1857" s="6"/>
      <x:c r="R1857"/>
      <x:c r="S1857"/>
      <x:c r="T1857"/>
    </x:row>
    <x:row r="1858" spans="1:20" ht="15.75" x14ac:dyDescent="0.25">
      <x:c r="A1858"/>
      <x:c r="B1858"/>
      <x:c r="C1858"/>
      <x:c r="D1858"/>
      <x:c r="E1858" s="31"/>
      <x:c r="F1858" s="8"/>
      <x:c r="G1858" s="8"/>
      <x:c r="H1858" s="6"/>
      <x:c r="I1858" s="27"/>
      <x:c r="J1858" s="6"/>
      <x:c r="K1858" s="6"/>
      <x:c r="L1858" s="6"/>
      <x:c r="M1858" s="6"/>
      <x:c r="N1858" s="6"/>
      <x:c r="O1858" s="6"/>
      <x:c r="P1858" s="6"/>
      <x:c r="Q1858" s="6"/>
      <x:c r="R1858"/>
      <x:c r="S1858"/>
      <x:c r="T1858"/>
    </x:row>
    <x:row r="1859" spans="1:20" ht="15.75" x14ac:dyDescent="0.25">
      <x:c r="A1859"/>
      <x:c r="B1859"/>
      <x:c r="C1859"/>
      <x:c r="D1859"/>
      <x:c r="E1859" s="31"/>
      <x:c r="F1859" s="8"/>
      <x:c r="G1859" s="8"/>
      <x:c r="H1859" s="6"/>
      <x:c r="I1859" s="27"/>
      <x:c r="J1859" s="6"/>
      <x:c r="K1859" s="6"/>
      <x:c r="L1859" s="6"/>
      <x:c r="M1859" s="6"/>
      <x:c r="N1859" s="6"/>
      <x:c r="O1859" s="6"/>
      <x:c r="P1859" s="6"/>
      <x:c r="Q1859" s="6"/>
      <x:c r="R1859"/>
      <x:c r="S1859"/>
      <x:c r="T1859"/>
    </x:row>
    <x:row r="1860" spans="1:20" ht="15.75" x14ac:dyDescent="0.25">
      <x:c r="A1860"/>
      <x:c r="B1860"/>
      <x:c r="C1860"/>
      <x:c r="D1860"/>
      <x:c r="E1860" s="31"/>
      <x:c r="F1860" s="8"/>
      <x:c r="G1860" s="8"/>
      <x:c r="H1860" s="6"/>
      <x:c r="I1860" s="27"/>
      <x:c r="J1860" s="6"/>
      <x:c r="K1860" s="6"/>
      <x:c r="L1860" s="6"/>
      <x:c r="M1860" s="6"/>
      <x:c r="N1860" s="6"/>
      <x:c r="O1860" s="6"/>
      <x:c r="P1860" s="6"/>
      <x:c r="Q1860" s="6"/>
      <x:c r="R1860"/>
      <x:c r="S1860"/>
      <x:c r="T1860"/>
    </x:row>
    <x:row r="1861" spans="1:20" ht="15.75" x14ac:dyDescent="0.25">
      <x:c r="A1861"/>
      <x:c r="B1861"/>
      <x:c r="C1861"/>
      <x:c r="D1861"/>
      <x:c r="E1861" s="31"/>
      <x:c r="F1861" s="8"/>
      <x:c r="G1861" s="8"/>
      <x:c r="H1861" s="6"/>
      <x:c r="I1861" s="27"/>
      <x:c r="J1861" s="6"/>
      <x:c r="K1861" s="6"/>
      <x:c r="L1861" s="6"/>
      <x:c r="M1861" s="6"/>
      <x:c r="N1861" s="6"/>
      <x:c r="O1861" s="6"/>
      <x:c r="P1861" s="6"/>
      <x:c r="Q1861" s="6"/>
      <x:c r="R1861"/>
      <x:c r="S1861"/>
      <x:c r="T1861"/>
    </x:row>
    <x:row r="1862" spans="1:20" ht="15.75" x14ac:dyDescent="0.25">
      <x:c r="A1862"/>
      <x:c r="B1862"/>
      <x:c r="C1862"/>
      <x:c r="D1862"/>
      <x:c r="E1862" s="31"/>
      <x:c r="F1862" s="8"/>
      <x:c r="G1862" s="8"/>
      <x:c r="H1862" s="6"/>
      <x:c r="I1862" s="27"/>
      <x:c r="J1862" s="6"/>
      <x:c r="K1862" s="6"/>
      <x:c r="L1862" s="6"/>
      <x:c r="M1862" s="6"/>
      <x:c r="N1862" s="6"/>
      <x:c r="O1862" s="6"/>
      <x:c r="P1862" s="6"/>
      <x:c r="Q1862" s="6"/>
      <x:c r="R1862"/>
      <x:c r="S1862"/>
      <x:c r="T1862"/>
    </x:row>
    <x:row r="1863" spans="1:20" ht="15.75" x14ac:dyDescent="0.25">
      <x:c r="A1863"/>
      <x:c r="B1863"/>
      <x:c r="C1863"/>
      <x:c r="D1863"/>
      <x:c r="E1863" s="31"/>
      <x:c r="F1863" s="8"/>
      <x:c r="G1863" s="8"/>
      <x:c r="H1863" s="6"/>
      <x:c r="I1863" s="27"/>
      <x:c r="J1863" s="6"/>
      <x:c r="K1863" s="6"/>
      <x:c r="L1863" s="6"/>
      <x:c r="M1863" s="6"/>
      <x:c r="N1863" s="6"/>
      <x:c r="O1863" s="6"/>
      <x:c r="P1863" s="6"/>
      <x:c r="Q1863" s="6"/>
      <x:c r="R1863"/>
      <x:c r="S1863"/>
      <x:c r="T1863"/>
    </x:row>
    <x:row r="1864" spans="1:20" ht="15.75" x14ac:dyDescent="0.25">
      <x:c r="A1864"/>
      <x:c r="B1864"/>
      <x:c r="C1864"/>
      <x:c r="D1864"/>
      <x:c r="E1864" s="31"/>
      <x:c r="F1864" s="8"/>
      <x:c r="G1864" s="8"/>
      <x:c r="H1864" s="6"/>
      <x:c r="I1864" s="27"/>
      <x:c r="J1864" s="6"/>
      <x:c r="K1864" s="6"/>
      <x:c r="L1864" s="6"/>
      <x:c r="M1864" s="6"/>
      <x:c r="N1864" s="6"/>
      <x:c r="O1864" s="6"/>
      <x:c r="P1864" s="6"/>
      <x:c r="Q1864" s="6"/>
      <x:c r="R1864"/>
      <x:c r="S1864"/>
      <x:c r="T1864"/>
    </x:row>
    <x:row r="1865" spans="1:20" ht="15.75" x14ac:dyDescent="0.25">
      <x:c r="A1865"/>
      <x:c r="B1865"/>
      <x:c r="C1865"/>
      <x:c r="D1865"/>
      <x:c r="E1865" s="31"/>
      <x:c r="F1865" s="8"/>
      <x:c r="G1865" s="8"/>
      <x:c r="H1865" s="6"/>
      <x:c r="I1865" s="27"/>
      <x:c r="J1865" s="6"/>
      <x:c r="K1865" s="6"/>
      <x:c r="L1865" s="6"/>
      <x:c r="M1865" s="6"/>
      <x:c r="N1865" s="6"/>
      <x:c r="O1865" s="6"/>
      <x:c r="P1865" s="6"/>
      <x:c r="Q1865" s="6"/>
      <x:c r="R1865"/>
      <x:c r="S1865"/>
      <x:c r="T1865"/>
    </x:row>
    <x:row r="1866" spans="1:20" ht="15.75" x14ac:dyDescent="0.25">
      <x:c r="A1866"/>
      <x:c r="B1866"/>
      <x:c r="C1866"/>
      <x:c r="D1866"/>
      <x:c r="E1866" s="31"/>
      <x:c r="F1866" s="8"/>
      <x:c r="G1866" s="8"/>
      <x:c r="H1866" s="6"/>
      <x:c r="I1866" s="27"/>
      <x:c r="J1866" s="6"/>
      <x:c r="K1866" s="6"/>
      <x:c r="L1866" s="6"/>
      <x:c r="M1866" s="6"/>
      <x:c r="N1866" s="6"/>
      <x:c r="O1866" s="6"/>
      <x:c r="P1866" s="6"/>
      <x:c r="Q1866" s="6"/>
      <x:c r="R1866"/>
      <x:c r="S1866"/>
      <x:c r="T1866"/>
    </x:row>
    <x:row r="1867" spans="1:20" ht="15.75" x14ac:dyDescent="0.25">
      <x:c r="A1867"/>
      <x:c r="B1867"/>
      <x:c r="C1867"/>
      <x:c r="D1867"/>
      <x:c r="E1867" s="31"/>
      <x:c r="F1867" s="8"/>
      <x:c r="G1867" s="8"/>
      <x:c r="H1867" s="6"/>
      <x:c r="I1867" s="27"/>
      <x:c r="J1867" s="6"/>
      <x:c r="K1867" s="6"/>
      <x:c r="L1867" s="6"/>
      <x:c r="M1867" s="6"/>
      <x:c r="N1867" s="6"/>
      <x:c r="O1867" s="6"/>
      <x:c r="P1867" s="6"/>
      <x:c r="Q1867" s="6"/>
      <x:c r="R1867"/>
      <x:c r="S1867"/>
      <x:c r="T1867"/>
    </x:row>
    <x:row r="1868" spans="1:20" ht="15.75" x14ac:dyDescent="0.25">
      <x:c r="A1868"/>
      <x:c r="B1868"/>
      <x:c r="C1868"/>
      <x:c r="D1868"/>
      <x:c r="E1868" s="31"/>
      <x:c r="F1868" s="8"/>
      <x:c r="G1868" s="8"/>
      <x:c r="H1868" s="6"/>
      <x:c r="I1868" s="27"/>
      <x:c r="J1868" s="6"/>
      <x:c r="K1868" s="6"/>
      <x:c r="L1868" s="6"/>
      <x:c r="M1868" s="6"/>
      <x:c r="N1868" s="6"/>
      <x:c r="O1868" s="6"/>
      <x:c r="P1868" s="6"/>
      <x:c r="Q1868" s="6"/>
      <x:c r="R1868"/>
      <x:c r="S1868"/>
      <x:c r="T1868"/>
    </x:row>
    <x:row r="1869" spans="1:20" ht="15.75" x14ac:dyDescent="0.25">
      <x:c r="A1869"/>
      <x:c r="B1869"/>
      <x:c r="C1869"/>
      <x:c r="D1869"/>
      <x:c r="E1869" s="31"/>
      <x:c r="F1869" s="8"/>
      <x:c r="G1869" s="8"/>
      <x:c r="H1869" s="6"/>
      <x:c r="I1869" s="27"/>
      <x:c r="J1869" s="6"/>
      <x:c r="K1869" s="6"/>
      <x:c r="L1869" s="6"/>
      <x:c r="M1869" s="6"/>
      <x:c r="N1869" s="6"/>
      <x:c r="O1869" s="6"/>
      <x:c r="P1869" s="6"/>
      <x:c r="Q1869" s="6"/>
      <x:c r="R1869"/>
      <x:c r="S1869"/>
      <x:c r="T1869"/>
    </x:row>
    <x:row r="1870" spans="1:20" ht="15.75" x14ac:dyDescent="0.25">
      <x:c r="A1870"/>
      <x:c r="B1870"/>
      <x:c r="C1870"/>
      <x:c r="D1870"/>
      <x:c r="E1870" s="31"/>
      <x:c r="F1870" s="8"/>
      <x:c r="G1870" s="8"/>
      <x:c r="H1870" s="6"/>
      <x:c r="I1870" s="27"/>
      <x:c r="J1870" s="6"/>
      <x:c r="K1870" s="6"/>
      <x:c r="L1870" s="6"/>
      <x:c r="M1870" s="6"/>
      <x:c r="N1870" s="6"/>
      <x:c r="O1870" s="6"/>
      <x:c r="P1870" s="6"/>
      <x:c r="Q1870" s="6"/>
      <x:c r="R1870"/>
      <x:c r="S1870"/>
      <x:c r="T1870"/>
    </x:row>
    <x:row r="1871" spans="1:20" ht="15.75" x14ac:dyDescent="0.25">
      <x:c r="A1871"/>
      <x:c r="B1871"/>
      <x:c r="C1871"/>
      <x:c r="D1871"/>
      <x:c r="E1871" s="31"/>
      <x:c r="F1871" s="8"/>
      <x:c r="G1871" s="8"/>
      <x:c r="H1871" s="6"/>
      <x:c r="I1871" s="27"/>
      <x:c r="J1871" s="6"/>
      <x:c r="K1871" s="6"/>
      <x:c r="L1871" s="6"/>
      <x:c r="M1871" s="6"/>
      <x:c r="N1871" s="6"/>
      <x:c r="O1871" s="6"/>
      <x:c r="P1871" s="6"/>
      <x:c r="Q1871" s="6"/>
      <x:c r="R1871"/>
      <x:c r="S1871"/>
      <x:c r="T1871"/>
    </x:row>
    <x:row r="1872" spans="1:20" ht="15.75" x14ac:dyDescent="0.25">
      <x:c r="A1872"/>
      <x:c r="B1872"/>
      <x:c r="C1872"/>
      <x:c r="D1872"/>
      <x:c r="E1872" s="31"/>
      <x:c r="F1872" s="8"/>
      <x:c r="G1872" s="8"/>
      <x:c r="H1872" s="6"/>
      <x:c r="I1872" s="27"/>
      <x:c r="J1872" s="6"/>
      <x:c r="K1872" s="6"/>
      <x:c r="L1872" s="6"/>
      <x:c r="M1872" s="6"/>
      <x:c r="N1872" s="6"/>
      <x:c r="O1872" s="6"/>
      <x:c r="P1872" s="6"/>
      <x:c r="Q1872" s="6"/>
      <x:c r="R1872"/>
      <x:c r="S1872"/>
      <x:c r="T1872"/>
    </x:row>
    <x:row r="1873" spans="1:20" ht="15.75" x14ac:dyDescent="0.25">
      <x:c r="A1873"/>
      <x:c r="B1873"/>
      <x:c r="C1873"/>
      <x:c r="D1873"/>
      <x:c r="E1873" s="31"/>
      <x:c r="F1873" s="8"/>
      <x:c r="G1873" s="8"/>
      <x:c r="H1873" s="6"/>
      <x:c r="I1873" s="27"/>
      <x:c r="J1873" s="6"/>
      <x:c r="K1873" s="6"/>
      <x:c r="L1873" s="6"/>
      <x:c r="M1873" s="6"/>
      <x:c r="N1873" s="6"/>
      <x:c r="O1873" s="6"/>
      <x:c r="P1873" s="6"/>
      <x:c r="Q1873" s="6"/>
      <x:c r="R1873"/>
      <x:c r="S1873"/>
      <x:c r="T1873"/>
    </x:row>
    <x:row r="1874" spans="1:20" ht="15.75" x14ac:dyDescent="0.25">
      <x:c r="A1874"/>
      <x:c r="B1874"/>
      <x:c r="C1874"/>
      <x:c r="D1874"/>
      <x:c r="E1874" s="31"/>
      <x:c r="F1874" s="8"/>
      <x:c r="G1874" s="8"/>
      <x:c r="H1874" s="6"/>
      <x:c r="I1874" s="27"/>
      <x:c r="J1874" s="6"/>
      <x:c r="K1874" s="6"/>
      <x:c r="L1874" s="6"/>
      <x:c r="M1874" s="6"/>
      <x:c r="N1874" s="6"/>
      <x:c r="O1874" s="6"/>
      <x:c r="P1874" s="6"/>
      <x:c r="Q1874" s="6"/>
      <x:c r="R1874"/>
      <x:c r="S1874"/>
      <x:c r="T1874"/>
    </x:row>
    <x:row r="1875" spans="1:20" ht="15.75" x14ac:dyDescent="0.25">
      <x:c r="A1875"/>
      <x:c r="B1875"/>
      <x:c r="C1875"/>
      <x:c r="D1875"/>
      <x:c r="E1875" s="31"/>
      <x:c r="F1875" s="8"/>
      <x:c r="G1875" s="8"/>
      <x:c r="H1875" s="6"/>
      <x:c r="I1875" s="27"/>
      <x:c r="J1875" s="6"/>
      <x:c r="K1875" s="6"/>
      <x:c r="L1875" s="6"/>
      <x:c r="M1875" s="6"/>
      <x:c r="N1875" s="6"/>
      <x:c r="O1875" s="6"/>
      <x:c r="P1875" s="6"/>
      <x:c r="Q1875" s="6"/>
      <x:c r="R1875"/>
      <x:c r="S1875"/>
      <x:c r="T1875"/>
    </x:row>
    <x:row r="1876" spans="1:20" ht="15.75" x14ac:dyDescent="0.25">
      <x:c r="A1876"/>
      <x:c r="B1876"/>
      <x:c r="C1876"/>
      <x:c r="D1876"/>
      <x:c r="E1876" s="31"/>
      <x:c r="F1876" s="8"/>
      <x:c r="G1876" s="8"/>
      <x:c r="H1876" s="6"/>
      <x:c r="I1876" s="27"/>
      <x:c r="J1876" s="6"/>
      <x:c r="K1876" s="6"/>
      <x:c r="L1876" s="6"/>
      <x:c r="M1876" s="6"/>
      <x:c r="N1876" s="6"/>
      <x:c r="O1876" s="6"/>
      <x:c r="P1876" s="6"/>
      <x:c r="Q1876" s="6"/>
      <x:c r="R1876"/>
      <x:c r="S1876"/>
      <x:c r="T1876"/>
    </x:row>
    <x:row r="1877" spans="1:20" ht="15.75" x14ac:dyDescent="0.25">
      <x:c r="A1877"/>
      <x:c r="B1877"/>
      <x:c r="C1877"/>
      <x:c r="D1877"/>
      <x:c r="E1877" s="31"/>
      <x:c r="F1877" s="8"/>
      <x:c r="G1877" s="8"/>
      <x:c r="H1877" s="6"/>
      <x:c r="I1877" s="27"/>
      <x:c r="J1877" s="6"/>
      <x:c r="K1877" s="6"/>
      <x:c r="L1877" s="6"/>
      <x:c r="M1877" s="6"/>
      <x:c r="N1877" s="6"/>
      <x:c r="O1877" s="6"/>
      <x:c r="P1877" s="6"/>
      <x:c r="Q1877" s="6"/>
      <x:c r="R1877"/>
      <x:c r="S1877"/>
      <x:c r="T1877"/>
    </x:row>
    <x:row r="1878" spans="1:20" ht="15.75" x14ac:dyDescent="0.25">
      <x:c r="A1878"/>
      <x:c r="B1878"/>
      <x:c r="C1878"/>
      <x:c r="D1878"/>
      <x:c r="E1878" s="31"/>
      <x:c r="F1878" s="8"/>
      <x:c r="G1878" s="8"/>
      <x:c r="H1878" s="6"/>
      <x:c r="I1878" s="27"/>
      <x:c r="J1878" s="6"/>
      <x:c r="K1878" s="6"/>
      <x:c r="L1878" s="6"/>
      <x:c r="M1878" s="6"/>
      <x:c r="N1878" s="6"/>
      <x:c r="O1878" s="6"/>
      <x:c r="P1878" s="6"/>
      <x:c r="Q1878" s="6"/>
      <x:c r="R1878"/>
      <x:c r="S1878"/>
      <x:c r="T1878"/>
    </x:row>
    <x:row r="1879" spans="1:20" ht="15.75" x14ac:dyDescent="0.25">
      <x:c r="A1879"/>
      <x:c r="B1879"/>
      <x:c r="C1879"/>
      <x:c r="D1879"/>
      <x:c r="E1879" s="31"/>
      <x:c r="F1879" s="8"/>
      <x:c r="G1879" s="8"/>
      <x:c r="H1879" s="6"/>
      <x:c r="I1879" s="27"/>
      <x:c r="J1879" s="6"/>
      <x:c r="K1879" s="6"/>
      <x:c r="L1879" s="6"/>
      <x:c r="M1879" s="6"/>
      <x:c r="N1879" s="6"/>
      <x:c r="O1879" s="6"/>
      <x:c r="P1879" s="6"/>
      <x:c r="Q1879" s="6"/>
      <x:c r="R1879"/>
      <x:c r="S1879"/>
      <x:c r="T1879"/>
    </x:row>
    <x:row r="1880" spans="1:20" ht="15.75" x14ac:dyDescent="0.25">
      <x:c r="A1880"/>
      <x:c r="B1880"/>
      <x:c r="C1880"/>
      <x:c r="D1880"/>
      <x:c r="E1880" s="31"/>
      <x:c r="F1880" s="8"/>
      <x:c r="G1880" s="8"/>
      <x:c r="H1880" s="6"/>
      <x:c r="I1880" s="27"/>
      <x:c r="J1880" s="6"/>
      <x:c r="K1880" s="6"/>
      <x:c r="L1880" s="6"/>
      <x:c r="M1880" s="6"/>
      <x:c r="N1880" s="6"/>
      <x:c r="O1880" s="6"/>
      <x:c r="P1880" s="6"/>
      <x:c r="Q1880" s="6"/>
      <x:c r="R1880"/>
      <x:c r="S1880"/>
      <x:c r="T1880"/>
    </x:row>
    <x:row r="1881" spans="1:20" ht="15.75" x14ac:dyDescent="0.25">
      <x:c r="A1881"/>
      <x:c r="B1881"/>
      <x:c r="C1881"/>
      <x:c r="D1881"/>
      <x:c r="E1881" s="31"/>
      <x:c r="F1881" s="8"/>
      <x:c r="G1881" s="8"/>
      <x:c r="H1881" s="6"/>
      <x:c r="I1881" s="27"/>
      <x:c r="J1881" s="6"/>
      <x:c r="K1881" s="6"/>
      <x:c r="L1881" s="6"/>
      <x:c r="M1881" s="6"/>
      <x:c r="N1881" s="6"/>
      <x:c r="O1881" s="6"/>
      <x:c r="P1881" s="6"/>
      <x:c r="Q1881" s="6"/>
      <x:c r="R1881"/>
      <x:c r="S1881"/>
      <x:c r="T1881"/>
    </x:row>
    <x:row r="1882" spans="1:20" ht="15.75" x14ac:dyDescent="0.25">
      <x:c r="A1882"/>
      <x:c r="B1882"/>
      <x:c r="C1882"/>
      <x:c r="D1882"/>
      <x:c r="E1882" s="31"/>
      <x:c r="F1882" s="8"/>
      <x:c r="G1882" s="8"/>
      <x:c r="H1882" s="6"/>
      <x:c r="I1882" s="27"/>
      <x:c r="J1882" s="6"/>
      <x:c r="K1882" s="6"/>
      <x:c r="L1882" s="6"/>
      <x:c r="M1882" s="6"/>
      <x:c r="N1882" s="6"/>
      <x:c r="O1882" s="6"/>
      <x:c r="P1882" s="6"/>
      <x:c r="Q1882" s="6"/>
      <x:c r="R1882"/>
      <x:c r="S1882"/>
      <x:c r="T1882"/>
    </x:row>
    <x:row r="1883" spans="1:20" ht="15.75" x14ac:dyDescent="0.25">
      <x:c r="A1883"/>
      <x:c r="B1883"/>
      <x:c r="C1883"/>
      <x:c r="D1883"/>
      <x:c r="E1883" s="31"/>
      <x:c r="F1883" s="8"/>
      <x:c r="G1883" s="8"/>
      <x:c r="H1883" s="6"/>
      <x:c r="I1883" s="27"/>
      <x:c r="J1883" s="6"/>
      <x:c r="K1883" s="6"/>
      <x:c r="L1883" s="6"/>
      <x:c r="M1883" s="6"/>
      <x:c r="N1883" s="6"/>
      <x:c r="O1883" s="6"/>
      <x:c r="P1883" s="6"/>
      <x:c r="Q1883" s="6"/>
      <x:c r="R1883"/>
      <x:c r="S1883"/>
      <x:c r="T1883"/>
    </x:row>
    <x:row r="1884" spans="1:20" ht="15.75" x14ac:dyDescent="0.25">
      <x:c r="A1884"/>
      <x:c r="B1884"/>
      <x:c r="C1884"/>
      <x:c r="D1884"/>
      <x:c r="E1884" s="31"/>
      <x:c r="F1884" s="8"/>
      <x:c r="G1884" s="8"/>
      <x:c r="H1884" s="6"/>
      <x:c r="I1884" s="27"/>
      <x:c r="J1884" s="6"/>
      <x:c r="K1884" s="6"/>
      <x:c r="L1884" s="6"/>
      <x:c r="M1884" s="6"/>
      <x:c r="N1884" s="6"/>
      <x:c r="O1884" s="6"/>
      <x:c r="P1884" s="6"/>
      <x:c r="Q1884" s="6"/>
      <x:c r="R1884"/>
      <x:c r="S1884"/>
      <x:c r="T1884"/>
    </x:row>
    <x:row r="1885" spans="1:20" ht="15.75" x14ac:dyDescent="0.25">
      <x:c r="A1885"/>
      <x:c r="B1885"/>
      <x:c r="C1885"/>
      <x:c r="D1885"/>
      <x:c r="E1885" s="31"/>
      <x:c r="F1885" s="8"/>
      <x:c r="G1885" s="8"/>
      <x:c r="H1885" s="6"/>
      <x:c r="I1885" s="27"/>
      <x:c r="J1885" s="6"/>
      <x:c r="K1885" s="6"/>
      <x:c r="L1885" s="6"/>
      <x:c r="M1885" s="6"/>
      <x:c r="N1885" s="6"/>
      <x:c r="O1885" s="6"/>
      <x:c r="P1885" s="6"/>
      <x:c r="Q1885" s="6"/>
      <x:c r="R1885"/>
      <x:c r="S1885"/>
      <x:c r="T1885"/>
    </x:row>
    <x:row r="1886" spans="1:20" ht="15.75" x14ac:dyDescent="0.25">
      <x:c r="A1886"/>
      <x:c r="B1886"/>
      <x:c r="C1886"/>
      <x:c r="D1886"/>
      <x:c r="E1886" s="31"/>
      <x:c r="F1886" s="8"/>
      <x:c r="G1886" s="8"/>
      <x:c r="H1886" s="6"/>
      <x:c r="I1886" s="27"/>
      <x:c r="J1886" s="6"/>
      <x:c r="K1886" s="6"/>
      <x:c r="L1886" s="6"/>
      <x:c r="M1886" s="6"/>
      <x:c r="N1886" s="6"/>
      <x:c r="O1886" s="6"/>
      <x:c r="P1886" s="6"/>
      <x:c r="Q1886" s="6"/>
      <x:c r="R1886"/>
      <x:c r="S1886"/>
      <x:c r="T1886"/>
    </x:row>
    <x:row r="1887" spans="1:20" ht="15.75" x14ac:dyDescent="0.25">
      <x:c r="A1887"/>
      <x:c r="B1887"/>
      <x:c r="C1887"/>
      <x:c r="D1887"/>
      <x:c r="E1887" s="31"/>
      <x:c r="F1887" s="8"/>
      <x:c r="G1887" s="8"/>
      <x:c r="H1887" s="6"/>
      <x:c r="I1887" s="27"/>
      <x:c r="J1887" s="6"/>
      <x:c r="K1887" s="6"/>
      <x:c r="L1887" s="6"/>
      <x:c r="M1887" s="6"/>
      <x:c r="N1887" s="6"/>
      <x:c r="O1887" s="6"/>
      <x:c r="P1887" s="6"/>
      <x:c r="Q1887" s="6"/>
      <x:c r="R1887"/>
      <x:c r="S1887"/>
      <x:c r="T1887"/>
    </x:row>
    <x:row r="1888" spans="1:20" ht="15.75" x14ac:dyDescent="0.25">
      <x:c r="A1888"/>
      <x:c r="B1888"/>
      <x:c r="C1888"/>
      <x:c r="D1888"/>
      <x:c r="E1888" s="31"/>
      <x:c r="F1888" s="8"/>
      <x:c r="G1888" s="8"/>
      <x:c r="H1888" s="6"/>
      <x:c r="I1888" s="27"/>
      <x:c r="J1888" s="6"/>
      <x:c r="K1888" s="6"/>
      <x:c r="L1888" s="6"/>
      <x:c r="M1888" s="6"/>
      <x:c r="N1888" s="6"/>
      <x:c r="O1888" s="6"/>
      <x:c r="P1888" s="6"/>
      <x:c r="Q1888" s="6"/>
      <x:c r="R1888"/>
      <x:c r="S1888"/>
      <x:c r="T1888"/>
    </x:row>
    <x:row r="1889" spans="1:20" ht="15.75" x14ac:dyDescent="0.25">
      <x:c r="A1889"/>
      <x:c r="B1889"/>
      <x:c r="C1889"/>
      <x:c r="D1889"/>
      <x:c r="E1889" s="31"/>
      <x:c r="F1889" s="8"/>
      <x:c r="G1889" s="8"/>
      <x:c r="H1889" s="6"/>
      <x:c r="I1889" s="27"/>
      <x:c r="J1889" s="6"/>
      <x:c r="K1889" s="6"/>
      <x:c r="L1889" s="6"/>
      <x:c r="M1889" s="6"/>
      <x:c r="N1889" s="6"/>
      <x:c r="O1889" s="6"/>
      <x:c r="P1889" s="6"/>
      <x:c r="Q1889" s="6"/>
      <x:c r="R1889"/>
      <x:c r="S1889"/>
      <x:c r="T1889"/>
    </x:row>
    <x:row r="1890" spans="1:20" ht="15.75" x14ac:dyDescent="0.25">
      <x:c r="A1890"/>
      <x:c r="B1890"/>
      <x:c r="C1890"/>
      <x:c r="D1890"/>
      <x:c r="E1890" s="31"/>
      <x:c r="F1890" s="8"/>
      <x:c r="G1890" s="8"/>
      <x:c r="H1890" s="6"/>
      <x:c r="I1890" s="27"/>
      <x:c r="J1890" s="6"/>
      <x:c r="K1890" s="6"/>
      <x:c r="L1890" s="6"/>
      <x:c r="M1890" s="6"/>
      <x:c r="N1890" s="6"/>
      <x:c r="O1890" s="6"/>
      <x:c r="P1890" s="6"/>
      <x:c r="Q1890" s="6"/>
      <x:c r="R1890"/>
      <x:c r="S1890"/>
      <x:c r="T1890"/>
    </x:row>
    <x:row r="1891" spans="1:20" ht="15.75" x14ac:dyDescent="0.25">
      <x:c r="A1891"/>
      <x:c r="B1891"/>
      <x:c r="C1891"/>
      <x:c r="D1891"/>
      <x:c r="E1891" s="31"/>
      <x:c r="F1891" s="8"/>
      <x:c r="G1891" s="8"/>
      <x:c r="H1891" s="6"/>
      <x:c r="I1891" s="27"/>
      <x:c r="J1891" s="6"/>
      <x:c r="K1891" s="6"/>
      <x:c r="L1891" s="6"/>
      <x:c r="M1891" s="6"/>
      <x:c r="N1891" s="6"/>
      <x:c r="O1891" s="6"/>
      <x:c r="P1891" s="6"/>
      <x:c r="Q1891" s="6"/>
      <x:c r="R1891"/>
      <x:c r="S1891"/>
      <x:c r="T1891"/>
    </x:row>
    <x:row r="1892" spans="1:20" ht="15.75" x14ac:dyDescent="0.25">
      <x:c r="A1892"/>
      <x:c r="B1892"/>
      <x:c r="C1892"/>
      <x:c r="D1892"/>
      <x:c r="E1892" s="31"/>
      <x:c r="F1892" s="8"/>
      <x:c r="G1892" s="8"/>
      <x:c r="H1892" s="6"/>
      <x:c r="I1892" s="27"/>
      <x:c r="J1892" s="6"/>
      <x:c r="K1892" s="6"/>
      <x:c r="L1892" s="6"/>
      <x:c r="M1892" s="6"/>
      <x:c r="N1892" s="6"/>
      <x:c r="O1892" s="6"/>
      <x:c r="P1892" s="6"/>
      <x:c r="Q1892" s="6"/>
      <x:c r="R1892"/>
      <x:c r="S1892"/>
      <x:c r="T1892"/>
    </x:row>
    <x:row r="1893" spans="1:20" ht="15.75" x14ac:dyDescent="0.25">
      <x:c r="A1893"/>
      <x:c r="B1893"/>
      <x:c r="C1893"/>
      <x:c r="D1893"/>
      <x:c r="E1893" s="31"/>
      <x:c r="F1893" s="8"/>
      <x:c r="G1893" s="8"/>
      <x:c r="H1893" s="6"/>
      <x:c r="I1893" s="27"/>
      <x:c r="J1893" s="6"/>
      <x:c r="K1893" s="6"/>
      <x:c r="L1893" s="6"/>
      <x:c r="M1893" s="6"/>
      <x:c r="N1893" s="6"/>
      <x:c r="O1893" s="6"/>
      <x:c r="P1893" s="6"/>
      <x:c r="Q1893" s="6"/>
      <x:c r="R1893"/>
      <x:c r="S1893"/>
      <x:c r="T1893"/>
    </x:row>
    <x:row r="1894" spans="1:20" ht="15.75" x14ac:dyDescent="0.25">
      <x:c r="A1894"/>
      <x:c r="B1894"/>
      <x:c r="C1894"/>
      <x:c r="D1894"/>
      <x:c r="E1894" s="31"/>
      <x:c r="F1894" s="8"/>
      <x:c r="G1894" s="8"/>
      <x:c r="H1894" s="6"/>
      <x:c r="I1894" s="27"/>
      <x:c r="J1894" s="6"/>
      <x:c r="K1894" s="6"/>
      <x:c r="L1894" s="6"/>
      <x:c r="M1894" s="6"/>
      <x:c r="N1894" s="6"/>
      <x:c r="O1894" s="6"/>
      <x:c r="P1894" s="6"/>
      <x:c r="Q1894" s="6"/>
      <x:c r="R1894"/>
      <x:c r="S1894"/>
      <x:c r="T1894"/>
    </x:row>
    <x:row r="1895" spans="1:20" ht="15.75" x14ac:dyDescent="0.25">
      <x:c r="A1895"/>
      <x:c r="B1895"/>
      <x:c r="C1895"/>
      <x:c r="D1895"/>
      <x:c r="E1895" s="31"/>
      <x:c r="F1895" s="8"/>
      <x:c r="G1895" s="8"/>
      <x:c r="H1895" s="6"/>
      <x:c r="I1895" s="27"/>
      <x:c r="J1895" s="6"/>
      <x:c r="K1895" s="6"/>
      <x:c r="L1895" s="6"/>
      <x:c r="M1895" s="6"/>
      <x:c r="N1895" s="6"/>
      <x:c r="O1895" s="6"/>
      <x:c r="P1895" s="6"/>
      <x:c r="Q1895" s="6"/>
      <x:c r="R1895"/>
      <x:c r="S1895"/>
      <x:c r="T1895"/>
    </x:row>
    <x:row r="1896" spans="1:20" ht="15.75" x14ac:dyDescent="0.25">
      <x:c r="A1896"/>
      <x:c r="B1896"/>
      <x:c r="C1896"/>
      <x:c r="D1896"/>
      <x:c r="E1896" s="31"/>
      <x:c r="F1896" s="8"/>
      <x:c r="G1896" s="8"/>
      <x:c r="H1896" s="6"/>
      <x:c r="I1896" s="27"/>
      <x:c r="J1896" s="6"/>
      <x:c r="K1896" s="6"/>
      <x:c r="L1896" s="6"/>
      <x:c r="M1896" s="6"/>
      <x:c r="N1896" s="6"/>
      <x:c r="O1896" s="6"/>
      <x:c r="P1896" s="6"/>
      <x:c r="Q1896" s="6"/>
      <x:c r="R1896"/>
      <x:c r="S1896"/>
      <x:c r="T1896"/>
    </x:row>
    <x:row r="1897" spans="1:20" ht="15.75" x14ac:dyDescent="0.25">
      <x:c r="A1897"/>
      <x:c r="B1897"/>
      <x:c r="C1897"/>
      <x:c r="D1897"/>
      <x:c r="E1897" s="31"/>
      <x:c r="F1897" s="8"/>
      <x:c r="G1897" s="8"/>
      <x:c r="H1897" s="6"/>
      <x:c r="I1897" s="27"/>
      <x:c r="J1897" s="6"/>
      <x:c r="K1897" s="6"/>
      <x:c r="L1897" s="6"/>
      <x:c r="M1897" s="6"/>
      <x:c r="N1897" s="6"/>
      <x:c r="O1897" s="6"/>
      <x:c r="P1897" s="6"/>
      <x:c r="Q1897" s="6"/>
      <x:c r="R1897"/>
      <x:c r="S1897"/>
      <x:c r="T1897"/>
    </x:row>
    <x:row r="1898" spans="1:20" ht="15.75" x14ac:dyDescent="0.25">
      <x:c r="A1898"/>
      <x:c r="B1898"/>
      <x:c r="C1898"/>
      <x:c r="D1898"/>
      <x:c r="E1898" s="31"/>
      <x:c r="F1898" s="8"/>
      <x:c r="G1898" s="8"/>
      <x:c r="H1898" s="6"/>
      <x:c r="I1898" s="27"/>
      <x:c r="J1898" s="6"/>
      <x:c r="K1898" s="6"/>
      <x:c r="L1898" s="6"/>
      <x:c r="M1898" s="6"/>
      <x:c r="N1898" s="6"/>
      <x:c r="O1898" s="6"/>
      <x:c r="P1898" s="6"/>
      <x:c r="Q1898" s="6"/>
      <x:c r="R1898"/>
      <x:c r="S1898"/>
      <x:c r="T1898"/>
    </x:row>
    <x:row r="1899" spans="1:20" ht="15.75" x14ac:dyDescent="0.25">
      <x:c r="A1899"/>
      <x:c r="B1899"/>
      <x:c r="C1899"/>
      <x:c r="D1899"/>
      <x:c r="E1899" s="31"/>
      <x:c r="F1899" s="8"/>
      <x:c r="G1899" s="8"/>
      <x:c r="H1899" s="6"/>
      <x:c r="I1899" s="27"/>
      <x:c r="J1899" s="6"/>
      <x:c r="K1899" s="6"/>
      <x:c r="L1899" s="6"/>
      <x:c r="M1899" s="6"/>
      <x:c r="N1899" s="6"/>
      <x:c r="O1899" s="6"/>
      <x:c r="P1899" s="6"/>
      <x:c r="Q1899" s="6"/>
      <x:c r="R1899"/>
      <x:c r="S1899"/>
      <x:c r="T1899"/>
    </x:row>
    <x:row r="1900" spans="1:20" ht="15.75" x14ac:dyDescent="0.25">
      <x:c r="A1900"/>
      <x:c r="B1900"/>
      <x:c r="C1900"/>
      <x:c r="D1900"/>
      <x:c r="E1900" s="31"/>
      <x:c r="F1900" s="8"/>
      <x:c r="G1900" s="8"/>
      <x:c r="H1900" s="6"/>
      <x:c r="I1900" s="27"/>
      <x:c r="J1900" s="6"/>
      <x:c r="K1900" s="6"/>
      <x:c r="L1900" s="6"/>
      <x:c r="M1900" s="6"/>
      <x:c r="N1900" s="6"/>
      <x:c r="O1900" s="6"/>
      <x:c r="P1900" s="6"/>
      <x:c r="Q1900" s="6"/>
      <x:c r="R1900"/>
      <x:c r="S1900"/>
      <x:c r="T1900"/>
    </x:row>
    <x:row r="1901" spans="1:20" ht="15.75" x14ac:dyDescent="0.25">
      <x:c r="A1901"/>
      <x:c r="B1901"/>
      <x:c r="C1901"/>
      <x:c r="D1901"/>
      <x:c r="E1901" s="31"/>
      <x:c r="F1901" s="8"/>
      <x:c r="G1901" s="8"/>
      <x:c r="H1901" s="6"/>
      <x:c r="I1901" s="27"/>
      <x:c r="J1901" s="6"/>
      <x:c r="K1901" s="6"/>
      <x:c r="L1901" s="6"/>
      <x:c r="M1901" s="6"/>
      <x:c r="N1901" s="6"/>
      <x:c r="O1901" s="6"/>
      <x:c r="P1901" s="6"/>
      <x:c r="Q1901" s="6"/>
      <x:c r="R1901"/>
      <x:c r="S1901"/>
      <x:c r="T1901"/>
    </x:row>
    <x:row r="1902" spans="1:20" ht="15.75" x14ac:dyDescent="0.25">
      <x:c r="A1902"/>
      <x:c r="B1902"/>
      <x:c r="C1902"/>
      <x:c r="D1902"/>
      <x:c r="E1902" s="31"/>
      <x:c r="F1902" s="8"/>
      <x:c r="G1902" s="8"/>
      <x:c r="H1902" s="6"/>
      <x:c r="I1902" s="27"/>
      <x:c r="J1902" s="6"/>
      <x:c r="K1902" s="6"/>
      <x:c r="L1902" s="6"/>
      <x:c r="M1902" s="6"/>
      <x:c r="N1902" s="6"/>
      <x:c r="O1902" s="6"/>
      <x:c r="P1902" s="6"/>
      <x:c r="Q1902" s="6"/>
      <x:c r="R1902"/>
      <x:c r="S1902"/>
      <x:c r="T1902"/>
    </x:row>
    <x:row r="1903" spans="1:20" ht="15.75" x14ac:dyDescent="0.25">
      <x:c r="A1903"/>
      <x:c r="B1903"/>
      <x:c r="C1903"/>
      <x:c r="D1903"/>
      <x:c r="E1903" s="31"/>
      <x:c r="F1903" s="8"/>
      <x:c r="G1903" s="8"/>
      <x:c r="H1903" s="6"/>
      <x:c r="I1903" s="27"/>
      <x:c r="J1903" s="6"/>
      <x:c r="K1903" s="6"/>
      <x:c r="L1903" s="6"/>
      <x:c r="M1903" s="6"/>
      <x:c r="N1903" s="6"/>
      <x:c r="O1903" s="6"/>
      <x:c r="P1903" s="6"/>
      <x:c r="Q1903" s="6"/>
      <x:c r="R1903"/>
      <x:c r="S1903"/>
      <x:c r="T1903"/>
    </x:row>
    <x:row r="1904" spans="1:20" ht="15.75" x14ac:dyDescent="0.25">
      <x:c r="A1904"/>
      <x:c r="B1904"/>
      <x:c r="C1904"/>
      <x:c r="D1904"/>
      <x:c r="E1904" s="31"/>
      <x:c r="F1904" s="8"/>
      <x:c r="G1904" s="8"/>
      <x:c r="H1904" s="6"/>
      <x:c r="I1904" s="27"/>
      <x:c r="J1904" s="6"/>
      <x:c r="K1904" s="6"/>
      <x:c r="L1904" s="6"/>
      <x:c r="M1904" s="6"/>
      <x:c r="N1904" s="6"/>
      <x:c r="O1904" s="6"/>
      <x:c r="P1904" s="6"/>
      <x:c r="Q1904" s="6"/>
      <x:c r="R1904"/>
      <x:c r="S1904"/>
      <x:c r="T1904"/>
    </x:row>
    <x:row r="1905" spans="1:20" ht="15.75" x14ac:dyDescent="0.25">
      <x:c r="A1905"/>
      <x:c r="B1905"/>
      <x:c r="C1905"/>
      <x:c r="D1905"/>
      <x:c r="E1905" s="31"/>
      <x:c r="F1905" s="8"/>
      <x:c r="G1905" s="8"/>
      <x:c r="H1905" s="6"/>
      <x:c r="I1905" s="27"/>
      <x:c r="J1905" s="6"/>
      <x:c r="K1905" s="6"/>
      <x:c r="L1905" s="6"/>
      <x:c r="M1905" s="6"/>
      <x:c r="N1905" s="6"/>
      <x:c r="O1905" s="6"/>
      <x:c r="P1905" s="6"/>
      <x:c r="Q1905" s="6"/>
      <x:c r="R1905"/>
      <x:c r="S1905"/>
      <x:c r="T1905"/>
    </x:row>
    <x:row r="1906" spans="1:20" ht="15.75" x14ac:dyDescent="0.25">
      <x:c r="A1906"/>
      <x:c r="B1906"/>
      <x:c r="C1906"/>
      <x:c r="D1906"/>
      <x:c r="E1906" s="31"/>
      <x:c r="F1906" s="8"/>
      <x:c r="G1906" s="8"/>
      <x:c r="H1906" s="6"/>
      <x:c r="I1906" s="27"/>
      <x:c r="J1906" s="6"/>
      <x:c r="K1906" s="6"/>
      <x:c r="L1906" s="6"/>
      <x:c r="M1906" s="6"/>
      <x:c r="N1906" s="6"/>
      <x:c r="O1906" s="6"/>
      <x:c r="P1906" s="6"/>
      <x:c r="Q1906" s="6"/>
      <x:c r="R1906"/>
      <x:c r="S1906"/>
      <x:c r="T1906"/>
    </x:row>
    <x:row r="1907" spans="1:20" ht="15.75" x14ac:dyDescent="0.25">
      <x:c r="A1907"/>
      <x:c r="B1907"/>
      <x:c r="C1907"/>
      <x:c r="D1907"/>
      <x:c r="E1907" s="31"/>
      <x:c r="F1907" s="8"/>
      <x:c r="G1907" s="8"/>
      <x:c r="H1907" s="6"/>
      <x:c r="I1907" s="27"/>
      <x:c r="J1907" s="6"/>
      <x:c r="K1907" s="6"/>
      <x:c r="L1907" s="6"/>
      <x:c r="M1907" s="6"/>
      <x:c r="N1907" s="6"/>
      <x:c r="O1907" s="6"/>
      <x:c r="P1907" s="6"/>
      <x:c r="Q1907" s="6"/>
      <x:c r="R1907"/>
      <x:c r="S1907"/>
      <x:c r="T1907"/>
    </x:row>
    <x:row r="1908" spans="1:20" ht="15.75" x14ac:dyDescent="0.25">
      <x:c r="A1908"/>
      <x:c r="B1908"/>
      <x:c r="C1908"/>
      <x:c r="D1908"/>
      <x:c r="E1908" s="31"/>
      <x:c r="F1908" s="8"/>
      <x:c r="G1908" s="8"/>
      <x:c r="H1908" s="6"/>
      <x:c r="I1908" s="27"/>
      <x:c r="J1908" s="6"/>
      <x:c r="K1908" s="6"/>
      <x:c r="L1908" s="6"/>
      <x:c r="M1908" s="6"/>
      <x:c r="N1908" s="6"/>
      <x:c r="O1908" s="6"/>
      <x:c r="P1908" s="6"/>
      <x:c r="Q1908" s="6"/>
      <x:c r="R1908"/>
      <x:c r="S1908"/>
      <x:c r="T1908"/>
    </x:row>
    <x:row r="1909" spans="1:20" ht="15.75" x14ac:dyDescent="0.25">
      <x:c r="A1909"/>
      <x:c r="B1909"/>
      <x:c r="C1909"/>
      <x:c r="D1909"/>
      <x:c r="E1909" s="31"/>
      <x:c r="F1909" s="8"/>
      <x:c r="G1909" s="8"/>
      <x:c r="H1909" s="6"/>
      <x:c r="I1909" s="27"/>
      <x:c r="J1909" s="6"/>
      <x:c r="K1909" s="6"/>
      <x:c r="L1909" s="6"/>
      <x:c r="M1909" s="6"/>
      <x:c r="N1909" s="6"/>
      <x:c r="O1909" s="6"/>
      <x:c r="P1909" s="6"/>
      <x:c r="Q1909" s="6"/>
      <x:c r="R1909"/>
      <x:c r="S1909"/>
      <x:c r="T1909"/>
    </x:row>
    <x:row r="1910" spans="1:20" ht="15.75" x14ac:dyDescent="0.25">
      <x:c r="A1910"/>
      <x:c r="B1910"/>
      <x:c r="C1910"/>
      <x:c r="D1910"/>
      <x:c r="E1910" s="31"/>
      <x:c r="F1910" s="8"/>
      <x:c r="G1910" s="8"/>
      <x:c r="H1910" s="6"/>
      <x:c r="I1910" s="27"/>
      <x:c r="J1910" s="6"/>
      <x:c r="K1910" s="6"/>
      <x:c r="L1910" s="6"/>
      <x:c r="M1910" s="6"/>
      <x:c r="N1910" s="6"/>
      <x:c r="O1910" s="6"/>
      <x:c r="P1910" s="6"/>
      <x:c r="Q1910" s="6"/>
      <x:c r="R1910"/>
      <x:c r="S1910"/>
      <x:c r="T1910"/>
    </x:row>
    <x:row r="1911" spans="1:20" ht="15.75" x14ac:dyDescent="0.25">
      <x:c r="A1911"/>
      <x:c r="B1911"/>
      <x:c r="C1911"/>
      <x:c r="D1911"/>
      <x:c r="E1911" s="31"/>
      <x:c r="F1911" s="8"/>
      <x:c r="G1911" s="8"/>
      <x:c r="H1911" s="6"/>
      <x:c r="I1911" s="27"/>
      <x:c r="J1911" s="6"/>
      <x:c r="K1911" s="6"/>
      <x:c r="L1911" s="6"/>
      <x:c r="M1911" s="6"/>
      <x:c r="N1911" s="6"/>
      <x:c r="O1911" s="6"/>
      <x:c r="P1911" s="6"/>
      <x:c r="Q1911" s="6"/>
      <x:c r="R1911"/>
      <x:c r="S1911"/>
      <x:c r="T1911"/>
    </x:row>
    <x:row r="1912" spans="1:20" ht="15.75" x14ac:dyDescent="0.25">
      <x:c r="A1912"/>
      <x:c r="B1912"/>
      <x:c r="C1912"/>
      <x:c r="D1912"/>
      <x:c r="E1912" s="31"/>
      <x:c r="F1912" s="8"/>
      <x:c r="G1912" s="8"/>
      <x:c r="H1912" s="6"/>
      <x:c r="I1912" s="27"/>
      <x:c r="J1912" s="6"/>
      <x:c r="K1912" s="6"/>
      <x:c r="L1912" s="6"/>
      <x:c r="M1912" s="6"/>
      <x:c r="N1912" s="6"/>
      <x:c r="O1912" s="6"/>
      <x:c r="P1912" s="6"/>
      <x:c r="Q1912" s="6"/>
      <x:c r="R1912"/>
      <x:c r="S1912"/>
      <x:c r="T1912"/>
    </x:row>
    <x:row r="1913" spans="1:20" ht="15.75" x14ac:dyDescent="0.25">
      <x:c r="A1913"/>
      <x:c r="B1913"/>
      <x:c r="C1913"/>
      <x:c r="D1913"/>
      <x:c r="E1913" s="31"/>
      <x:c r="F1913" s="8"/>
      <x:c r="G1913" s="8"/>
      <x:c r="H1913" s="6"/>
      <x:c r="I1913" s="27"/>
      <x:c r="J1913" s="6"/>
      <x:c r="K1913" s="6"/>
      <x:c r="L1913" s="6"/>
      <x:c r="M1913" s="6"/>
      <x:c r="N1913" s="6"/>
      <x:c r="O1913" s="6"/>
      <x:c r="P1913" s="6"/>
      <x:c r="Q1913" s="6"/>
      <x:c r="R1913"/>
      <x:c r="S1913"/>
      <x:c r="T1913"/>
    </x:row>
    <x:row r="1914" spans="1:20" ht="15.75" x14ac:dyDescent="0.25">
      <x:c r="A1914"/>
      <x:c r="B1914"/>
      <x:c r="C1914"/>
      <x:c r="D1914"/>
      <x:c r="E1914" s="31"/>
      <x:c r="F1914" s="8"/>
      <x:c r="G1914" s="8"/>
      <x:c r="H1914" s="6"/>
      <x:c r="I1914" s="27"/>
      <x:c r="J1914" s="6"/>
      <x:c r="K1914" s="6"/>
      <x:c r="L1914" s="6"/>
      <x:c r="M1914" s="6"/>
      <x:c r="N1914" s="6"/>
      <x:c r="O1914" s="6"/>
      <x:c r="P1914" s="6"/>
      <x:c r="Q1914" s="6"/>
      <x:c r="R1914"/>
      <x:c r="S1914"/>
      <x:c r="T1914"/>
    </x:row>
    <x:row r="1915" spans="1:20" ht="15.75" x14ac:dyDescent="0.25">
      <x:c r="A1915"/>
      <x:c r="B1915"/>
      <x:c r="C1915"/>
      <x:c r="D1915"/>
      <x:c r="E1915" s="31"/>
      <x:c r="F1915" s="8"/>
      <x:c r="G1915" s="8"/>
      <x:c r="H1915" s="6"/>
      <x:c r="I1915" s="27"/>
      <x:c r="J1915" s="6"/>
      <x:c r="K1915" s="6"/>
      <x:c r="L1915" s="6"/>
      <x:c r="M1915" s="6"/>
      <x:c r="N1915" s="6"/>
      <x:c r="O1915" s="6"/>
      <x:c r="P1915" s="6"/>
      <x:c r="Q1915" s="6"/>
      <x:c r="R1915"/>
      <x:c r="S1915"/>
      <x:c r="T1915"/>
    </x:row>
    <x:row r="1916" spans="1:20" ht="15.75" x14ac:dyDescent="0.25">
      <x:c r="A1916"/>
      <x:c r="B1916"/>
      <x:c r="C1916"/>
      <x:c r="D1916"/>
      <x:c r="E1916" s="31"/>
      <x:c r="F1916" s="8"/>
      <x:c r="G1916" s="8"/>
      <x:c r="H1916" s="6"/>
      <x:c r="I1916" s="27"/>
      <x:c r="J1916" s="6"/>
      <x:c r="K1916" s="6"/>
      <x:c r="L1916" s="6"/>
      <x:c r="M1916" s="6"/>
      <x:c r="N1916" s="6"/>
      <x:c r="O1916" s="6"/>
      <x:c r="P1916" s="6"/>
      <x:c r="Q1916" s="6"/>
      <x:c r="R1916"/>
      <x:c r="S1916"/>
      <x:c r="T1916"/>
    </x:row>
    <x:row r="1917" spans="1:20" ht="15.75" x14ac:dyDescent="0.25">
      <x:c r="A1917"/>
      <x:c r="B1917"/>
      <x:c r="C1917"/>
      <x:c r="D1917"/>
      <x:c r="E1917" s="31"/>
      <x:c r="F1917" s="8"/>
      <x:c r="G1917" s="8"/>
      <x:c r="H1917" s="6"/>
      <x:c r="I1917" s="27"/>
      <x:c r="J1917" s="6"/>
      <x:c r="K1917" s="6"/>
      <x:c r="L1917" s="6"/>
      <x:c r="M1917" s="6"/>
      <x:c r="N1917" s="6"/>
      <x:c r="O1917" s="6"/>
      <x:c r="P1917" s="6"/>
      <x:c r="Q1917" s="6"/>
      <x:c r="R1917"/>
      <x:c r="S1917"/>
      <x:c r="T1917"/>
    </x:row>
    <x:row r="1918" spans="1:20" ht="15.75" x14ac:dyDescent="0.25">
      <x:c r="A1918"/>
      <x:c r="B1918"/>
      <x:c r="C1918"/>
      <x:c r="D1918"/>
      <x:c r="E1918" s="31"/>
      <x:c r="F1918" s="8"/>
      <x:c r="G1918" s="8"/>
      <x:c r="H1918" s="6"/>
      <x:c r="I1918" s="27"/>
      <x:c r="J1918" s="6"/>
      <x:c r="K1918" s="6"/>
      <x:c r="L1918" s="6"/>
      <x:c r="M1918" s="6"/>
      <x:c r="N1918" s="6"/>
      <x:c r="O1918" s="6"/>
      <x:c r="P1918" s="6"/>
      <x:c r="Q1918" s="6"/>
      <x:c r="R1918"/>
      <x:c r="S1918"/>
      <x:c r="T1918"/>
    </x:row>
    <x:row r="1919" spans="1:20" ht="15.75" x14ac:dyDescent="0.25">
      <x:c r="A1919"/>
      <x:c r="B1919"/>
      <x:c r="C1919"/>
      <x:c r="D1919"/>
      <x:c r="E1919" s="31"/>
      <x:c r="F1919" s="8"/>
      <x:c r="G1919" s="8"/>
      <x:c r="H1919" s="6"/>
      <x:c r="I1919" s="27"/>
      <x:c r="J1919" s="6"/>
      <x:c r="K1919" s="6"/>
      <x:c r="L1919" s="6"/>
      <x:c r="M1919" s="6"/>
      <x:c r="N1919" s="6"/>
      <x:c r="O1919" s="6"/>
      <x:c r="P1919" s="6"/>
      <x:c r="Q1919" s="6"/>
      <x:c r="R1919"/>
      <x:c r="S1919"/>
      <x:c r="T1919"/>
    </x:row>
    <x:row r="1920" spans="1:20" ht="15.75" x14ac:dyDescent="0.25">
      <x:c r="A1920"/>
      <x:c r="B1920"/>
      <x:c r="C1920"/>
      <x:c r="D1920"/>
      <x:c r="E1920" s="31"/>
      <x:c r="F1920" s="8"/>
      <x:c r="G1920" s="8"/>
      <x:c r="H1920" s="6"/>
      <x:c r="I1920" s="27"/>
      <x:c r="J1920" s="6"/>
      <x:c r="K1920" s="6"/>
      <x:c r="L1920" s="6"/>
      <x:c r="M1920" s="6"/>
      <x:c r="N1920" s="6"/>
      <x:c r="O1920" s="6"/>
      <x:c r="P1920" s="6"/>
      <x:c r="Q1920" s="6"/>
      <x:c r="R1920"/>
      <x:c r="S1920"/>
      <x:c r="T1920"/>
    </x:row>
    <x:row r="1921" spans="1:20" ht="15.75" x14ac:dyDescent="0.25">
      <x:c r="A1921"/>
      <x:c r="B1921"/>
      <x:c r="C1921"/>
      <x:c r="D1921"/>
      <x:c r="E1921" s="31"/>
      <x:c r="F1921" s="8"/>
      <x:c r="G1921" s="8"/>
      <x:c r="H1921" s="6"/>
      <x:c r="I1921" s="27"/>
      <x:c r="J1921" s="6"/>
      <x:c r="K1921" s="6"/>
      <x:c r="L1921" s="6"/>
      <x:c r="M1921" s="6"/>
      <x:c r="N1921" s="6"/>
      <x:c r="O1921" s="6"/>
      <x:c r="P1921" s="6"/>
      <x:c r="Q1921" s="6"/>
      <x:c r="R1921"/>
      <x:c r="S1921"/>
      <x:c r="T1921"/>
    </x:row>
    <x:row r="1922" spans="1:20" ht="15.75" x14ac:dyDescent="0.25">
      <x:c r="A1922"/>
      <x:c r="B1922"/>
      <x:c r="C1922"/>
      <x:c r="D1922"/>
      <x:c r="E1922" s="31"/>
      <x:c r="F1922" s="8"/>
      <x:c r="G1922" s="8"/>
      <x:c r="H1922" s="6"/>
      <x:c r="I1922" s="27"/>
      <x:c r="J1922" s="6"/>
      <x:c r="K1922" s="6"/>
      <x:c r="L1922" s="6"/>
      <x:c r="M1922" s="6"/>
      <x:c r="N1922" s="6"/>
      <x:c r="O1922" s="6"/>
      <x:c r="P1922" s="6"/>
      <x:c r="Q1922" s="6"/>
      <x:c r="R1922"/>
      <x:c r="S1922"/>
      <x:c r="T1922"/>
    </x:row>
    <x:row r="1923" spans="1:20" ht="15.75" x14ac:dyDescent="0.25">
      <x:c r="A1923"/>
      <x:c r="B1923"/>
      <x:c r="C1923"/>
      <x:c r="D1923"/>
      <x:c r="E1923" s="31"/>
      <x:c r="F1923" s="8"/>
      <x:c r="G1923" s="8"/>
      <x:c r="H1923" s="6"/>
      <x:c r="I1923" s="27"/>
      <x:c r="J1923" s="6"/>
      <x:c r="K1923" s="6"/>
      <x:c r="L1923" s="6"/>
      <x:c r="M1923" s="6"/>
      <x:c r="N1923" s="6"/>
      <x:c r="O1923" s="6"/>
      <x:c r="P1923" s="6"/>
      <x:c r="Q1923" s="6"/>
      <x:c r="R1923"/>
      <x:c r="S1923"/>
      <x:c r="T1923"/>
    </x:row>
    <x:row r="1924" spans="1:20" ht="15.75" x14ac:dyDescent="0.25">
      <x:c r="A1924"/>
      <x:c r="B1924"/>
      <x:c r="C1924"/>
      <x:c r="D1924"/>
      <x:c r="E1924" s="31"/>
      <x:c r="F1924" s="8"/>
      <x:c r="G1924" s="8"/>
      <x:c r="H1924" s="6"/>
      <x:c r="I1924" s="27"/>
      <x:c r="J1924" s="6"/>
      <x:c r="K1924" s="6"/>
      <x:c r="L1924" s="6"/>
      <x:c r="M1924" s="6"/>
      <x:c r="N1924" s="6"/>
      <x:c r="O1924" s="6"/>
      <x:c r="P1924" s="6"/>
      <x:c r="Q1924" s="6"/>
      <x:c r="R1924"/>
      <x:c r="S1924"/>
      <x:c r="T1924"/>
    </x:row>
    <x:row r="1925" spans="1:20" ht="15.75" x14ac:dyDescent="0.25">
      <x:c r="A1925"/>
      <x:c r="B1925"/>
      <x:c r="C1925"/>
      <x:c r="D1925"/>
      <x:c r="E1925" s="31"/>
      <x:c r="F1925" s="8"/>
      <x:c r="G1925" s="8"/>
      <x:c r="H1925" s="6"/>
      <x:c r="I1925" s="27"/>
      <x:c r="J1925" s="6"/>
      <x:c r="K1925" s="6"/>
      <x:c r="L1925" s="6"/>
      <x:c r="M1925" s="6"/>
      <x:c r="N1925" s="6"/>
      <x:c r="O1925" s="6"/>
      <x:c r="P1925" s="6"/>
      <x:c r="Q1925" s="6"/>
      <x:c r="R1925"/>
      <x:c r="S1925"/>
      <x:c r="T1925"/>
    </x:row>
    <x:row r="1926" spans="1:20" ht="15.75" x14ac:dyDescent="0.25">
      <x:c r="A1926"/>
      <x:c r="B1926"/>
      <x:c r="C1926"/>
      <x:c r="D1926"/>
      <x:c r="E1926" s="31"/>
      <x:c r="F1926" s="8"/>
      <x:c r="G1926" s="8"/>
      <x:c r="H1926" s="6"/>
      <x:c r="I1926" s="27"/>
      <x:c r="J1926" s="6"/>
      <x:c r="K1926" s="6"/>
      <x:c r="L1926" s="6"/>
      <x:c r="M1926" s="6"/>
      <x:c r="N1926" s="6"/>
      <x:c r="O1926" s="6"/>
      <x:c r="P1926" s="6"/>
      <x:c r="Q1926" s="6"/>
      <x:c r="R1926"/>
      <x:c r="S1926"/>
      <x:c r="T1926"/>
    </x:row>
    <x:row r="1927" spans="1:20" ht="15.75" x14ac:dyDescent="0.25">
      <x:c r="A1927"/>
      <x:c r="B1927"/>
      <x:c r="C1927"/>
      <x:c r="D1927"/>
      <x:c r="E1927" s="31"/>
      <x:c r="F1927" s="8"/>
      <x:c r="G1927" s="8"/>
      <x:c r="H1927" s="6"/>
      <x:c r="I1927" s="27"/>
      <x:c r="J1927" s="6"/>
      <x:c r="K1927" s="6"/>
      <x:c r="L1927" s="6"/>
      <x:c r="M1927" s="6"/>
      <x:c r="N1927" s="6"/>
      <x:c r="O1927" s="6"/>
      <x:c r="P1927" s="6"/>
      <x:c r="Q1927" s="6"/>
      <x:c r="R1927"/>
      <x:c r="S1927"/>
      <x:c r="T1927"/>
    </x:row>
    <x:row r="1928" spans="1:20" ht="15.75" x14ac:dyDescent="0.25">
      <x:c r="A1928"/>
      <x:c r="B1928"/>
      <x:c r="C1928"/>
      <x:c r="D1928"/>
      <x:c r="E1928" s="31"/>
      <x:c r="F1928" s="8"/>
      <x:c r="G1928" s="8"/>
      <x:c r="H1928" s="6"/>
      <x:c r="I1928" s="27"/>
      <x:c r="J1928" s="6"/>
      <x:c r="K1928" s="6"/>
      <x:c r="L1928" s="6"/>
      <x:c r="M1928" s="6"/>
      <x:c r="N1928" s="6"/>
      <x:c r="O1928" s="6"/>
      <x:c r="P1928" s="6"/>
      <x:c r="Q1928" s="6"/>
      <x:c r="R1928"/>
      <x:c r="S1928"/>
      <x:c r="T1928"/>
    </x:row>
    <x:row r="1929" spans="1:20" ht="15.75" x14ac:dyDescent="0.25">
      <x:c r="A1929"/>
      <x:c r="B1929"/>
      <x:c r="C1929"/>
      <x:c r="D1929"/>
      <x:c r="E1929" s="31"/>
      <x:c r="F1929" s="8"/>
      <x:c r="G1929" s="8"/>
      <x:c r="H1929" s="6"/>
      <x:c r="I1929" s="27"/>
      <x:c r="J1929" s="6"/>
      <x:c r="K1929" s="6"/>
      <x:c r="L1929" s="6"/>
      <x:c r="M1929" s="6"/>
      <x:c r="N1929" s="6"/>
      <x:c r="O1929" s="6"/>
      <x:c r="P1929" s="6"/>
      <x:c r="Q1929" s="6"/>
      <x:c r="R1929"/>
      <x:c r="S1929"/>
      <x:c r="T1929"/>
    </x:row>
    <x:row r="1930" spans="1:20" ht="15.75" x14ac:dyDescent="0.25">
      <x:c r="A1930"/>
      <x:c r="B1930"/>
      <x:c r="C1930"/>
      <x:c r="D1930"/>
      <x:c r="E1930" s="31"/>
      <x:c r="F1930" s="8"/>
      <x:c r="G1930" s="8"/>
      <x:c r="H1930" s="6"/>
      <x:c r="I1930" s="27"/>
      <x:c r="J1930" s="6"/>
      <x:c r="K1930" s="6"/>
      <x:c r="L1930" s="6"/>
      <x:c r="M1930" s="6"/>
      <x:c r="N1930" s="6"/>
      <x:c r="O1930" s="6"/>
      <x:c r="P1930" s="6"/>
      <x:c r="Q1930" s="6"/>
      <x:c r="R1930"/>
      <x:c r="S1930"/>
      <x:c r="T1930"/>
    </x:row>
    <x:row r="1931" spans="1:20" ht="15.75" x14ac:dyDescent="0.25">
      <x:c r="A1931"/>
      <x:c r="B1931"/>
      <x:c r="C1931"/>
      <x:c r="D1931"/>
      <x:c r="E1931" s="31"/>
      <x:c r="F1931" s="8"/>
      <x:c r="G1931" s="8"/>
      <x:c r="H1931" s="6"/>
      <x:c r="I1931" s="27"/>
      <x:c r="J1931" s="6"/>
      <x:c r="K1931" s="6"/>
      <x:c r="L1931" s="6"/>
      <x:c r="M1931" s="6"/>
      <x:c r="N1931" s="6"/>
      <x:c r="O1931" s="6"/>
      <x:c r="P1931" s="6"/>
      <x:c r="Q1931" s="6"/>
      <x:c r="R1931"/>
      <x:c r="S1931"/>
      <x:c r="T1931"/>
    </x:row>
    <x:row r="1932" spans="1:20" ht="15.75" x14ac:dyDescent="0.25">
      <x:c r="A1932"/>
      <x:c r="B1932"/>
      <x:c r="C1932"/>
      <x:c r="D1932"/>
      <x:c r="E1932" s="31"/>
      <x:c r="F1932" s="8"/>
      <x:c r="G1932" s="8"/>
      <x:c r="H1932" s="6"/>
      <x:c r="I1932" s="27"/>
      <x:c r="J1932" s="6"/>
      <x:c r="K1932" s="6"/>
      <x:c r="L1932" s="6"/>
      <x:c r="M1932" s="6"/>
      <x:c r="N1932" s="6"/>
      <x:c r="O1932" s="6"/>
      <x:c r="P1932" s="6"/>
      <x:c r="Q1932" s="6"/>
      <x:c r="R1932"/>
      <x:c r="S1932"/>
      <x:c r="T1932"/>
    </x:row>
    <x:row r="1933" spans="1:20" ht="15.75" x14ac:dyDescent="0.25">
      <x:c r="A1933"/>
      <x:c r="B1933"/>
      <x:c r="C1933"/>
      <x:c r="D1933"/>
      <x:c r="E1933" s="31"/>
      <x:c r="F1933" s="8"/>
      <x:c r="G1933" s="8"/>
      <x:c r="H1933" s="6"/>
      <x:c r="I1933" s="27"/>
      <x:c r="J1933" s="6"/>
      <x:c r="K1933" s="6"/>
      <x:c r="L1933" s="6"/>
      <x:c r="M1933" s="6"/>
      <x:c r="N1933" s="6"/>
      <x:c r="O1933" s="6"/>
      <x:c r="P1933" s="6"/>
      <x:c r="Q1933" s="6"/>
      <x:c r="R1933"/>
      <x:c r="S1933"/>
      <x:c r="T1933"/>
    </x:row>
    <x:row r="1934" spans="1:20" ht="15.75" x14ac:dyDescent="0.25">
      <x:c r="A1934"/>
      <x:c r="B1934"/>
      <x:c r="C1934"/>
      <x:c r="D1934"/>
      <x:c r="E1934" s="31"/>
      <x:c r="F1934" s="8"/>
      <x:c r="G1934" s="8"/>
      <x:c r="H1934" s="6"/>
      <x:c r="I1934" s="27"/>
      <x:c r="J1934" s="6"/>
      <x:c r="K1934" s="6"/>
      <x:c r="L1934" s="6"/>
      <x:c r="M1934" s="6"/>
      <x:c r="N1934" s="6"/>
      <x:c r="O1934" s="6"/>
      <x:c r="P1934" s="6"/>
      <x:c r="Q1934" s="6"/>
      <x:c r="R1934"/>
      <x:c r="S1934"/>
      <x:c r="T1934"/>
    </x:row>
    <x:row r="1935" spans="1:20" ht="15.75" x14ac:dyDescent="0.25">
      <x:c r="A1935"/>
      <x:c r="B1935"/>
      <x:c r="C1935"/>
      <x:c r="D1935"/>
      <x:c r="E1935" s="31"/>
      <x:c r="F1935" s="8"/>
      <x:c r="G1935" s="8"/>
      <x:c r="H1935" s="6"/>
      <x:c r="I1935" s="27"/>
      <x:c r="J1935" s="6"/>
      <x:c r="K1935" s="6"/>
      <x:c r="L1935" s="6"/>
      <x:c r="M1935" s="6"/>
      <x:c r="N1935" s="6"/>
      <x:c r="O1935" s="6"/>
      <x:c r="P1935" s="6"/>
      <x:c r="Q1935" s="6"/>
      <x:c r="R1935"/>
      <x:c r="S1935"/>
      <x:c r="T1935"/>
    </x:row>
    <x:row r="1936" spans="1:20" ht="15.75" x14ac:dyDescent="0.25">
      <x:c r="A1936"/>
      <x:c r="B1936"/>
      <x:c r="C1936"/>
      <x:c r="D1936"/>
      <x:c r="E1936" s="31"/>
      <x:c r="F1936" s="8"/>
      <x:c r="G1936" s="8"/>
      <x:c r="H1936" s="6"/>
      <x:c r="I1936" s="27"/>
      <x:c r="J1936" s="6"/>
      <x:c r="K1936" s="6"/>
      <x:c r="L1936" s="6"/>
      <x:c r="M1936" s="6"/>
      <x:c r="N1936" s="6"/>
      <x:c r="O1936" s="6"/>
      <x:c r="P1936" s="6"/>
      <x:c r="Q1936" s="6"/>
      <x:c r="R1936"/>
      <x:c r="S1936"/>
      <x:c r="T1936"/>
    </x:row>
    <x:row r="1937" spans="1:20" ht="15.75" x14ac:dyDescent="0.25">
      <x:c r="A1937"/>
      <x:c r="B1937"/>
      <x:c r="C1937"/>
      <x:c r="D1937"/>
      <x:c r="E1937" s="31"/>
      <x:c r="F1937" s="8"/>
      <x:c r="G1937" s="8"/>
      <x:c r="H1937" s="6"/>
      <x:c r="I1937" s="27"/>
      <x:c r="J1937" s="6"/>
      <x:c r="K1937" s="6"/>
      <x:c r="L1937" s="6"/>
      <x:c r="M1937" s="6"/>
      <x:c r="N1937" s="6"/>
      <x:c r="O1937" s="6"/>
      <x:c r="P1937" s="6"/>
      <x:c r="Q1937" s="6"/>
      <x:c r="R1937"/>
      <x:c r="S1937"/>
      <x:c r="T1937"/>
    </x:row>
    <x:row r="1938" spans="1:20" ht="15.75" x14ac:dyDescent="0.25">
      <x:c r="A1938"/>
      <x:c r="B1938"/>
      <x:c r="C1938"/>
      <x:c r="D1938"/>
      <x:c r="E1938" s="31"/>
      <x:c r="F1938" s="8"/>
      <x:c r="G1938" s="8"/>
      <x:c r="H1938" s="6"/>
      <x:c r="I1938" s="27"/>
      <x:c r="J1938" s="6"/>
      <x:c r="K1938" s="6"/>
      <x:c r="L1938" s="6"/>
      <x:c r="M1938" s="6"/>
      <x:c r="N1938" s="6"/>
      <x:c r="O1938" s="6"/>
      <x:c r="P1938" s="6"/>
      <x:c r="Q1938" s="6"/>
      <x:c r="R1938"/>
      <x:c r="S1938"/>
      <x:c r="T1938"/>
    </x:row>
    <x:row r="1939" spans="1:20" ht="15.75" x14ac:dyDescent="0.25">
      <x:c r="A1939"/>
      <x:c r="B1939"/>
      <x:c r="C1939"/>
      <x:c r="D1939"/>
      <x:c r="E1939" s="31"/>
      <x:c r="F1939" s="8"/>
      <x:c r="G1939" s="8"/>
      <x:c r="H1939" s="6"/>
      <x:c r="I1939" s="27"/>
      <x:c r="J1939" s="6"/>
      <x:c r="K1939" s="6"/>
      <x:c r="L1939" s="6"/>
      <x:c r="M1939" s="6"/>
      <x:c r="N1939" s="6"/>
      <x:c r="O1939" s="6"/>
      <x:c r="P1939" s="6"/>
      <x:c r="Q1939" s="6"/>
      <x:c r="R1939"/>
      <x:c r="S1939"/>
      <x:c r="T1939"/>
    </x:row>
    <x:row r="1940" spans="1:20" ht="15.75" x14ac:dyDescent="0.25">
      <x:c r="A1940"/>
      <x:c r="B1940"/>
      <x:c r="C1940"/>
      <x:c r="D1940"/>
      <x:c r="E1940" s="31"/>
      <x:c r="F1940" s="8"/>
      <x:c r="G1940" s="8"/>
      <x:c r="H1940" s="6"/>
      <x:c r="I1940" s="27"/>
      <x:c r="J1940" s="6"/>
      <x:c r="K1940" s="6"/>
      <x:c r="L1940" s="6"/>
      <x:c r="M1940" s="6"/>
      <x:c r="N1940" s="6"/>
      <x:c r="O1940" s="6"/>
      <x:c r="P1940" s="6"/>
      <x:c r="Q1940" s="6"/>
      <x:c r="R1940"/>
      <x:c r="S1940"/>
      <x:c r="T1940"/>
    </x:row>
    <x:row r="1941" spans="1:20" ht="15.75" x14ac:dyDescent="0.25">
      <x:c r="A1941"/>
      <x:c r="B1941"/>
      <x:c r="C1941"/>
      <x:c r="D1941"/>
      <x:c r="E1941" s="31"/>
      <x:c r="F1941" s="8"/>
      <x:c r="G1941" s="8"/>
      <x:c r="H1941" s="6"/>
      <x:c r="I1941" s="27"/>
      <x:c r="J1941" s="6"/>
      <x:c r="K1941" s="6"/>
      <x:c r="L1941" s="6"/>
      <x:c r="M1941" s="6"/>
      <x:c r="N1941" s="6"/>
      <x:c r="O1941" s="6"/>
      <x:c r="P1941" s="6"/>
      <x:c r="Q1941" s="6"/>
      <x:c r="R1941"/>
      <x:c r="S1941"/>
      <x:c r="T1941"/>
    </x:row>
    <x:row r="1942" spans="1:20" ht="15.75" x14ac:dyDescent="0.25">
      <x:c r="A1942"/>
      <x:c r="B1942"/>
      <x:c r="C1942"/>
      <x:c r="D1942"/>
      <x:c r="E1942" s="31"/>
      <x:c r="F1942" s="8"/>
      <x:c r="G1942" s="8"/>
      <x:c r="H1942" s="6"/>
      <x:c r="I1942" s="27"/>
      <x:c r="J1942" s="6"/>
      <x:c r="K1942" s="6"/>
      <x:c r="L1942" s="6"/>
      <x:c r="M1942" s="6"/>
      <x:c r="N1942" s="6"/>
      <x:c r="O1942" s="6"/>
      <x:c r="P1942" s="6"/>
      <x:c r="Q1942" s="6"/>
      <x:c r="R1942"/>
      <x:c r="S1942"/>
      <x:c r="T1942"/>
    </x:row>
    <x:row r="1943" spans="1:20" ht="15.75" x14ac:dyDescent="0.25">
      <x:c r="A1943"/>
      <x:c r="B1943"/>
      <x:c r="C1943"/>
      <x:c r="D1943"/>
      <x:c r="E1943" s="31"/>
      <x:c r="F1943" s="8"/>
      <x:c r="G1943" s="8"/>
      <x:c r="H1943" s="6"/>
      <x:c r="I1943" s="27"/>
      <x:c r="J1943" s="6"/>
      <x:c r="K1943" s="6"/>
      <x:c r="L1943" s="6"/>
      <x:c r="M1943" s="6"/>
      <x:c r="N1943" s="6"/>
      <x:c r="O1943" s="6"/>
      <x:c r="P1943" s="6"/>
      <x:c r="Q1943" s="6"/>
      <x:c r="R1943"/>
      <x:c r="S1943"/>
      <x:c r="T1943"/>
    </x:row>
    <x:row r="1944" spans="1:20" ht="15.75" x14ac:dyDescent="0.25">
      <x:c r="A1944"/>
      <x:c r="B1944"/>
      <x:c r="C1944"/>
      <x:c r="D1944"/>
      <x:c r="E1944" s="31"/>
      <x:c r="F1944" s="8"/>
      <x:c r="G1944" s="8"/>
      <x:c r="H1944" s="6"/>
      <x:c r="I1944" s="27"/>
      <x:c r="J1944" s="6"/>
      <x:c r="K1944" s="6"/>
      <x:c r="L1944" s="6"/>
      <x:c r="M1944" s="6"/>
      <x:c r="N1944" s="6"/>
      <x:c r="O1944" s="6"/>
      <x:c r="P1944" s="6"/>
      <x:c r="Q1944" s="6"/>
      <x:c r="R1944"/>
      <x:c r="S1944"/>
      <x:c r="T1944"/>
    </x:row>
    <x:row r="1945" spans="1:20" ht="15.75" x14ac:dyDescent="0.25">
      <x:c r="A1945"/>
      <x:c r="B1945"/>
      <x:c r="C1945"/>
      <x:c r="D1945"/>
      <x:c r="E1945" s="31"/>
      <x:c r="F1945" s="8"/>
      <x:c r="G1945" s="8"/>
      <x:c r="H1945" s="6"/>
      <x:c r="I1945" s="27"/>
      <x:c r="J1945" s="6"/>
      <x:c r="K1945" s="6"/>
      <x:c r="L1945" s="6"/>
      <x:c r="M1945" s="6"/>
      <x:c r="N1945" s="6"/>
      <x:c r="O1945" s="6"/>
      <x:c r="P1945" s="6"/>
      <x:c r="Q1945" s="6"/>
      <x:c r="R1945"/>
      <x:c r="S1945"/>
      <x:c r="T1945"/>
    </x:row>
    <x:row r="1946" spans="1:20" ht="15.75" x14ac:dyDescent="0.25">
      <x:c r="A1946"/>
      <x:c r="B1946"/>
      <x:c r="C1946"/>
      <x:c r="D1946"/>
      <x:c r="E1946" s="31"/>
      <x:c r="F1946" s="8"/>
      <x:c r="G1946" s="8"/>
      <x:c r="H1946" s="6"/>
      <x:c r="I1946" s="27"/>
      <x:c r="J1946" s="6"/>
      <x:c r="K1946" s="6"/>
      <x:c r="L1946" s="6"/>
      <x:c r="M1946" s="6"/>
      <x:c r="N1946" s="6"/>
      <x:c r="O1946" s="6"/>
      <x:c r="P1946" s="6"/>
      <x:c r="Q1946" s="6"/>
      <x:c r="R1946"/>
      <x:c r="S1946"/>
      <x:c r="T1946"/>
    </x:row>
    <x:row r="1947" spans="1:20" ht="15.75" x14ac:dyDescent="0.25">
      <x:c r="A1947"/>
      <x:c r="B1947"/>
      <x:c r="C1947"/>
      <x:c r="D1947"/>
      <x:c r="E1947" s="31"/>
      <x:c r="F1947" s="8"/>
      <x:c r="G1947" s="8"/>
      <x:c r="H1947" s="6"/>
      <x:c r="I1947" s="27"/>
      <x:c r="J1947" s="6"/>
      <x:c r="K1947" s="6"/>
      <x:c r="L1947" s="6"/>
      <x:c r="M1947" s="6"/>
      <x:c r="N1947" s="6"/>
      <x:c r="O1947" s="6"/>
      <x:c r="P1947" s="6"/>
      <x:c r="Q1947" s="6"/>
      <x:c r="R1947"/>
      <x:c r="S1947"/>
      <x:c r="T1947"/>
    </x:row>
    <x:row r="1948" spans="1:20" ht="15.75" x14ac:dyDescent="0.25">
      <x:c r="A1948"/>
      <x:c r="B1948"/>
      <x:c r="C1948"/>
      <x:c r="D1948"/>
      <x:c r="E1948" s="31"/>
      <x:c r="F1948" s="8"/>
      <x:c r="G1948" s="8"/>
      <x:c r="H1948" s="6"/>
      <x:c r="I1948" s="27"/>
      <x:c r="J1948" s="6"/>
      <x:c r="K1948" s="6"/>
      <x:c r="L1948" s="6"/>
      <x:c r="M1948" s="6"/>
      <x:c r="N1948" s="6"/>
      <x:c r="O1948" s="6"/>
      <x:c r="P1948" s="6"/>
      <x:c r="Q1948" s="6"/>
      <x:c r="R1948"/>
      <x:c r="S1948"/>
      <x:c r="T1948"/>
    </x:row>
    <x:row r="1949" spans="1:20" ht="15.75" x14ac:dyDescent="0.25">
      <x:c r="A1949"/>
      <x:c r="B1949"/>
      <x:c r="C1949"/>
      <x:c r="D1949"/>
      <x:c r="E1949" s="31"/>
      <x:c r="F1949" s="8"/>
      <x:c r="G1949" s="8"/>
      <x:c r="H1949" s="6"/>
      <x:c r="I1949" s="27"/>
      <x:c r="J1949" s="6"/>
      <x:c r="K1949" s="6"/>
      <x:c r="L1949" s="6"/>
      <x:c r="M1949" s="6"/>
      <x:c r="N1949" s="6"/>
      <x:c r="O1949" s="6"/>
      <x:c r="P1949" s="6"/>
      <x:c r="Q1949" s="6"/>
      <x:c r="R1949"/>
      <x:c r="S1949"/>
      <x:c r="T1949"/>
    </x:row>
    <x:row r="1950" spans="1:20" ht="15.75" x14ac:dyDescent="0.25">
      <x:c r="A1950"/>
      <x:c r="B1950"/>
      <x:c r="C1950"/>
      <x:c r="D1950"/>
      <x:c r="E1950" s="31"/>
      <x:c r="F1950" s="8"/>
      <x:c r="G1950" s="8"/>
      <x:c r="H1950" s="6"/>
      <x:c r="I1950" s="27"/>
      <x:c r="J1950" s="6"/>
      <x:c r="K1950" s="6"/>
      <x:c r="L1950" s="6"/>
      <x:c r="M1950" s="6"/>
      <x:c r="N1950" s="6"/>
      <x:c r="O1950" s="6"/>
      <x:c r="P1950" s="6"/>
      <x:c r="Q1950" s="6"/>
      <x:c r="R1950"/>
      <x:c r="S1950"/>
      <x:c r="T1950"/>
    </x:row>
    <x:row r="1951" spans="1:20" ht="15.75" x14ac:dyDescent="0.25">
      <x:c r="A1951"/>
      <x:c r="B1951"/>
      <x:c r="C1951"/>
      <x:c r="D1951"/>
      <x:c r="E1951" s="31"/>
      <x:c r="F1951" s="8"/>
      <x:c r="G1951" s="8"/>
      <x:c r="H1951" s="6"/>
      <x:c r="I1951" s="27"/>
      <x:c r="J1951" s="6"/>
      <x:c r="K1951" s="6"/>
      <x:c r="L1951" s="6"/>
      <x:c r="M1951" s="6"/>
      <x:c r="N1951" s="6"/>
      <x:c r="O1951" s="6"/>
      <x:c r="P1951" s="6"/>
      <x:c r="Q1951" s="6"/>
      <x:c r="R1951"/>
      <x:c r="S1951"/>
      <x:c r="T1951"/>
    </x:row>
    <x:row r="1952" spans="1:20" ht="15.75" x14ac:dyDescent="0.25">
      <x:c r="A1952"/>
      <x:c r="B1952"/>
      <x:c r="C1952"/>
      <x:c r="D1952"/>
      <x:c r="E1952" s="31"/>
      <x:c r="F1952" s="8"/>
      <x:c r="G1952" s="8"/>
      <x:c r="H1952" s="6"/>
      <x:c r="I1952" s="27"/>
      <x:c r="J1952" s="6"/>
      <x:c r="K1952" s="6"/>
      <x:c r="L1952" s="6"/>
      <x:c r="M1952" s="6"/>
      <x:c r="N1952" s="6"/>
      <x:c r="O1952" s="6"/>
      <x:c r="P1952" s="6"/>
      <x:c r="Q1952" s="6"/>
      <x:c r="R1952"/>
      <x:c r="S1952"/>
      <x:c r="T1952"/>
    </x:row>
    <x:row r="1953" spans="1:20" ht="15.75" x14ac:dyDescent="0.25">
      <x:c r="A1953"/>
      <x:c r="B1953"/>
      <x:c r="C1953"/>
      <x:c r="D1953"/>
      <x:c r="E1953" s="31"/>
      <x:c r="F1953" s="8"/>
      <x:c r="G1953" s="8"/>
      <x:c r="H1953" s="6"/>
      <x:c r="I1953" s="27"/>
      <x:c r="J1953" s="6"/>
      <x:c r="K1953" s="6"/>
      <x:c r="L1953" s="6"/>
      <x:c r="M1953" s="6"/>
      <x:c r="N1953" s="6"/>
      <x:c r="O1953" s="6"/>
      <x:c r="P1953" s="6"/>
      <x:c r="Q1953" s="6"/>
      <x:c r="R1953"/>
      <x:c r="S1953"/>
      <x:c r="T1953"/>
    </x:row>
    <x:row r="1954" spans="1:20" ht="15.75" x14ac:dyDescent="0.25">
      <x:c r="A1954"/>
      <x:c r="B1954"/>
      <x:c r="C1954"/>
      <x:c r="D1954"/>
      <x:c r="E1954" s="31"/>
      <x:c r="F1954" s="8"/>
      <x:c r="G1954" s="8"/>
      <x:c r="H1954" s="6"/>
      <x:c r="I1954" s="27"/>
      <x:c r="J1954" s="6"/>
      <x:c r="K1954" s="6"/>
      <x:c r="L1954" s="6"/>
      <x:c r="M1954" s="6"/>
      <x:c r="N1954" s="6"/>
      <x:c r="O1954" s="6"/>
      <x:c r="P1954" s="6"/>
      <x:c r="Q1954" s="6"/>
      <x:c r="R1954"/>
      <x:c r="S1954"/>
      <x:c r="T1954"/>
    </x:row>
    <x:row r="1955" spans="1:20" ht="15.75" x14ac:dyDescent="0.25">
      <x:c r="A1955"/>
      <x:c r="B1955"/>
      <x:c r="C1955"/>
      <x:c r="D1955"/>
      <x:c r="E1955" s="31"/>
      <x:c r="F1955" s="8"/>
      <x:c r="G1955" s="8"/>
      <x:c r="H1955" s="6"/>
      <x:c r="I1955" s="27"/>
      <x:c r="J1955" s="6"/>
      <x:c r="K1955" s="6"/>
      <x:c r="L1955" s="6"/>
      <x:c r="M1955" s="6"/>
      <x:c r="N1955" s="6"/>
      <x:c r="O1955" s="6"/>
      <x:c r="P1955" s="6"/>
      <x:c r="Q1955" s="6"/>
      <x:c r="R1955"/>
      <x:c r="S1955"/>
      <x:c r="T1955"/>
    </x:row>
    <x:row r="1956" spans="1:20" ht="15.75" x14ac:dyDescent="0.25">
      <x:c r="A1956"/>
      <x:c r="B1956"/>
      <x:c r="C1956"/>
      <x:c r="D1956"/>
      <x:c r="E1956" s="31"/>
      <x:c r="F1956" s="8"/>
      <x:c r="G1956" s="8"/>
      <x:c r="H1956" s="6"/>
      <x:c r="I1956" s="27"/>
      <x:c r="J1956" s="6"/>
      <x:c r="K1956" s="6"/>
      <x:c r="L1956" s="6"/>
      <x:c r="M1956" s="6"/>
      <x:c r="N1956" s="6"/>
      <x:c r="O1956" s="6"/>
      <x:c r="P1956" s="6"/>
      <x:c r="Q1956" s="6"/>
      <x:c r="R1956"/>
      <x:c r="S1956"/>
      <x:c r="T1956"/>
    </x:row>
    <x:row r="1957" spans="1:20" ht="15.75" x14ac:dyDescent="0.25">
      <x:c r="A1957"/>
      <x:c r="B1957"/>
      <x:c r="C1957"/>
      <x:c r="D1957"/>
      <x:c r="E1957" s="31"/>
      <x:c r="F1957" s="8"/>
      <x:c r="G1957" s="8"/>
      <x:c r="H1957" s="6"/>
      <x:c r="I1957" s="27"/>
      <x:c r="J1957" s="6"/>
      <x:c r="K1957" s="6"/>
      <x:c r="L1957" s="6"/>
      <x:c r="M1957" s="6"/>
      <x:c r="N1957" s="6"/>
      <x:c r="O1957" s="6"/>
      <x:c r="P1957" s="6"/>
      <x:c r="Q1957" s="6"/>
      <x:c r="R1957"/>
      <x:c r="S1957"/>
      <x:c r="T1957"/>
    </x:row>
    <x:row r="1958" spans="1:20" ht="15.75" x14ac:dyDescent="0.25">
      <x:c r="A1958"/>
      <x:c r="B1958"/>
      <x:c r="C1958"/>
      <x:c r="D1958"/>
      <x:c r="E1958" s="31"/>
      <x:c r="F1958" s="8"/>
      <x:c r="G1958" s="8"/>
      <x:c r="H1958" s="6"/>
      <x:c r="I1958" s="27"/>
      <x:c r="J1958" s="6"/>
      <x:c r="K1958" s="6"/>
      <x:c r="L1958" s="6"/>
      <x:c r="M1958" s="6"/>
      <x:c r="N1958" s="6"/>
      <x:c r="O1958" s="6"/>
      <x:c r="P1958" s="6"/>
      <x:c r="Q1958" s="6"/>
      <x:c r="R1958"/>
      <x:c r="S1958"/>
      <x:c r="T1958"/>
    </x:row>
    <x:row r="1959" spans="1:20" ht="15.75" x14ac:dyDescent="0.25">
      <x:c r="A1959"/>
      <x:c r="B1959"/>
      <x:c r="C1959"/>
      <x:c r="D1959"/>
      <x:c r="E1959" s="31"/>
      <x:c r="F1959" s="8"/>
      <x:c r="G1959" s="8"/>
      <x:c r="H1959" s="6"/>
      <x:c r="I1959" s="27"/>
      <x:c r="J1959" s="6"/>
      <x:c r="K1959" s="6"/>
      <x:c r="L1959" s="6"/>
      <x:c r="M1959" s="6"/>
      <x:c r="N1959" s="6"/>
      <x:c r="O1959" s="6"/>
      <x:c r="P1959" s="6"/>
      <x:c r="Q1959" s="6"/>
      <x:c r="R1959"/>
      <x:c r="S1959"/>
      <x:c r="T1959"/>
    </x:row>
    <x:row r="1960" spans="1:20" ht="15.75" x14ac:dyDescent="0.25">
      <x:c r="A1960"/>
      <x:c r="B1960"/>
      <x:c r="C1960"/>
      <x:c r="D1960"/>
      <x:c r="E1960" s="31"/>
      <x:c r="F1960" s="8"/>
      <x:c r="G1960" s="8"/>
      <x:c r="H1960" s="6"/>
      <x:c r="I1960" s="27"/>
      <x:c r="J1960" s="6"/>
      <x:c r="K1960" s="6"/>
      <x:c r="L1960" s="6"/>
      <x:c r="M1960" s="6"/>
      <x:c r="N1960" s="6"/>
      <x:c r="O1960" s="6"/>
      <x:c r="P1960" s="6"/>
      <x:c r="Q1960" s="6"/>
      <x:c r="R1960"/>
      <x:c r="S1960"/>
      <x:c r="T1960"/>
    </x:row>
    <x:row r="1961" spans="1:20" ht="15.75" x14ac:dyDescent="0.25">
      <x:c r="A1961"/>
      <x:c r="B1961"/>
      <x:c r="C1961"/>
      <x:c r="D1961"/>
      <x:c r="E1961" s="31"/>
      <x:c r="F1961" s="8"/>
      <x:c r="G1961" s="8"/>
      <x:c r="H1961" s="6"/>
      <x:c r="I1961" s="27"/>
      <x:c r="J1961" s="6"/>
      <x:c r="K1961" s="6"/>
      <x:c r="L1961" s="6"/>
      <x:c r="M1961" s="6"/>
      <x:c r="N1961" s="6"/>
      <x:c r="O1961" s="6"/>
      <x:c r="P1961" s="6"/>
      <x:c r="Q1961" s="6"/>
      <x:c r="R1961"/>
      <x:c r="S1961"/>
      <x:c r="T1961"/>
    </x:row>
    <x:row r="1962" spans="1:20" ht="15.75" x14ac:dyDescent="0.25">
      <x:c r="A1962"/>
      <x:c r="B1962"/>
      <x:c r="C1962"/>
      <x:c r="D1962"/>
      <x:c r="E1962" s="31"/>
      <x:c r="F1962" s="8"/>
      <x:c r="G1962" s="8"/>
      <x:c r="H1962" s="6"/>
      <x:c r="I1962" s="27"/>
      <x:c r="J1962" s="6"/>
      <x:c r="K1962" s="6"/>
      <x:c r="L1962" s="6"/>
      <x:c r="M1962" s="6"/>
      <x:c r="N1962" s="6"/>
      <x:c r="O1962" s="6"/>
      <x:c r="P1962" s="6"/>
      <x:c r="Q1962" s="6"/>
      <x:c r="R1962"/>
      <x:c r="S1962"/>
      <x:c r="T1962"/>
    </x:row>
    <x:row r="1963" spans="1:20" ht="15.75" x14ac:dyDescent="0.25">
      <x:c r="A1963"/>
      <x:c r="B1963"/>
      <x:c r="C1963"/>
      <x:c r="D1963"/>
      <x:c r="E1963" s="31"/>
      <x:c r="F1963" s="8"/>
      <x:c r="G1963" s="8"/>
      <x:c r="H1963" s="6"/>
      <x:c r="I1963" s="27"/>
      <x:c r="J1963" s="6"/>
      <x:c r="K1963" s="6"/>
      <x:c r="L1963" s="6"/>
      <x:c r="M1963" s="6"/>
      <x:c r="N1963" s="6"/>
      <x:c r="O1963" s="6"/>
      <x:c r="P1963" s="6"/>
      <x:c r="Q1963" s="6"/>
      <x:c r="R1963"/>
      <x:c r="S1963"/>
      <x:c r="T1963"/>
    </x:row>
    <x:row r="1964" spans="1:20" ht="15.75" x14ac:dyDescent="0.25">
      <x:c r="A1964"/>
      <x:c r="B1964"/>
      <x:c r="C1964"/>
      <x:c r="D1964"/>
      <x:c r="E1964" s="31"/>
      <x:c r="F1964" s="8"/>
      <x:c r="G1964" s="8"/>
      <x:c r="H1964" s="6"/>
      <x:c r="I1964" s="27"/>
      <x:c r="J1964" s="6"/>
      <x:c r="K1964" s="6"/>
      <x:c r="L1964" s="6"/>
      <x:c r="M1964" s="6"/>
      <x:c r="N1964" s="6"/>
      <x:c r="O1964" s="6"/>
      <x:c r="P1964" s="6"/>
      <x:c r="Q1964" s="6"/>
      <x:c r="R1964"/>
      <x:c r="S1964"/>
      <x:c r="T1964"/>
    </x:row>
    <x:row r="1965" spans="1:20" ht="15.75" x14ac:dyDescent="0.25">
      <x:c r="A1965"/>
      <x:c r="B1965"/>
      <x:c r="C1965"/>
      <x:c r="D1965"/>
      <x:c r="E1965" s="31"/>
      <x:c r="F1965" s="8"/>
      <x:c r="G1965" s="8"/>
      <x:c r="H1965" s="6"/>
      <x:c r="I1965" s="27"/>
      <x:c r="J1965" s="6"/>
      <x:c r="K1965" s="6"/>
      <x:c r="L1965" s="6"/>
      <x:c r="M1965" s="6"/>
      <x:c r="N1965" s="6"/>
      <x:c r="O1965" s="6"/>
      <x:c r="P1965" s="6"/>
      <x:c r="Q1965" s="6"/>
      <x:c r="R1965"/>
      <x:c r="S1965"/>
      <x:c r="T1965"/>
    </x:row>
    <x:row r="1966" spans="1:20" ht="15.75" x14ac:dyDescent="0.25">
      <x:c r="A1966"/>
      <x:c r="B1966"/>
      <x:c r="C1966"/>
      <x:c r="D1966"/>
      <x:c r="E1966" s="31"/>
      <x:c r="F1966" s="8"/>
      <x:c r="G1966" s="8"/>
      <x:c r="H1966" s="6"/>
      <x:c r="I1966" s="27"/>
      <x:c r="J1966" s="6"/>
      <x:c r="K1966" s="6"/>
      <x:c r="L1966" s="6"/>
      <x:c r="M1966" s="6"/>
      <x:c r="N1966" s="6"/>
      <x:c r="O1966" s="6"/>
      <x:c r="P1966" s="6"/>
      <x:c r="Q1966" s="6"/>
      <x:c r="R1966"/>
      <x:c r="S1966"/>
      <x:c r="T1966"/>
    </x:row>
    <x:row r="1967" spans="1:20" ht="15.75" x14ac:dyDescent="0.25">
      <x:c r="A1967"/>
      <x:c r="B1967"/>
      <x:c r="C1967"/>
      <x:c r="D1967"/>
      <x:c r="E1967" s="31"/>
      <x:c r="F1967" s="8"/>
      <x:c r="G1967" s="8"/>
      <x:c r="H1967" s="6"/>
      <x:c r="I1967" s="27"/>
      <x:c r="J1967" s="6"/>
      <x:c r="K1967" s="6"/>
      <x:c r="L1967" s="6"/>
      <x:c r="M1967" s="6"/>
      <x:c r="N1967" s="6"/>
      <x:c r="O1967" s="6"/>
      <x:c r="P1967" s="6"/>
      <x:c r="Q1967" s="6"/>
      <x:c r="R1967"/>
      <x:c r="S1967"/>
      <x:c r="T1967"/>
    </x:row>
    <x:row r="1968" spans="1:20" ht="15.75" x14ac:dyDescent="0.25">
      <x:c r="A1968"/>
      <x:c r="B1968"/>
      <x:c r="C1968"/>
      <x:c r="D1968"/>
      <x:c r="E1968" s="31"/>
      <x:c r="F1968" s="8"/>
      <x:c r="G1968" s="8"/>
      <x:c r="H1968" s="6"/>
      <x:c r="I1968" s="27"/>
      <x:c r="J1968" s="6"/>
      <x:c r="K1968" s="6"/>
      <x:c r="L1968" s="6"/>
      <x:c r="M1968" s="6"/>
      <x:c r="N1968" s="6"/>
      <x:c r="O1968" s="6"/>
      <x:c r="P1968" s="6"/>
      <x:c r="Q1968" s="6"/>
      <x:c r="R1968"/>
      <x:c r="S1968"/>
      <x:c r="T1968"/>
    </x:row>
    <x:row r="1969" spans="1:20" ht="15.75" x14ac:dyDescent="0.25">
      <x:c r="A1969"/>
      <x:c r="B1969"/>
      <x:c r="C1969"/>
      <x:c r="D1969"/>
      <x:c r="E1969" s="31"/>
      <x:c r="F1969" s="8"/>
      <x:c r="G1969" s="8"/>
      <x:c r="H1969" s="6"/>
      <x:c r="I1969" s="27"/>
      <x:c r="J1969" s="6"/>
      <x:c r="K1969" s="6"/>
      <x:c r="L1969" s="6"/>
      <x:c r="M1969" s="6"/>
      <x:c r="N1969" s="6"/>
      <x:c r="O1969" s="6"/>
      <x:c r="P1969" s="6"/>
      <x:c r="Q1969" s="6"/>
      <x:c r="R1969"/>
      <x:c r="S1969"/>
      <x:c r="T1969"/>
    </x:row>
    <x:row r="1970" spans="1:20" ht="15.75" x14ac:dyDescent="0.25">
      <x:c r="A1970"/>
      <x:c r="B1970"/>
      <x:c r="C1970"/>
      <x:c r="D1970"/>
      <x:c r="E1970" s="31"/>
      <x:c r="F1970" s="8"/>
      <x:c r="G1970" s="8"/>
      <x:c r="H1970" s="6"/>
      <x:c r="I1970" s="27"/>
      <x:c r="J1970" s="6"/>
      <x:c r="K1970" s="6"/>
      <x:c r="L1970" s="6"/>
      <x:c r="M1970" s="6"/>
      <x:c r="N1970" s="6"/>
      <x:c r="O1970" s="6"/>
      <x:c r="P1970" s="6"/>
      <x:c r="Q1970" s="6"/>
      <x:c r="R1970"/>
      <x:c r="S1970"/>
      <x:c r="T1970"/>
    </x:row>
    <x:row r="1971" spans="1:20" ht="15.75" x14ac:dyDescent="0.25">
      <x:c r="A1971"/>
      <x:c r="B1971"/>
      <x:c r="C1971"/>
      <x:c r="D1971"/>
      <x:c r="E1971" s="31"/>
      <x:c r="F1971" s="8"/>
      <x:c r="G1971" s="8"/>
      <x:c r="H1971" s="6"/>
      <x:c r="I1971" s="27"/>
      <x:c r="J1971" s="6"/>
      <x:c r="K1971" s="6"/>
      <x:c r="L1971" s="6"/>
      <x:c r="M1971" s="6"/>
      <x:c r="N1971" s="6"/>
      <x:c r="O1971" s="6"/>
      <x:c r="P1971" s="6"/>
      <x:c r="Q1971" s="6"/>
      <x:c r="R1971"/>
      <x:c r="S1971"/>
      <x:c r="T1971"/>
    </x:row>
    <x:row r="1972" spans="1:20" ht="15.75" x14ac:dyDescent="0.25">
      <x:c r="A1972"/>
      <x:c r="B1972"/>
      <x:c r="C1972"/>
      <x:c r="D1972"/>
      <x:c r="E1972" s="31"/>
      <x:c r="F1972" s="8"/>
      <x:c r="G1972" s="8"/>
      <x:c r="H1972" s="6"/>
      <x:c r="I1972" s="27"/>
      <x:c r="J1972" s="6"/>
      <x:c r="K1972" s="6"/>
      <x:c r="L1972" s="6"/>
      <x:c r="M1972" s="6"/>
      <x:c r="N1972" s="6"/>
      <x:c r="O1972" s="6"/>
      <x:c r="P1972" s="6"/>
      <x:c r="Q1972" s="6"/>
      <x:c r="R1972"/>
      <x:c r="S1972"/>
      <x:c r="T1972"/>
    </x:row>
    <x:row r="1973" spans="1:20" ht="15.75" x14ac:dyDescent="0.25">
      <x:c r="A1973"/>
      <x:c r="B1973"/>
      <x:c r="C1973"/>
      <x:c r="D1973"/>
      <x:c r="E1973" s="31"/>
      <x:c r="F1973" s="8"/>
      <x:c r="G1973" s="8"/>
      <x:c r="H1973" s="6"/>
      <x:c r="I1973" s="27"/>
      <x:c r="J1973" s="6"/>
      <x:c r="K1973" s="6"/>
      <x:c r="L1973" s="6"/>
      <x:c r="M1973" s="6"/>
      <x:c r="N1973" s="6"/>
      <x:c r="O1973" s="6"/>
      <x:c r="P1973" s="6"/>
      <x:c r="Q1973" s="6"/>
      <x:c r="R1973"/>
      <x:c r="S1973"/>
      <x:c r="T1973"/>
    </x:row>
    <x:row r="1974" spans="1:20" ht="15.75" x14ac:dyDescent="0.25">
      <x:c r="A1974"/>
      <x:c r="B1974"/>
      <x:c r="C1974"/>
      <x:c r="D1974"/>
      <x:c r="E1974" s="31"/>
      <x:c r="F1974" s="8"/>
      <x:c r="G1974" s="8"/>
      <x:c r="H1974" s="6"/>
      <x:c r="I1974" s="27"/>
      <x:c r="J1974" s="6"/>
      <x:c r="K1974" s="6"/>
      <x:c r="L1974" s="6"/>
      <x:c r="M1974" s="6"/>
      <x:c r="N1974" s="6"/>
      <x:c r="O1974" s="6"/>
      <x:c r="P1974" s="6"/>
      <x:c r="Q1974" s="6"/>
      <x:c r="R1974"/>
      <x:c r="S1974"/>
      <x:c r="T1974"/>
    </x:row>
    <x:row r="1975" spans="1:20" ht="15.75" x14ac:dyDescent="0.25">
      <x:c r="A1975"/>
      <x:c r="B1975"/>
      <x:c r="C1975"/>
      <x:c r="D1975"/>
      <x:c r="E1975" s="31"/>
      <x:c r="F1975" s="8"/>
      <x:c r="G1975" s="8"/>
      <x:c r="H1975" s="6"/>
      <x:c r="I1975" s="27"/>
      <x:c r="J1975" s="6"/>
      <x:c r="K1975" s="6"/>
      <x:c r="L1975" s="6"/>
      <x:c r="M1975" s="6"/>
      <x:c r="N1975" s="6"/>
      <x:c r="O1975" s="6"/>
      <x:c r="P1975" s="6"/>
      <x:c r="Q1975" s="6"/>
      <x:c r="R1975"/>
      <x:c r="S1975"/>
      <x:c r="T1975"/>
    </x:row>
    <x:row r="1976" spans="1:20" ht="15.75" x14ac:dyDescent="0.25">
      <x:c r="A1976"/>
      <x:c r="B1976"/>
      <x:c r="C1976"/>
      <x:c r="D1976"/>
      <x:c r="E1976" s="31"/>
      <x:c r="F1976" s="8"/>
      <x:c r="G1976" s="8"/>
      <x:c r="H1976" s="6"/>
      <x:c r="I1976" s="27"/>
      <x:c r="J1976" s="6"/>
      <x:c r="K1976" s="6"/>
      <x:c r="L1976" s="6"/>
      <x:c r="M1976" s="6"/>
      <x:c r="N1976" s="6"/>
      <x:c r="O1976" s="6"/>
      <x:c r="P1976" s="6"/>
      <x:c r="Q1976" s="6"/>
      <x:c r="R1976"/>
      <x:c r="S1976"/>
      <x:c r="T1976"/>
    </x:row>
    <x:row r="1977" spans="1:20" ht="15.75" x14ac:dyDescent="0.25">
      <x:c r="A1977"/>
      <x:c r="B1977"/>
      <x:c r="C1977"/>
      <x:c r="D1977"/>
      <x:c r="E1977" s="31"/>
      <x:c r="F1977" s="8"/>
      <x:c r="G1977" s="8"/>
      <x:c r="H1977" s="6"/>
      <x:c r="I1977" s="27"/>
      <x:c r="J1977" s="6"/>
      <x:c r="K1977" s="6"/>
      <x:c r="L1977" s="6"/>
      <x:c r="M1977" s="6"/>
      <x:c r="N1977" s="6"/>
      <x:c r="O1977" s="6"/>
      <x:c r="P1977" s="6"/>
      <x:c r="Q1977" s="6"/>
      <x:c r="R1977"/>
      <x:c r="S1977"/>
      <x:c r="T1977"/>
    </x:row>
    <x:row r="1978" spans="1:20" ht="15.75" x14ac:dyDescent="0.25">
      <x:c r="A1978"/>
      <x:c r="B1978"/>
      <x:c r="C1978"/>
      <x:c r="D1978"/>
      <x:c r="E1978" s="31"/>
      <x:c r="F1978" s="8"/>
      <x:c r="G1978" s="8"/>
      <x:c r="H1978" s="6"/>
      <x:c r="I1978" s="27"/>
      <x:c r="J1978" s="6"/>
      <x:c r="K1978" s="6"/>
      <x:c r="L1978" s="6"/>
      <x:c r="M1978" s="6"/>
      <x:c r="N1978" s="6"/>
      <x:c r="O1978" s="6"/>
      <x:c r="P1978" s="6"/>
      <x:c r="Q1978" s="6"/>
      <x:c r="R1978"/>
      <x:c r="S1978"/>
      <x:c r="T1978"/>
    </x:row>
    <x:row r="1979" spans="1:20" ht="15.75" x14ac:dyDescent="0.25">
      <x:c r="A1979"/>
      <x:c r="B1979"/>
      <x:c r="C1979"/>
      <x:c r="D1979"/>
      <x:c r="E1979" s="31"/>
      <x:c r="F1979" s="8"/>
      <x:c r="G1979" s="8"/>
      <x:c r="H1979" s="6"/>
      <x:c r="I1979" s="27"/>
      <x:c r="J1979" s="6"/>
      <x:c r="K1979" s="6"/>
      <x:c r="L1979" s="6"/>
      <x:c r="M1979" s="6"/>
      <x:c r="N1979" s="6"/>
      <x:c r="O1979" s="6"/>
      <x:c r="P1979" s="6"/>
      <x:c r="Q1979" s="6"/>
      <x:c r="R1979"/>
      <x:c r="S1979"/>
      <x:c r="T1979"/>
    </x:row>
    <x:row r="1980" spans="1:20" ht="15.75" x14ac:dyDescent="0.25">
      <x:c r="A1980"/>
      <x:c r="B1980"/>
      <x:c r="C1980"/>
      <x:c r="D1980"/>
      <x:c r="E1980" s="31"/>
      <x:c r="F1980" s="8"/>
      <x:c r="G1980" s="8"/>
      <x:c r="H1980" s="6"/>
      <x:c r="I1980" s="27"/>
      <x:c r="J1980" s="6"/>
      <x:c r="K1980" s="6"/>
      <x:c r="L1980" s="6"/>
      <x:c r="M1980" s="6"/>
      <x:c r="N1980" s="6"/>
      <x:c r="O1980" s="6"/>
      <x:c r="P1980" s="6"/>
      <x:c r="Q1980" s="6"/>
      <x:c r="R1980"/>
      <x:c r="S1980"/>
      <x:c r="T1980"/>
    </x:row>
    <x:row r="1981" spans="1:20" ht="15.75" x14ac:dyDescent="0.25">
      <x:c r="A1981"/>
      <x:c r="B1981"/>
      <x:c r="C1981"/>
      <x:c r="D1981"/>
      <x:c r="E1981" s="31"/>
      <x:c r="F1981" s="8"/>
      <x:c r="G1981" s="8"/>
      <x:c r="H1981" s="6"/>
      <x:c r="I1981" s="27"/>
      <x:c r="J1981" s="6"/>
      <x:c r="K1981" s="6"/>
      <x:c r="L1981" s="6"/>
      <x:c r="M1981" s="6"/>
      <x:c r="N1981" s="6"/>
      <x:c r="O1981" s="6"/>
      <x:c r="P1981" s="6"/>
      <x:c r="Q1981" s="6"/>
      <x:c r="R1981"/>
      <x:c r="S1981"/>
      <x:c r="T1981"/>
    </x:row>
    <x:row r="1982" spans="1:20" ht="15.75" x14ac:dyDescent="0.25">
      <x:c r="A1982"/>
      <x:c r="B1982"/>
      <x:c r="C1982"/>
      <x:c r="D1982"/>
      <x:c r="E1982" s="31"/>
      <x:c r="F1982" s="8"/>
      <x:c r="G1982" s="8"/>
      <x:c r="H1982" s="6"/>
      <x:c r="I1982" s="27"/>
      <x:c r="J1982" s="6"/>
      <x:c r="K1982" s="6"/>
      <x:c r="L1982" s="6"/>
      <x:c r="M1982" s="6"/>
      <x:c r="N1982" s="6"/>
      <x:c r="O1982" s="6"/>
      <x:c r="P1982" s="6"/>
      <x:c r="Q1982" s="6"/>
      <x:c r="R1982"/>
      <x:c r="S1982"/>
      <x:c r="T1982"/>
    </x:row>
    <x:row r="1983" spans="1:20" ht="15.75" x14ac:dyDescent="0.25">
      <x:c r="A1983"/>
      <x:c r="B1983"/>
      <x:c r="C1983"/>
      <x:c r="D1983"/>
      <x:c r="E1983" s="31"/>
      <x:c r="F1983" s="8"/>
      <x:c r="G1983" s="8"/>
      <x:c r="H1983" s="6"/>
      <x:c r="I1983" s="27"/>
      <x:c r="J1983" s="6"/>
      <x:c r="K1983" s="6"/>
      <x:c r="L1983" s="6"/>
      <x:c r="M1983" s="6"/>
      <x:c r="N1983" s="6"/>
      <x:c r="O1983" s="6"/>
      <x:c r="P1983" s="6"/>
      <x:c r="Q1983" s="6"/>
      <x:c r="R1983"/>
      <x:c r="S1983"/>
      <x:c r="T1983"/>
    </x:row>
    <x:row r="1984" spans="1:20" ht="15.75" x14ac:dyDescent="0.25">
      <x:c r="A1984"/>
      <x:c r="B1984"/>
      <x:c r="C1984"/>
      <x:c r="D1984"/>
      <x:c r="E1984" s="31"/>
      <x:c r="F1984" s="8"/>
      <x:c r="G1984" s="8"/>
      <x:c r="H1984" s="6"/>
      <x:c r="I1984" s="27"/>
      <x:c r="J1984" s="6"/>
      <x:c r="K1984" s="6"/>
      <x:c r="L1984" s="6"/>
      <x:c r="M1984" s="6"/>
      <x:c r="N1984" s="6"/>
      <x:c r="O1984" s="6"/>
      <x:c r="P1984" s="6"/>
      <x:c r="Q1984" s="6"/>
      <x:c r="R1984"/>
      <x:c r="S1984"/>
      <x:c r="T1984"/>
    </x:row>
    <x:row r="1985" spans="1:20" ht="15.75" x14ac:dyDescent="0.25">
      <x:c r="A1985"/>
      <x:c r="B1985"/>
      <x:c r="C1985"/>
      <x:c r="D1985"/>
      <x:c r="E1985" s="31"/>
      <x:c r="F1985" s="8"/>
      <x:c r="G1985" s="8"/>
      <x:c r="H1985" s="6"/>
      <x:c r="I1985" s="27"/>
      <x:c r="J1985" s="6"/>
      <x:c r="K1985" s="6"/>
      <x:c r="L1985" s="6"/>
      <x:c r="M1985" s="6"/>
      <x:c r="N1985" s="6"/>
      <x:c r="O1985" s="6"/>
      <x:c r="P1985" s="6"/>
      <x:c r="Q1985" s="6"/>
      <x:c r="R1985"/>
      <x:c r="S1985"/>
      <x:c r="T1985"/>
    </x:row>
    <x:row r="1986" spans="1:20" ht="15.75" x14ac:dyDescent="0.25">
      <x:c r="A1986"/>
      <x:c r="B1986"/>
      <x:c r="C1986"/>
      <x:c r="D1986"/>
      <x:c r="E1986" s="31"/>
      <x:c r="F1986" s="8"/>
      <x:c r="G1986" s="8"/>
      <x:c r="H1986" s="6"/>
      <x:c r="I1986" s="27"/>
      <x:c r="J1986" s="6"/>
      <x:c r="K1986" s="6"/>
      <x:c r="L1986" s="6"/>
      <x:c r="M1986" s="6"/>
      <x:c r="N1986" s="6"/>
      <x:c r="O1986" s="6"/>
      <x:c r="P1986" s="6"/>
      <x:c r="Q1986" s="6"/>
      <x:c r="R1986"/>
      <x:c r="S1986"/>
      <x:c r="T1986"/>
    </x:row>
    <x:row r="1987" spans="1:20" ht="15.75" x14ac:dyDescent="0.25">
      <x:c r="A1987"/>
      <x:c r="B1987"/>
      <x:c r="C1987"/>
      <x:c r="D1987"/>
      <x:c r="E1987" s="31"/>
      <x:c r="F1987" s="8"/>
      <x:c r="G1987" s="8"/>
      <x:c r="H1987" s="6"/>
      <x:c r="I1987" s="27"/>
      <x:c r="J1987" s="6"/>
      <x:c r="K1987" s="6"/>
      <x:c r="L1987" s="6"/>
      <x:c r="M1987" s="6"/>
      <x:c r="N1987" s="6"/>
      <x:c r="O1987" s="6"/>
      <x:c r="P1987" s="6"/>
      <x:c r="Q1987" s="6"/>
      <x:c r="R1987"/>
      <x:c r="S1987"/>
      <x:c r="T1987"/>
    </x:row>
    <x:row r="1988" spans="1:20" ht="15.75" x14ac:dyDescent="0.25">
      <x:c r="A1988"/>
      <x:c r="B1988"/>
      <x:c r="C1988"/>
      <x:c r="D1988"/>
      <x:c r="E1988" s="31"/>
      <x:c r="F1988" s="8"/>
      <x:c r="G1988" s="8"/>
      <x:c r="H1988" s="6"/>
      <x:c r="I1988" s="27"/>
      <x:c r="J1988" s="6"/>
      <x:c r="K1988" s="6"/>
      <x:c r="L1988" s="6"/>
      <x:c r="M1988" s="6"/>
      <x:c r="N1988" s="6"/>
      <x:c r="O1988" s="6"/>
      <x:c r="P1988" s="6"/>
      <x:c r="Q1988" s="6"/>
      <x:c r="R1988"/>
      <x:c r="S1988"/>
      <x:c r="T1988"/>
    </x:row>
    <x:row r="1989" spans="1:20" ht="15.75" x14ac:dyDescent="0.25">
      <x:c r="A1989"/>
      <x:c r="B1989"/>
      <x:c r="C1989"/>
      <x:c r="D1989"/>
      <x:c r="E1989" s="31"/>
      <x:c r="F1989" s="8"/>
      <x:c r="G1989" s="8"/>
      <x:c r="H1989" s="6"/>
      <x:c r="I1989" s="27"/>
      <x:c r="J1989" s="6"/>
      <x:c r="K1989" s="6"/>
      <x:c r="L1989" s="6"/>
      <x:c r="M1989" s="6"/>
      <x:c r="N1989" s="6"/>
      <x:c r="O1989" s="6"/>
      <x:c r="P1989" s="6"/>
      <x:c r="Q1989" s="6"/>
      <x:c r="R1989"/>
      <x:c r="S1989"/>
      <x:c r="T1989"/>
    </x:row>
    <x:row r="1990" spans="1:20" ht="15.75" x14ac:dyDescent="0.25">
      <x:c r="A1990"/>
      <x:c r="B1990"/>
      <x:c r="C1990"/>
      <x:c r="D1990"/>
      <x:c r="E1990" s="31"/>
      <x:c r="F1990" s="8"/>
      <x:c r="G1990" s="8"/>
      <x:c r="H1990" s="6"/>
      <x:c r="I1990" s="27"/>
      <x:c r="J1990" s="6"/>
      <x:c r="K1990" s="6"/>
      <x:c r="L1990" s="6"/>
      <x:c r="M1990" s="6"/>
      <x:c r="N1990" s="6"/>
      <x:c r="O1990" s="6"/>
      <x:c r="P1990" s="6"/>
      <x:c r="Q1990" s="6"/>
      <x:c r="R1990"/>
      <x:c r="S1990"/>
      <x:c r="T1990"/>
    </x:row>
    <x:row r="1991" spans="1:20" ht="15.75" x14ac:dyDescent="0.25">
      <x:c r="A1991"/>
      <x:c r="B1991"/>
      <x:c r="C1991"/>
      <x:c r="D1991"/>
      <x:c r="E1991" s="31"/>
      <x:c r="F1991" s="8"/>
      <x:c r="G1991" s="8"/>
      <x:c r="H1991" s="6"/>
      <x:c r="I1991" s="27"/>
      <x:c r="J1991" s="6"/>
      <x:c r="K1991" s="6"/>
      <x:c r="L1991" s="6"/>
      <x:c r="M1991" s="6"/>
      <x:c r="N1991" s="6"/>
      <x:c r="O1991" s="6"/>
      <x:c r="P1991" s="6"/>
      <x:c r="Q1991" s="6"/>
      <x:c r="R1991"/>
      <x:c r="S1991"/>
      <x:c r="T1991"/>
    </x:row>
    <x:row r="1992" spans="1:20" ht="15.75" x14ac:dyDescent="0.25">
      <x:c r="A1992"/>
      <x:c r="B1992"/>
      <x:c r="C1992"/>
      <x:c r="D1992"/>
      <x:c r="E1992" s="31"/>
      <x:c r="F1992" s="8"/>
      <x:c r="G1992" s="8"/>
      <x:c r="H1992" s="6"/>
      <x:c r="I1992" s="27"/>
      <x:c r="J1992" s="6"/>
      <x:c r="K1992" s="6"/>
      <x:c r="L1992" s="6"/>
      <x:c r="M1992" s="6"/>
      <x:c r="N1992" s="6"/>
      <x:c r="O1992" s="6"/>
      <x:c r="P1992" s="6"/>
      <x:c r="Q1992" s="6"/>
      <x:c r="R1992"/>
      <x:c r="S1992"/>
      <x:c r="T1992"/>
    </x:row>
    <x:row r="1993" spans="1:20" ht="15.75" x14ac:dyDescent="0.25">
      <x:c r="A1993"/>
      <x:c r="B1993"/>
      <x:c r="C1993"/>
      <x:c r="D1993"/>
      <x:c r="E1993" s="31"/>
      <x:c r="F1993" s="8"/>
      <x:c r="G1993" s="8"/>
      <x:c r="H1993" s="6"/>
      <x:c r="I1993" s="27"/>
      <x:c r="J1993" s="6"/>
      <x:c r="K1993" s="6"/>
      <x:c r="L1993" s="6"/>
      <x:c r="M1993" s="6"/>
      <x:c r="N1993" s="6"/>
      <x:c r="O1993" s="6"/>
      <x:c r="P1993" s="6"/>
      <x:c r="Q1993" s="6"/>
      <x:c r="R1993"/>
      <x:c r="S1993"/>
      <x:c r="T1993"/>
    </x:row>
    <x:row r="1994" spans="1:20" ht="15.75" x14ac:dyDescent="0.25">
      <x:c r="A1994"/>
      <x:c r="B1994"/>
      <x:c r="C1994"/>
      <x:c r="D1994"/>
      <x:c r="E1994" s="31"/>
      <x:c r="F1994" s="8"/>
      <x:c r="G1994" s="8"/>
      <x:c r="H1994" s="6"/>
      <x:c r="I1994" s="27"/>
      <x:c r="J1994" s="6"/>
      <x:c r="K1994" s="6"/>
      <x:c r="L1994" s="6"/>
      <x:c r="M1994" s="6"/>
      <x:c r="N1994" s="6"/>
      <x:c r="O1994" s="6"/>
      <x:c r="P1994" s="6"/>
      <x:c r="Q1994" s="6"/>
      <x:c r="R1994"/>
      <x:c r="S1994"/>
      <x:c r="T1994"/>
    </x:row>
    <x:row r="1995" spans="1:20" ht="15.75" x14ac:dyDescent="0.25">
      <x:c r="A1995"/>
      <x:c r="B1995"/>
      <x:c r="C1995"/>
      <x:c r="D1995"/>
      <x:c r="E1995" s="31"/>
      <x:c r="F1995" s="8"/>
      <x:c r="G1995" s="8"/>
      <x:c r="H1995" s="6"/>
      <x:c r="I1995" s="27"/>
      <x:c r="J1995" s="6"/>
      <x:c r="K1995" s="6"/>
      <x:c r="L1995" s="6"/>
      <x:c r="M1995" s="6"/>
      <x:c r="N1995" s="6"/>
      <x:c r="O1995" s="6"/>
      <x:c r="P1995" s="6"/>
      <x:c r="Q1995" s="6"/>
      <x:c r="R1995"/>
      <x:c r="S1995"/>
      <x:c r="T1995"/>
    </x:row>
    <x:row r="1996" spans="1:20" ht="15.75" x14ac:dyDescent="0.25">
      <x:c r="A1996"/>
      <x:c r="B1996"/>
      <x:c r="C1996"/>
      <x:c r="D1996"/>
      <x:c r="E1996" s="31"/>
      <x:c r="F1996" s="8"/>
      <x:c r="G1996" s="8"/>
      <x:c r="H1996" s="6"/>
      <x:c r="I1996" s="27"/>
      <x:c r="J1996" s="6"/>
      <x:c r="K1996" s="6"/>
      <x:c r="L1996" s="6"/>
      <x:c r="M1996" s="6"/>
      <x:c r="N1996" s="6"/>
      <x:c r="O1996" s="6"/>
      <x:c r="P1996" s="6"/>
      <x:c r="Q1996" s="6"/>
      <x:c r="R1996"/>
      <x:c r="S1996"/>
      <x:c r="T1996"/>
    </x:row>
    <x:row r="1997" spans="1:20" ht="15.75" x14ac:dyDescent="0.25">
      <x:c r="A1997"/>
      <x:c r="B1997"/>
      <x:c r="C1997"/>
      <x:c r="D1997"/>
      <x:c r="E1997" s="31"/>
      <x:c r="F1997" s="8"/>
      <x:c r="G1997" s="8"/>
      <x:c r="H1997" s="6"/>
      <x:c r="I1997" s="27"/>
      <x:c r="J1997" s="6"/>
      <x:c r="K1997" s="6"/>
      <x:c r="L1997" s="6"/>
      <x:c r="M1997" s="6"/>
      <x:c r="N1997" s="6"/>
      <x:c r="O1997" s="6"/>
      <x:c r="P1997" s="6"/>
      <x:c r="Q1997" s="6"/>
      <x:c r="R1997"/>
      <x:c r="S1997"/>
      <x:c r="T1997"/>
    </x:row>
    <x:row r="1998" spans="1:20" ht="15.75" x14ac:dyDescent="0.25">
      <x:c r="A1998"/>
      <x:c r="B1998"/>
      <x:c r="C1998"/>
      <x:c r="D1998"/>
      <x:c r="E1998" s="31"/>
      <x:c r="F1998" s="8"/>
      <x:c r="G1998" s="8"/>
      <x:c r="H1998" s="6"/>
      <x:c r="I1998" s="27"/>
      <x:c r="J1998" s="6"/>
      <x:c r="K1998" s="6"/>
      <x:c r="L1998" s="6"/>
      <x:c r="M1998" s="6"/>
      <x:c r="N1998" s="6"/>
      <x:c r="O1998" s="6"/>
      <x:c r="P1998" s="6"/>
      <x:c r="Q1998" s="6"/>
      <x:c r="R1998"/>
      <x:c r="S1998"/>
      <x:c r="T1998"/>
    </x:row>
    <x:row r="1999" spans="1:20" ht="15.75" x14ac:dyDescent="0.25">
      <x:c r="A1999"/>
      <x:c r="B1999"/>
      <x:c r="C1999"/>
      <x:c r="D1999"/>
      <x:c r="E1999" s="31"/>
      <x:c r="F1999" s="8"/>
      <x:c r="G1999" s="8"/>
      <x:c r="H1999" s="6"/>
      <x:c r="I1999" s="27"/>
      <x:c r="J1999" s="6"/>
      <x:c r="K1999" s="6"/>
      <x:c r="L1999" s="6"/>
      <x:c r="M1999" s="6"/>
      <x:c r="N1999" s="6"/>
      <x:c r="O1999" s="6"/>
      <x:c r="P1999" s="6"/>
      <x:c r="Q1999" s="6"/>
      <x:c r="R1999"/>
      <x:c r="S1999"/>
      <x:c r="T1999"/>
    </x:row>
    <x:row r="2000" spans="1:20" ht="15.75" x14ac:dyDescent="0.25">
      <x:c r="A2000"/>
      <x:c r="B2000"/>
      <x:c r="C2000"/>
      <x:c r="D2000"/>
      <x:c r="E2000" s="31"/>
      <x:c r="F2000" s="8"/>
      <x:c r="G2000" s="8"/>
      <x:c r="H2000" s="6"/>
      <x:c r="I2000" s="27"/>
      <x:c r="J2000" s="6"/>
      <x:c r="K2000" s="6"/>
      <x:c r="L2000" s="6"/>
      <x:c r="M2000" s="6"/>
      <x:c r="N2000" s="6"/>
      <x:c r="O2000" s="6"/>
      <x:c r="P2000" s="6"/>
      <x:c r="Q2000" s="6"/>
      <x:c r="R2000"/>
      <x:c r="S2000"/>
      <x:c r="T2000"/>
    </x:row>
    <x:row r="2001" spans="1:20" ht="15.75" x14ac:dyDescent="0.25">
      <x:c r="A2001"/>
      <x:c r="B2001"/>
      <x:c r="C2001"/>
      <x:c r="D2001"/>
      <x:c r="E2001"/>
      <x:c r="F2001" s="6"/>
      <x:c r="G2001" s="6"/>
      <x:c r="H2001" s="6"/>
      <x:c r="I2001" s="1"/>
      <x:c r="J2001" s="6"/>
      <x:c r="K2001" s="6"/>
      <x:c r="L2001" s="6"/>
      <x:c r="M2001" s="6"/>
      <x:c r="N2001" s="6"/>
      <x:c r="O2001" s="6"/>
      <x:c r="P2001" s="6"/>
      <x:c r="Q2001" s="6"/>
      <x:c r="R2001"/>
      <x:c r="S2001"/>
      <x:c r="T2001"/>
    </x:row>
    <x:row r="2002" spans="1:20" ht="15.75" x14ac:dyDescent="0.25">
      <x:c r="A2002"/>
      <x:c r="B2002"/>
      <x:c r="C2002"/>
      <x:c r="D2002"/>
      <x:c r="E2002"/>
      <x:c r="F2002" s="6"/>
      <x:c r="G2002" s="6"/>
      <x:c r="H2002" s="6"/>
      <x:c r="I2002" s="1"/>
      <x:c r="J2002" s="6"/>
      <x:c r="K2002" s="6"/>
      <x:c r="L2002" s="6"/>
      <x:c r="M2002" s="6"/>
      <x:c r="N2002" s="6"/>
      <x:c r="O2002" s="6"/>
      <x:c r="P2002" s="6"/>
      <x:c r="Q2002" s="6"/>
      <x:c r="R2002"/>
      <x:c r="S2002"/>
      <x:c r="T2002"/>
    </x:row>
    <x:row r="2003" spans="1:20" ht="15.75" x14ac:dyDescent="0.25">
      <x:c r="A2003"/>
      <x:c r="B2003"/>
      <x:c r="C2003"/>
      <x:c r="D2003"/>
      <x:c r="E2003"/>
      <x:c r="F2003"/>
      <x:c r="G2003"/>
      <x:c r="H2003" s="6"/>
      <x:c r="I2003" s="1"/>
      <x:c r="J2003" s="6"/>
      <x:c r="K2003" s="6"/>
      <x:c r="L2003" s="6"/>
      <x:c r="M2003" s="6"/>
      <x:c r="N2003" s="6"/>
      <x:c r="O2003" s="6"/>
      <x:c r="P2003" s="6"/>
      <x:c r="Q2003" s="6"/>
      <x:c r="R2003"/>
      <x:c r="S2003"/>
      <x:c r="T2003"/>
    </x:row>
    <x:row r="2004" spans="1:20" ht="15.75" x14ac:dyDescent="0.25">
      <x:c r="A2004"/>
      <x:c r="B2004"/>
      <x:c r="C2004"/>
      <x:c r="D2004"/>
      <x:c r="E2004"/>
      <x:c r="F2004"/>
      <x:c r="G2004"/>
      <x:c r="H2004" s="6"/>
      <x:c r="I2004" s="1"/>
      <x:c r="J2004" s="6"/>
      <x:c r="K2004" s="6"/>
      <x:c r="L2004" s="6"/>
      <x:c r="M2004" s="6"/>
      <x:c r="N2004" s="6"/>
      <x:c r="O2004" s="6"/>
      <x:c r="P2004" s="6"/>
      <x:c r="Q2004" s="6"/>
      <x:c r="R2004"/>
      <x:c r="S2004"/>
      <x:c r="T2004"/>
    </x:row>
    <x:row r="2005" spans="1:20" ht="15.75" x14ac:dyDescent="0.25">
      <x:c r="A2005"/>
      <x:c r="B2005"/>
      <x:c r="C2005"/>
      <x:c r="D2005"/>
      <x:c r="E2005"/>
      <x:c r="F2005"/>
      <x:c r="G2005"/>
      <x:c r="H2005" s="6"/>
      <x:c r="I2005" s="1"/>
      <x:c r="J2005" s="6"/>
      <x:c r="K2005" s="6"/>
      <x:c r="L2005" s="6"/>
      <x:c r="M2005" s="6"/>
      <x:c r="N2005" s="6"/>
      <x:c r="O2005" s="6"/>
      <x:c r="P2005" s="6"/>
      <x:c r="Q2005" s="6"/>
      <x:c r="R2005"/>
      <x:c r="S2005"/>
      <x:c r="T2005"/>
    </x:row>
    <x:row r="2006" spans="1:20" ht="15.75" x14ac:dyDescent="0.25">
      <x:c r="A2006"/>
      <x:c r="B2006"/>
      <x:c r="C2006"/>
      <x:c r="D2006"/>
      <x:c r="E2006"/>
      <x:c r="F2006"/>
      <x:c r="G2006"/>
      <x:c r="H2006" s="6"/>
      <x:c r="I2006" s="1"/>
      <x:c r="J2006" s="6"/>
      <x:c r="K2006" s="6"/>
      <x:c r="L2006" s="6"/>
      <x:c r="M2006" s="6"/>
      <x:c r="N2006" s="6"/>
      <x:c r="O2006" s="6"/>
      <x:c r="P2006" s="6"/>
      <x:c r="Q2006" s="6"/>
      <x:c r="R2006"/>
      <x:c r="S2006"/>
      <x:c r="T2006"/>
    </x:row>
    <x:row r="2007" spans="1:20" ht="15.75" x14ac:dyDescent="0.25">
      <x:c r="A2007"/>
      <x:c r="B2007"/>
      <x:c r="C2007"/>
      <x:c r="D2007"/>
      <x:c r="E2007"/>
      <x:c r="F2007"/>
      <x:c r="G2007"/>
      <x:c r="H2007" s="6"/>
      <x:c r="I2007" s="1"/>
      <x:c r="J2007" s="6"/>
      <x:c r="K2007" s="6"/>
      <x:c r="L2007" s="6"/>
      <x:c r="M2007" s="6"/>
      <x:c r="N2007" s="6"/>
      <x:c r="O2007" s="6"/>
      <x:c r="P2007" s="6"/>
      <x:c r="Q2007" s="6"/>
      <x:c r="R2007"/>
      <x:c r="S2007"/>
      <x:c r="T2007"/>
    </x:row>
    <x:row r="2008" spans="1:20" ht="15.75" x14ac:dyDescent="0.25">
      <x:c r="A2008"/>
      <x:c r="B2008"/>
      <x:c r="C2008"/>
      <x:c r="D2008"/>
      <x:c r="E2008"/>
      <x:c r="F2008"/>
      <x:c r="G2008"/>
      <x:c r="H2008" s="6"/>
      <x:c r="I2008" s="1"/>
      <x:c r="J2008" s="6"/>
      <x:c r="K2008" s="6"/>
      <x:c r="L2008" s="6"/>
      <x:c r="M2008" s="6"/>
      <x:c r="N2008" s="6"/>
      <x:c r="O2008" s="6"/>
      <x:c r="P2008" s="6"/>
      <x:c r="Q2008" s="6"/>
      <x:c r="R2008"/>
      <x:c r="S2008"/>
      <x:c r="T2008"/>
    </x:row>
    <x:row r="2009" spans="1:20" ht="15.75" x14ac:dyDescent="0.25">
      <x:c r="A2009"/>
      <x:c r="B2009"/>
      <x:c r="C2009"/>
      <x:c r="D2009"/>
      <x:c r="E2009"/>
      <x:c r="F2009"/>
      <x:c r="G2009"/>
      <x:c r="H2009" s="6"/>
      <x:c r="I2009" s="1"/>
      <x:c r="J2009" s="6"/>
      <x:c r="K2009" s="6"/>
      <x:c r="L2009" s="6"/>
      <x:c r="M2009" s="6"/>
      <x:c r="N2009" s="6"/>
      <x:c r="O2009" s="6"/>
      <x:c r="P2009" s="6"/>
      <x:c r="Q2009" s="6"/>
      <x:c r="R2009"/>
      <x:c r="S2009"/>
      <x:c r="T2009"/>
    </x:row>
    <x:row r="2010" spans="1:20" ht="18" customHeight="1" x14ac:dyDescent="0.25">
      <x:c r="H2010" s="6"/>
      <x:c r="S2010"/>
    </x:row>
    <x:row r="2011" spans="1:20" ht="18" customHeight="1" x14ac:dyDescent="0.25">
      <x:c r="H2011" s="6"/>
      <x:c r="S2011"/>
    </x:row>
    <x:row r="2012" spans="1:20" ht="18" customHeight="1" x14ac:dyDescent="0.25">
      <x:c r="H2012" s="6"/>
      <x:c r="S2012"/>
    </x:row>
    <x:row r="2013" spans="1:20" ht="18" customHeight="1" x14ac:dyDescent="0.25">
      <x:c r="H2013" s="6"/>
      <x:c r="S2013"/>
    </x:row>
    <x:row r="2014" spans="1:20" ht="18" customHeight="1" x14ac:dyDescent="0.25">
      <x:c r="H2014" s="6"/>
      <x:c r="S2014"/>
    </x:row>
    <x:row r="2015" spans="1:20" ht="18" customHeight="1" x14ac:dyDescent="0.25">
      <x:c r="H2015" s="6"/>
      <x:c r="S2015"/>
    </x:row>
    <x:row r="2016" spans="1:20" ht="18" customHeight="1" x14ac:dyDescent="0.25">
      <x:c r="H2016" s="6"/>
      <x:c r="S2016"/>
    </x:row>
    <x:row r="2017" spans="8:19" ht="18" customHeight="1" x14ac:dyDescent="0.25">
      <x:c r="H2017" s="6"/>
      <x:c r="S2017"/>
    </x:row>
    <x:row r="2018" spans="8:19" ht="18" customHeight="1" x14ac:dyDescent="0.25">
      <x:c r="H2018" s="6"/>
      <x:c r="S2018"/>
    </x:row>
    <x:row r="2019" spans="8:19" ht="18" customHeight="1" x14ac:dyDescent="0.25">
      <x:c r="H2019" s="6"/>
      <x:c r="S2019"/>
    </x:row>
    <x:row r="2020" spans="8:19" ht="18" customHeight="1" x14ac:dyDescent="0.25">
      <x:c r="H2020" s="6"/>
      <x:c r="S2020"/>
    </x:row>
    <x:row r="2021" spans="8:19" ht="18" customHeight="1" x14ac:dyDescent="0.25">
      <x:c r="H2021" s="6"/>
      <x:c r="S2021"/>
    </x:row>
    <x:row r="2022" spans="8:19" ht="18" customHeight="1" x14ac:dyDescent="0.25">
      <x:c r="H2022" s="6"/>
      <x:c r="S2022"/>
    </x:row>
    <x:row r="2023" spans="8:19" ht="18" customHeight="1" x14ac:dyDescent="0.25">
      <x:c r="H2023" s="6"/>
      <x:c r="S2023"/>
    </x:row>
    <x:row r="2024" spans="8:19" ht="18" customHeight="1" x14ac:dyDescent="0.25">
      <x:c r="H2024" s="6"/>
      <x:c r="S2024"/>
    </x:row>
    <x:row r="2025" spans="8:19" ht="18" customHeight="1" x14ac:dyDescent="0.25">
      <x:c r="H2025" s="6"/>
      <x:c r="S2025"/>
    </x:row>
    <x:row r="2026" spans="8:19" ht="18" customHeight="1" x14ac:dyDescent="0.25">
      <x:c r="H2026" s="6"/>
      <x:c r="S2026"/>
    </x:row>
    <x:row r="2027" spans="8:19" ht="18" customHeight="1" x14ac:dyDescent="0.25">
      <x:c r="H2027" s="6"/>
      <x:c r="S2027"/>
    </x:row>
    <x:row r="2028" spans="8:19" ht="18" customHeight="1" x14ac:dyDescent="0.25">
      <x:c r="H2028" s="6"/>
      <x:c r="S2028"/>
    </x:row>
    <x:row r="2029" spans="8:19" ht="18" customHeight="1" x14ac:dyDescent="0.25">
      <x:c r="H2029" s="6"/>
      <x:c r="S2029"/>
    </x:row>
    <x:row r="2030" spans="8:19" ht="18" customHeight="1" x14ac:dyDescent="0.25">
      <x:c r="H2030" s="6"/>
      <x:c r="S2030"/>
    </x:row>
    <x:row r="2031" spans="8:19" ht="18" customHeight="1" x14ac:dyDescent="0.25">
      <x:c r="H2031" s="6"/>
      <x:c r="S2031"/>
    </x:row>
    <x:row r="2032" spans="8:19" ht="18" customHeight="1" x14ac:dyDescent="0.25">
      <x:c r="H2032" s="6"/>
      <x:c r="S2032"/>
    </x:row>
    <x:row r="2033" spans="8:19" ht="18" customHeight="1" x14ac:dyDescent="0.25">
      <x:c r="H2033" s="6"/>
      <x:c r="S2033"/>
    </x:row>
    <x:row r="2034" spans="8:19" ht="18" customHeight="1" x14ac:dyDescent="0.25">
      <x:c r="H2034" s="6"/>
      <x:c r="S2034"/>
    </x:row>
    <x:row r="2035" spans="8:19" ht="18" customHeight="1" x14ac:dyDescent="0.25">
      <x:c r="H2035" s="6"/>
      <x:c r="S2035"/>
    </x:row>
    <x:row r="2036" spans="8:19" ht="18" customHeight="1" x14ac:dyDescent="0.25">
      <x:c r="H2036" s="6"/>
      <x:c r="S2036"/>
    </x:row>
    <x:row r="2037" spans="8:19" ht="18" customHeight="1" x14ac:dyDescent="0.25">
      <x:c r="H2037" s="6"/>
      <x:c r="S2037"/>
    </x:row>
    <x:row r="2038" spans="8:19" ht="18" customHeight="1" x14ac:dyDescent="0.25">
      <x:c r="H2038" s="6"/>
      <x:c r="S2038"/>
    </x:row>
    <x:row r="2039" spans="8:19" ht="18" customHeight="1" x14ac:dyDescent="0.25">
      <x:c r="H2039" s="6"/>
      <x:c r="S2039"/>
    </x:row>
    <x:row r="2040" spans="8:19" ht="18" customHeight="1" x14ac:dyDescent="0.25">
      <x:c r="H2040" s="6"/>
      <x:c r="S2040"/>
    </x:row>
    <x:row r="2041" spans="8:19" ht="18" customHeight="1" x14ac:dyDescent="0.25">
      <x:c r="H2041" s="6"/>
      <x:c r="S2041"/>
    </x:row>
    <x:row r="2042" spans="8:19" ht="18" customHeight="1" x14ac:dyDescent="0.25">
      <x:c r="H2042" s="6"/>
      <x:c r="S2042"/>
    </x:row>
    <x:row r="2043" spans="8:19" ht="18" customHeight="1" x14ac:dyDescent="0.25">
      <x:c r="H2043" s="6"/>
      <x:c r="S2043"/>
    </x:row>
    <x:row r="2044" spans="8:19" ht="18" customHeight="1" x14ac:dyDescent="0.25">
      <x:c r="H2044" s="6"/>
      <x:c r="S2044"/>
    </x:row>
    <x:row r="2045" spans="8:19" ht="18" customHeight="1" x14ac:dyDescent="0.25">
      <x:c r="H2045" s="6"/>
      <x:c r="S2045"/>
    </x:row>
    <x:row r="2046" spans="8:19" ht="18" customHeight="1" x14ac:dyDescent="0.25">
      <x:c r="H2046" s="6"/>
      <x:c r="S2046"/>
    </x:row>
    <x:row r="2047" spans="8:19" ht="18" customHeight="1" x14ac:dyDescent="0.25">
      <x:c r="H2047" s="6"/>
      <x:c r="S2047"/>
    </x:row>
    <x:row r="2048" spans="8:19" ht="18" customHeight="1" x14ac:dyDescent="0.25">
      <x:c r="H2048" s="6"/>
      <x:c r="S2048"/>
    </x:row>
    <x:row r="2049" spans="8:19" ht="18" customHeight="1" x14ac:dyDescent="0.25">
      <x:c r="H2049" s="6"/>
      <x:c r="S2049"/>
    </x:row>
    <x:row r="2050" spans="8:19" ht="18" customHeight="1" x14ac:dyDescent="0.25">
      <x:c r="H2050" s="6"/>
      <x:c r="S2050"/>
    </x:row>
    <x:row r="2051" spans="8:19" ht="18" customHeight="1" x14ac:dyDescent="0.25">
      <x:c r="H2051" s="6"/>
      <x:c r="S2051"/>
    </x:row>
    <x:row r="2052" spans="8:19" ht="18" customHeight="1" x14ac:dyDescent="0.25">
      <x:c r="H2052" s="6"/>
      <x:c r="S2052"/>
    </x:row>
    <x:row r="2053" spans="8:19" ht="18" customHeight="1" x14ac:dyDescent="0.25">
      <x:c r="H2053" s="6"/>
      <x:c r="S2053"/>
    </x:row>
    <x:row r="2054" spans="8:19" ht="18" customHeight="1" x14ac:dyDescent="0.25">
      <x:c r="H2054" s="6"/>
      <x:c r="S2054"/>
    </x:row>
    <x:row r="2055" spans="8:19" ht="18" customHeight="1" x14ac:dyDescent="0.25">
      <x:c r="H2055" s="6"/>
      <x:c r="S2055"/>
    </x:row>
    <x:row r="2056" spans="8:19" ht="18" customHeight="1" x14ac:dyDescent="0.25">
      <x:c r="H2056" s="6"/>
      <x:c r="S2056"/>
    </x:row>
    <x:row r="2057" spans="8:19" ht="18" customHeight="1" x14ac:dyDescent="0.25">
      <x:c r="H2057" s="6"/>
      <x:c r="S2057"/>
    </x:row>
    <x:row r="2058" spans="8:19" ht="18" customHeight="1" x14ac:dyDescent="0.25">
      <x:c r="H2058" s="6"/>
      <x:c r="S2058"/>
    </x:row>
    <x:row r="2059" spans="8:19" ht="18" customHeight="1" x14ac:dyDescent="0.25">
      <x:c r="H2059" s="6"/>
      <x:c r="S2059"/>
    </x:row>
    <x:row r="2060" spans="8:19" ht="18" customHeight="1" x14ac:dyDescent="0.25">
      <x:c r="H2060" s="6"/>
      <x:c r="S2060"/>
    </x:row>
    <x:row r="2061" spans="8:19" ht="18" customHeight="1" x14ac:dyDescent="0.25">
      <x:c r="H2061" s="6"/>
      <x:c r="S2061"/>
    </x:row>
    <x:row r="2062" spans="8:19" ht="18" customHeight="1" x14ac:dyDescent="0.25">
      <x:c r="H2062" s="6"/>
      <x:c r="S2062"/>
    </x:row>
    <x:row r="2063" spans="8:19" ht="18" customHeight="1" x14ac:dyDescent="0.25">
      <x:c r="H2063" s="6"/>
      <x:c r="S2063"/>
    </x:row>
    <x:row r="2064" spans="8:19" ht="18" customHeight="1" x14ac:dyDescent="0.25">
      <x:c r="H2064" s="6"/>
      <x:c r="S2064"/>
    </x:row>
    <x:row r="2065" spans="8:19" ht="18" customHeight="1" x14ac:dyDescent="0.25">
      <x:c r="H2065" s="6"/>
      <x:c r="S2065"/>
    </x:row>
    <x:row r="2066" spans="8:19" ht="18" customHeight="1" x14ac:dyDescent="0.25">
      <x:c r="H2066" s="6"/>
      <x:c r="S2066"/>
    </x:row>
    <x:row r="2067" spans="8:19" ht="18" customHeight="1" x14ac:dyDescent="0.25">
      <x:c r="H2067" s="6"/>
      <x:c r="S2067"/>
    </x:row>
    <x:row r="2068" spans="8:19" ht="18" customHeight="1" x14ac:dyDescent="0.25">
      <x:c r="H2068" s="6"/>
      <x:c r="S2068"/>
    </x:row>
    <x:row r="2069" spans="8:19" ht="18" customHeight="1" x14ac:dyDescent="0.25">
      <x:c r="H2069" s="6"/>
      <x:c r="S2069"/>
    </x:row>
    <x:row r="2070" spans="8:19" ht="18" customHeight="1" x14ac:dyDescent="0.25">
      <x:c r="H2070" s="6"/>
      <x:c r="S2070"/>
    </x:row>
    <x:row r="2071" spans="8:19" ht="18" customHeight="1" x14ac:dyDescent="0.25">
      <x:c r="H2071" s="6"/>
      <x:c r="S2071"/>
    </x:row>
    <x:row r="2072" spans="8:19" ht="18" customHeight="1" x14ac:dyDescent="0.25">
      <x:c r="H2072" s="6"/>
      <x:c r="S2072"/>
    </x:row>
    <x:row r="2073" spans="8:19" ht="18" customHeight="1" x14ac:dyDescent="0.25">
      <x:c r="H2073" s="6"/>
      <x:c r="S2073"/>
    </x:row>
    <x:row r="2074" spans="8:19" ht="18" customHeight="1" x14ac:dyDescent="0.25">
      <x:c r="H2074" s="6"/>
      <x:c r="S2074"/>
    </x:row>
    <x:row r="2075" spans="8:19" ht="18" customHeight="1" x14ac:dyDescent="0.25">
      <x:c r="H2075" s="6"/>
      <x:c r="S2075"/>
    </x:row>
    <x:row r="2076" spans="8:19" ht="18" customHeight="1" x14ac:dyDescent="0.25">
      <x:c r="H2076" s="6"/>
      <x:c r="S2076"/>
    </x:row>
    <x:row r="2077" spans="8:19" ht="18" customHeight="1" x14ac:dyDescent="0.25">
      <x:c r="H2077" s="6"/>
      <x:c r="S2077"/>
    </x:row>
    <x:row r="2078" spans="8:19" ht="18" customHeight="1" x14ac:dyDescent="0.25">
      <x:c r="H2078" s="6"/>
      <x:c r="S2078"/>
    </x:row>
    <x:row r="2079" spans="8:19" ht="18" customHeight="1" x14ac:dyDescent="0.25">
      <x:c r="H2079" s="6"/>
      <x:c r="S2079"/>
    </x:row>
    <x:row r="2080" spans="8:19" ht="18" customHeight="1" x14ac:dyDescent="0.25">
      <x:c r="H2080" s="6"/>
      <x:c r="S2080"/>
    </x:row>
    <x:row r="2081" spans="8:19" ht="18" customHeight="1" x14ac:dyDescent="0.25">
      <x:c r="H2081" s="6"/>
      <x:c r="S2081"/>
    </x:row>
    <x:row r="2082" spans="8:19" ht="18" customHeight="1" x14ac:dyDescent="0.25">
      <x:c r="H2082" s="6"/>
      <x:c r="S2082"/>
    </x:row>
    <x:row r="2083" spans="8:19" ht="18" customHeight="1" x14ac:dyDescent="0.25">
      <x:c r="H2083" s="6"/>
      <x:c r="S2083"/>
    </x:row>
    <x:row r="2084" spans="8:19" ht="18" customHeight="1" x14ac:dyDescent="0.25">
      <x:c r="H2084" s="6"/>
      <x:c r="S2084"/>
    </x:row>
    <x:row r="2085" spans="8:19" ht="18" customHeight="1" x14ac:dyDescent="0.25">
      <x:c r="H2085" s="6"/>
      <x:c r="S2085"/>
    </x:row>
    <x:row r="2086" spans="8:19" ht="18" customHeight="1" x14ac:dyDescent="0.25">
      <x:c r="H2086" s="6"/>
      <x:c r="S2086"/>
    </x:row>
    <x:row r="2087" spans="8:19" ht="18" customHeight="1" x14ac:dyDescent="0.25">
      <x:c r="H2087" s="6"/>
      <x:c r="S2087"/>
    </x:row>
    <x:row r="2088" spans="8:19" ht="18" customHeight="1" x14ac:dyDescent="0.25">
      <x:c r="H2088" s="6"/>
      <x:c r="S2088"/>
    </x:row>
    <x:row r="2089" spans="8:19" ht="18" customHeight="1" x14ac:dyDescent="0.25">
      <x:c r="H2089" s="6"/>
      <x:c r="S2089"/>
    </x:row>
    <x:row r="2090" spans="8:19" ht="18" customHeight="1" x14ac:dyDescent="0.25">
      <x:c r="H2090" s="6"/>
      <x:c r="S2090"/>
    </x:row>
    <x:row r="2091" spans="8:19" ht="18" customHeight="1" x14ac:dyDescent="0.25">
      <x:c r="H2091" s="6"/>
      <x:c r="S2091"/>
    </x:row>
    <x:row r="2092" spans="8:19" ht="18" customHeight="1" x14ac:dyDescent="0.25">
      <x:c r="H2092" s="6"/>
      <x:c r="S2092"/>
    </x:row>
    <x:row r="2093" spans="8:19" ht="18" customHeight="1" x14ac:dyDescent="0.25">
      <x:c r="H2093" s="6"/>
      <x:c r="S2093"/>
    </x:row>
    <x:row r="2094" spans="8:19" ht="18" customHeight="1" x14ac:dyDescent="0.25">
      <x:c r="H2094" s="6"/>
      <x:c r="S2094"/>
    </x:row>
    <x:row r="2095" spans="8:19" ht="18" customHeight="1" x14ac:dyDescent="0.25">
      <x:c r="H2095" s="6"/>
      <x:c r="S2095"/>
    </x:row>
    <x:row r="2096" spans="8:19" ht="18" customHeight="1" x14ac:dyDescent="0.25">
      <x:c r="H2096" s="6"/>
      <x:c r="S2096"/>
    </x:row>
    <x:row r="2097" spans="8:19" ht="18" customHeight="1" x14ac:dyDescent="0.25">
      <x:c r="H2097" s="6"/>
      <x:c r="S2097"/>
    </x:row>
    <x:row r="2098" spans="8:19" ht="18" customHeight="1" x14ac:dyDescent="0.25">
      <x:c r="H2098" s="6"/>
      <x:c r="S2098"/>
    </x:row>
    <x:row r="2099" spans="8:19" ht="18" customHeight="1" x14ac:dyDescent="0.25">
      <x:c r="H2099" s="6"/>
      <x:c r="S2099"/>
    </x:row>
    <x:row r="2100" spans="8:19" ht="18" customHeight="1" x14ac:dyDescent="0.25">
      <x:c r="H2100" s="6"/>
      <x:c r="S2100"/>
    </x:row>
    <x:row r="2101" spans="8:19" ht="18" customHeight="1" x14ac:dyDescent="0.25">
      <x:c r="H2101" s="6"/>
      <x:c r="S2101"/>
    </x:row>
    <x:row r="2102" spans="8:19" ht="18" customHeight="1" x14ac:dyDescent="0.25">
      <x:c r="H2102" s="6"/>
      <x:c r="S2102"/>
    </x:row>
    <x:row r="2103" spans="8:19" ht="18" customHeight="1" x14ac:dyDescent="0.25">
      <x:c r="H2103" s="6"/>
      <x:c r="S2103"/>
    </x:row>
    <x:row r="2104" spans="8:19" ht="18" customHeight="1" x14ac:dyDescent="0.25">
      <x:c r="H2104" s="6"/>
      <x:c r="S2104"/>
    </x:row>
    <x:row r="2105" spans="8:19" ht="18" customHeight="1" x14ac:dyDescent="0.25">
      <x:c r="H2105" s="6"/>
      <x:c r="S2105"/>
    </x:row>
    <x:row r="2106" spans="8:19" ht="18" customHeight="1" x14ac:dyDescent="0.25">
      <x:c r="H2106" s="6"/>
      <x:c r="S2106"/>
    </x:row>
    <x:row r="2107" spans="8:19" ht="18" customHeight="1" x14ac:dyDescent="0.25">
      <x:c r="H2107" s="6"/>
      <x:c r="S2107"/>
    </x:row>
    <x:row r="2108" spans="8:19" ht="18" customHeight="1" x14ac:dyDescent="0.25">
      <x:c r="H2108" s="6"/>
      <x:c r="S2108"/>
    </x:row>
    <x:row r="2109" spans="8:19" ht="18" customHeight="1" x14ac:dyDescent="0.25">
      <x:c r="H2109" s="6"/>
      <x:c r="S2109"/>
    </x:row>
    <x:row r="2110" spans="8:19" ht="18" customHeight="1" x14ac:dyDescent="0.25">
      <x:c r="H2110" s="6"/>
      <x:c r="S2110"/>
    </x:row>
    <x:row r="2111" spans="8:19" ht="18" customHeight="1" x14ac:dyDescent="0.25">
      <x:c r="H2111" s="6"/>
      <x:c r="S2111"/>
    </x:row>
    <x:row r="2112" spans="8:19" ht="18" customHeight="1" x14ac:dyDescent="0.25">
      <x:c r="H2112" s="6"/>
      <x:c r="S2112"/>
    </x:row>
    <x:row r="2113" spans="8:19" ht="18" customHeight="1" x14ac:dyDescent="0.25">
      <x:c r="H2113" s="6"/>
      <x:c r="S2113"/>
    </x:row>
    <x:row r="2114" spans="8:19" ht="18" customHeight="1" x14ac:dyDescent="0.25">
      <x:c r="H2114" s="6"/>
      <x:c r="S2114"/>
    </x:row>
    <x:row r="2115" spans="8:19" ht="18" customHeight="1" x14ac:dyDescent="0.25">
      <x:c r="H2115" s="6"/>
      <x:c r="S2115"/>
    </x:row>
    <x:row r="2116" spans="8:19" ht="18" customHeight="1" x14ac:dyDescent="0.25">
      <x:c r="H2116" s="6"/>
      <x:c r="S2116"/>
    </x:row>
    <x:row r="2117" spans="8:19" ht="18" customHeight="1" x14ac:dyDescent="0.25">
      <x:c r="H2117" s="6"/>
      <x:c r="S2117"/>
    </x:row>
    <x:row r="2118" spans="8:19" ht="18" customHeight="1" x14ac:dyDescent="0.25">
      <x:c r="H2118" s="6"/>
      <x:c r="S2118"/>
    </x:row>
    <x:row r="2119" spans="8:19" ht="18" customHeight="1" x14ac:dyDescent="0.25">
      <x:c r="H2119" s="6"/>
      <x:c r="S2119"/>
    </x:row>
    <x:row r="2120" spans="8:19" ht="18" customHeight="1" x14ac:dyDescent="0.25">
      <x:c r="H2120" s="6"/>
      <x:c r="S2120"/>
    </x:row>
    <x:row r="2121" spans="8:19" ht="18" customHeight="1" x14ac:dyDescent="0.25">
      <x:c r="H2121" s="6"/>
      <x:c r="S2121"/>
    </x:row>
    <x:row r="2122" spans="8:19" ht="18" customHeight="1" x14ac:dyDescent="0.25">
      <x:c r="H2122" s="6"/>
      <x:c r="S2122"/>
    </x:row>
    <x:row r="2123" spans="8:19" ht="18" customHeight="1" x14ac:dyDescent="0.25">
      <x:c r="H2123" s="6"/>
      <x:c r="S2123"/>
    </x:row>
    <x:row r="2124" spans="8:19" ht="18" customHeight="1" x14ac:dyDescent="0.25">
      <x:c r="H2124" s="6"/>
      <x:c r="S2124"/>
    </x:row>
    <x:row r="2125" spans="8:19" ht="18" customHeight="1" x14ac:dyDescent="0.25">
      <x:c r="H2125" s="6"/>
      <x:c r="S2125"/>
    </x:row>
    <x:row r="2126" spans="8:19" ht="18" customHeight="1" x14ac:dyDescent="0.25">
      <x:c r="H2126" s="6"/>
      <x:c r="S2126"/>
    </x:row>
    <x:row r="2127" spans="8:19" ht="18" customHeight="1" x14ac:dyDescent="0.25">
      <x:c r="H2127" s="6"/>
      <x:c r="S2127"/>
    </x:row>
    <x:row r="2128" spans="8:19" ht="18" customHeight="1" x14ac:dyDescent="0.25">
      <x:c r="H2128" s="6"/>
      <x:c r="S2128"/>
    </x:row>
    <x:row r="2129" spans="8:19" ht="18" customHeight="1" x14ac:dyDescent="0.25">
      <x:c r="H2129" s="6"/>
      <x:c r="S2129"/>
    </x:row>
    <x:row r="2130" spans="8:19" ht="18" customHeight="1" x14ac:dyDescent="0.25">
      <x:c r="H2130" s="6"/>
      <x:c r="S2130"/>
    </x:row>
    <x:row r="2131" spans="8:19" ht="18" customHeight="1" x14ac:dyDescent="0.25">
      <x:c r="H2131" s="6"/>
      <x:c r="S2131"/>
    </x:row>
    <x:row r="2132" spans="8:19" ht="18" customHeight="1" x14ac:dyDescent="0.25">
      <x:c r="H2132" s="6"/>
      <x:c r="S2132"/>
    </x:row>
    <x:row r="2133" spans="8:19" ht="18" customHeight="1" x14ac:dyDescent="0.25">
      <x:c r="H2133" s="6"/>
      <x:c r="S2133"/>
    </x:row>
    <x:row r="2134" spans="8:19" ht="18" customHeight="1" x14ac:dyDescent="0.25">
      <x:c r="H2134" s="6"/>
      <x:c r="S2134"/>
    </x:row>
    <x:row r="2135" spans="8:19" ht="18" customHeight="1" x14ac:dyDescent="0.25">
      <x:c r="H2135" s="6"/>
      <x:c r="S2135"/>
    </x:row>
    <x:row r="2136" spans="8:19" ht="18" customHeight="1" x14ac:dyDescent="0.25">
      <x:c r="H2136" s="6"/>
      <x:c r="S2136"/>
    </x:row>
    <x:row r="2137" spans="8:19" ht="18" customHeight="1" x14ac:dyDescent="0.25">
      <x:c r="H2137" s="6"/>
      <x:c r="S2137"/>
    </x:row>
    <x:row r="2138" spans="8:19" ht="18" customHeight="1" x14ac:dyDescent="0.25">
      <x:c r="H2138" s="6"/>
      <x:c r="S2138"/>
    </x:row>
    <x:row r="2139" spans="8:19" ht="18" customHeight="1" x14ac:dyDescent="0.25">
      <x:c r="H2139" s="6"/>
      <x:c r="S2139"/>
    </x:row>
    <x:row r="2140" spans="8:19" ht="18" customHeight="1" x14ac:dyDescent="0.25">
      <x:c r="H2140" s="6"/>
      <x:c r="S2140"/>
    </x:row>
    <x:row r="2141" spans="8:19" ht="18" customHeight="1" x14ac:dyDescent="0.25">
      <x:c r="H2141" s="6"/>
      <x:c r="S2141"/>
    </x:row>
    <x:row r="2142" spans="8:19" ht="18" customHeight="1" x14ac:dyDescent="0.25">
      <x:c r="H2142" s="6"/>
      <x:c r="S2142"/>
    </x:row>
    <x:row r="2143" spans="8:19" ht="18" customHeight="1" x14ac:dyDescent="0.25">
      <x:c r="H2143" s="6"/>
      <x:c r="S2143"/>
    </x:row>
    <x:row r="2144" spans="8:19" ht="18" customHeight="1" x14ac:dyDescent="0.25">
      <x:c r="H2144" s="6"/>
      <x:c r="S2144"/>
    </x:row>
    <x:row r="2145" spans="8:19" ht="18" customHeight="1" x14ac:dyDescent="0.25">
      <x:c r="H2145" s="6"/>
      <x:c r="S2145"/>
    </x:row>
    <x:row r="2146" spans="8:19" ht="18" customHeight="1" x14ac:dyDescent="0.25">
      <x:c r="H2146" s="6"/>
      <x:c r="S2146"/>
    </x:row>
    <x:row r="2147" spans="8:19" ht="18" customHeight="1" x14ac:dyDescent="0.25">
      <x:c r="H2147" s="6"/>
      <x:c r="S2147"/>
    </x:row>
    <x:row r="2148" spans="8:19" ht="18" customHeight="1" x14ac:dyDescent="0.25">
      <x:c r="H2148" s="6"/>
      <x:c r="S2148"/>
    </x:row>
    <x:row r="2149" spans="8:19" ht="18" customHeight="1" x14ac:dyDescent="0.25">
      <x:c r="H2149" s="6"/>
      <x:c r="S2149"/>
    </x:row>
    <x:row r="2150" spans="8:19" ht="18" customHeight="1" x14ac:dyDescent="0.25">
      <x:c r="H2150" s="6"/>
      <x:c r="S2150"/>
    </x:row>
    <x:row r="2151" spans="8:19" ht="18" customHeight="1" x14ac:dyDescent="0.25">
      <x:c r="H2151" s="6"/>
      <x:c r="S2151"/>
    </x:row>
    <x:row r="2152" spans="8:19" ht="18" customHeight="1" x14ac:dyDescent="0.25">
      <x:c r="H2152" s="6"/>
      <x:c r="S2152"/>
    </x:row>
    <x:row r="2153" spans="8:19" ht="18" customHeight="1" x14ac:dyDescent="0.25">
      <x:c r="H2153" s="6"/>
      <x:c r="S2153"/>
    </x:row>
    <x:row r="2154" spans="8:19" ht="18" customHeight="1" x14ac:dyDescent="0.25">
      <x:c r="H2154" s="6"/>
      <x:c r="S2154"/>
    </x:row>
    <x:row r="2155" spans="8:19" ht="18" customHeight="1" x14ac:dyDescent="0.25">
      <x:c r="H2155" s="6"/>
      <x:c r="S2155"/>
    </x:row>
    <x:row r="2156" spans="8:19" ht="18" customHeight="1" x14ac:dyDescent="0.25">
      <x:c r="H2156" s="6"/>
      <x:c r="S2156"/>
    </x:row>
    <x:row r="2157" spans="8:19" ht="18" customHeight="1" x14ac:dyDescent="0.25">
      <x:c r="H2157" s="6"/>
      <x:c r="S2157"/>
    </x:row>
    <x:row r="2158" spans="8:19" ht="18" customHeight="1" x14ac:dyDescent="0.25">
      <x:c r="H2158" s="6"/>
      <x:c r="S2158"/>
    </x:row>
    <x:row r="2159" spans="8:19" ht="18" customHeight="1" x14ac:dyDescent="0.25">
      <x:c r="H2159" s="6"/>
      <x:c r="S2159"/>
    </x:row>
    <x:row r="2160" spans="8:19" ht="18" customHeight="1" x14ac:dyDescent="0.25">
      <x:c r="H2160" s="6"/>
      <x:c r="S2160"/>
    </x:row>
    <x:row r="2161" spans="8:19" ht="18" customHeight="1" x14ac:dyDescent="0.25">
      <x:c r="H2161" s="6"/>
      <x:c r="S2161"/>
    </x:row>
    <x:row r="2162" spans="8:19" ht="18" customHeight="1" x14ac:dyDescent="0.25">
      <x:c r="H2162" s="6"/>
      <x:c r="S2162"/>
    </x:row>
    <x:row r="2163" spans="8:19" ht="18" customHeight="1" x14ac:dyDescent="0.25">
      <x:c r="H2163" s="6"/>
      <x:c r="S2163"/>
    </x:row>
    <x:row r="2164" spans="8:19" ht="18" customHeight="1" x14ac:dyDescent="0.25">
      <x:c r="H2164" s="6"/>
      <x:c r="S2164"/>
    </x:row>
    <x:row r="2165" spans="8:19" ht="18" customHeight="1" x14ac:dyDescent="0.25">
      <x:c r="H2165" s="6"/>
      <x:c r="S2165"/>
    </x:row>
    <x:row r="2166" spans="8:19" ht="18" customHeight="1" x14ac:dyDescent="0.25">
      <x:c r="H2166" s="6"/>
      <x:c r="S2166"/>
    </x:row>
    <x:row r="2167" spans="8:19" ht="18" customHeight="1" x14ac:dyDescent="0.25">
      <x:c r="H2167" s="6"/>
      <x:c r="S2167"/>
    </x:row>
    <x:row r="2168" spans="8:19" ht="18" customHeight="1" x14ac:dyDescent="0.25">
      <x:c r="H2168" s="6"/>
      <x:c r="S2168"/>
    </x:row>
    <x:row r="2169" spans="8:19" ht="18" customHeight="1" x14ac:dyDescent="0.25">
      <x:c r="H2169" s="6"/>
      <x:c r="S2169"/>
    </x:row>
    <x:row r="2170" spans="8:19" ht="18" customHeight="1" x14ac:dyDescent="0.25">
      <x:c r="H2170" s="6"/>
      <x:c r="S2170"/>
    </x:row>
    <x:row r="2171" spans="8:19" ht="18" customHeight="1" x14ac:dyDescent="0.25">
      <x:c r="H2171" s="6"/>
      <x:c r="S2171"/>
    </x:row>
    <x:row r="2172" spans="8:19" ht="18" customHeight="1" x14ac:dyDescent="0.25">
      <x:c r="H2172" s="6"/>
      <x:c r="S2172"/>
    </x:row>
    <x:row r="2173" spans="8:19" ht="18" customHeight="1" x14ac:dyDescent="0.25">
      <x:c r="H2173" s="6"/>
      <x:c r="S2173"/>
    </x:row>
    <x:row r="2174" spans="8:19" ht="18" customHeight="1" x14ac:dyDescent="0.25">
      <x:c r="H2174" s="6"/>
      <x:c r="S2174"/>
    </x:row>
    <x:row r="2175" spans="8:19" ht="18" customHeight="1" x14ac:dyDescent="0.25">
      <x:c r="H2175" s="6"/>
      <x:c r="S2175"/>
    </x:row>
    <x:row r="2176" spans="8:19" ht="18" customHeight="1" x14ac:dyDescent="0.25">
      <x:c r="H2176" s="6"/>
      <x:c r="S2176"/>
    </x:row>
    <x:row r="2177" spans="8:19" ht="18" customHeight="1" x14ac:dyDescent="0.25">
      <x:c r="H2177" s="6"/>
      <x:c r="S2177"/>
    </x:row>
    <x:row r="2178" spans="8:19" ht="18" customHeight="1" x14ac:dyDescent="0.25">
      <x:c r="H2178" s="6"/>
      <x:c r="S2178"/>
    </x:row>
    <x:row r="2179" spans="8:19" ht="18" customHeight="1" x14ac:dyDescent="0.25">
      <x:c r="H2179" s="6"/>
      <x:c r="S2179"/>
    </x:row>
    <x:row r="2180" spans="8:19" ht="18" customHeight="1" x14ac:dyDescent="0.25">
      <x:c r="H2180" s="6"/>
      <x:c r="S2180"/>
    </x:row>
    <x:row r="2181" spans="8:19" ht="18" customHeight="1" x14ac:dyDescent="0.25">
      <x:c r="H2181" s="6"/>
      <x:c r="S2181"/>
    </x:row>
    <x:row r="2182" spans="8:19" ht="18" customHeight="1" x14ac:dyDescent="0.25">
      <x:c r="H2182" s="6"/>
      <x:c r="S2182"/>
    </x:row>
    <x:row r="2183" spans="8:19" ht="18" customHeight="1" x14ac:dyDescent="0.25">
      <x:c r="H2183" s="6"/>
      <x:c r="S2183"/>
    </x:row>
    <x:row r="2184" spans="8:19" ht="18" customHeight="1" x14ac:dyDescent="0.25">
      <x:c r="H2184" s="6"/>
      <x:c r="S2184"/>
    </x:row>
    <x:row r="2185" spans="8:19" ht="18" customHeight="1" x14ac:dyDescent="0.25">
      <x:c r="H2185" s="6"/>
      <x:c r="S2185"/>
    </x:row>
    <x:row r="2186" spans="8:19" ht="18" customHeight="1" x14ac:dyDescent="0.25">
      <x:c r="H2186" s="6"/>
      <x:c r="S2186"/>
    </x:row>
    <x:row r="2187" spans="8:19" ht="18" customHeight="1" x14ac:dyDescent="0.25">
      <x:c r="H2187" s="6"/>
      <x:c r="S2187"/>
    </x:row>
    <x:row r="2188" spans="8:19" ht="18" customHeight="1" x14ac:dyDescent="0.25">
      <x:c r="H2188" s="6"/>
      <x:c r="S2188"/>
    </x:row>
    <x:row r="2189" spans="8:19" ht="18" customHeight="1" x14ac:dyDescent="0.25">
      <x:c r="H2189" s="6"/>
      <x:c r="S2189"/>
    </x:row>
    <x:row r="2190" spans="8:19" ht="18" customHeight="1" x14ac:dyDescent="0.25">
      <x:c r="H2190" s="6"/>
      <x:c r="S2190"/>
    </x:row>
    <x:row r="2191" spans="8:19" ht="18" customHeight="1" x14ac:dyDescent="0.25">
      <x:c r="H2191" s="6"/>
      <x:c r="S2191"/>
    </x:row>
    <x:row r="2192" spans="8:19" ht="18" customHeight="1" x14ac:dyDescent="0.25">
      <x:c r="H2192" s="6"/>
      <x:c r="S2192"/>
    </x:row>
    <x:row r="2193" spans="8:19" ht="18" customHeight="1" x14ac:dyDescent="0.25">
      <x:c r="H2193" s="6"/>
      <x:c r="S2193"/>
    </x:row>
    <x:row r="2194" spans="8:19" ht="18" customHeight="1" x14ac:dyDescent="0.25">
      <x:c r="H2194" s="6"/>
      <x:c r="S2194"/>
    </x:row>
    <x:row r="2195" spans="8:19" ht="18" customHeight="1" x14ac:dyDescent="0.25">
      <x:c r="H2195" s="6"/>
      <x:c r="S2195"/>
    </x:row>
    <x:row r="2196" spans="8:19" ht="18" customHeight="1" x14ac:dyDescent="0.25">
      <x:c r="H2196" s="6"/>
      <x:c r="S2196"/>
    </x:row>
    <x:row r="2197" spans="8:19" ht="18" customHeight="1" x14ac:dyDescent="0.25">
      <x:c r="H2197" s="6"/>
      <x:c r="S2197"/>
    </x:row>
    <x:row r="2198" spans="8:19" ht="18" customHeight="1" x14ac:dyDescent="0.25">
      <x:c r="H2198" s="6"/>
      <x:c r="S2198"/>
    </x:row>
    <x:row r="2199" spans="8:19" ht="18" customHeight="1" x14ac:dyDescent="0.25">
      <x:c r="H2199" s="6"/>
      <x:c r="S2199"/>
    </x:row>
    <x:row r="2200" spans="8:19" ht="18" customHeight="1" x14ac:dyDescent="0.25">
      <x:c r="H2200" s="6"/>
      <x:c r="S2200"/>
    </x:row>
    <x:row r="2201" spans="8:19" ht="18" customHeight="1" x14ac:dyDescent="0.25">
      <x:c r="H2201" s="6"/>
      <x:c r="S2201"/>
    </x:row>
    <x:row r="2202" spans="8:19" ht="18" customHeight="1" x14ac:dyDescent="0.25">
      <x:c r="H2202" s="6"/>
      <x:c r="S2202"/>
    </x:row>
    <x:row r="2203" spans="8:19" ht="18" customHeight="1" x14ac:dyDescent="0.25">
      <x:c r="H2203" s="6"/>
      <x:c r="S2203"/>
    </x:row>
    <x:row r="2204" spans="8:19" ht="18" customHeight="1" x14ac:dyDescent="0.25">
      <x:c r="H2204" s="6"/>
      <x:c r="S2204"/>
    </x:row>
    <x:row r="2205" spans="8:19" ht="18" customHeight="1" x14ac:dyDescent="0.25">
      <x:c r="H2205" s="6"/>
      <x:c r="S2205"/>
    </x:row>
    <x:row r="2206" spans="8:19" ht="18" customHeight="1" x14ac:dyDescent="0.25">
      <x:c r="H2206" s="6"/>
      <x:c r="S2206"/>
    </x:row>
    <x:row r="2207" spans="8:19" ht="18" customHeight="1" x14ac:dyDescent="0.25">
      <x:c r="H2207" s="6"/>
      <x:c r="S2207"/>
    </x:row>
    <x:row r="2208" spans="8:19" ht="18" customHeight="1" x14ac:dyDescent="0.25">
      <x:c r="H2208" s="6"/>
      <x:c r="S2208"/>
    </x:row>
    <x:row r="2209" spans="8:19" ht="18" customHeight="1" x14ac:dyDescent="0.25">
      <x:c r="H2209" s="6"/>
      <x:c r="S2209"/>
    </x:row>
    <x:row r="2210" spans="8:19" ht="18" customHeight="1" x14ac:dyDescent="0.25">
      <x:c r="H2210" s="6"/>
      <x:c r="S2210"/>
    </x:row>
    <x:row r="2211" spans="8:19" ht="18" customHeight="1" x14ac:dyDescent="0.25">
      <x:c r="H2211" s="6"/>
      <x:c r="S2211"/>
    </x:row>
    <x:row r="2212" spans="8:19" ht="18" customHeight="1" x14ac:dyDescent="0.25">
      <x:c r="H2212" s="6"/>
      <x:c r="S2212"/>
    </x:row>
    <x:row r="2213" spans="8:19" ht="18" customHeight="1" x14ac:dyDescent="0.25">
      <x:c r="H2213" s="6"/>
      <x:c r="S2213"/>
    </x:row>
    <x:row r="2214" spans="8:19" ht="18" customHeight="1" x14ac:dyDescent="0.25">
      <x:c r="H2214" s="6"/>
      <x:c r="S2214"/>
    </x:row>
    <x:row r="2215" spans="8:19" ht="18" customHeight="1" x14ac:dyDescent="0.25">
      <x:c r="H2215" s="6"/>
      <x:c r="S2215"/>
    </x:row>
    <x:row r="2216" spans="8:19" ht="18" customHeight="1" x14ac:dyDescent="0.25">
      <x:c r="H2216" s="6"/>
      <x:c r="S2216"/>
    </x:row>
    <x:row r="2217" spans="8:19" ht="18" customHeight="1" x14ac:dyDescent="0.25">
      <x:c r="H2217" s="6"/>
      <x:c r="S2217"/>
    </x:row>
    <x:row r="2218" spans="8:19" ht="18" customHeight="1" x14ac:dyDescent="0.25">
      <x:c r="H2218" s="6"/>
      <x:c r="S2218"/>
    </x:row>
    <x:row r="2219" spans="8:19" ht="18" customHeight="1" x14ac:dyDescent="0.25">
      <x:c r="H2219" s="6"/>
      <x:c r="S2219"/>
    </x:row>
    <x:row r="2220" spans="8:19" ht="18" customHeight="1" x14ac:dyDescent="0.25">
      <x:c r="H2220" s="6"/>
      <x:c r="S2220"/>
    </x:row>
    <x:row r="2221" spans="8:19" ht="18" customHeight="1" x14ac:dyDescent="0.25">
      <x:c r="H2221" s="6"/>
      <x:c r="S2221"/>
    </x:row>
    <x:row r="2222" spans="8:19" ht="18" customHeight="1" x14ac:dyDescent="0.25">
      <x:c r="H2222" s="6"/>
      <x:c r="S2222"/>
    </x:row>
    <x:row r="2223" spans="8:19" ht="18" customHeight="1" x14ac:dyDescent="0.25">
      <x:c r="H2223" s="6"/>
      <x:c r="S2223"/>
    </x:row>
    <x:row r="2224" spans="8:19" ht="18" customHeight="1" x14ac:dyDescent="0.25">
      <x:c r="H2224" s="6"/>
      <x:c r="S2224"/>
    </x:row>
    <x:row r="2225" spans="8:19" ht="18" customHeight="1" x14ac:dyDescent="0.25">
      <x:c r="H2225" s="6"/>
      <x:c r="S2225"/>
    </x:row>
    <x:row r="2226" spans="8:19" ht="18" customHeight="1" x14ac:dyDescent="0.25">
      <x:c r="H2226" s="6"/>
      <x:c r="S2226"/>
    </x:row>
    <x:row r="2227" spans="8:19" ht="18" customHeight="1" x14ac:dyDescent="0.25">
      <x:c r="H2227" s="6"/>
      <x:c r="S2227"/>
    </x:row>
    <x:row r="2228" spans="8:19" ht="18" customHeight="1" x14ac:dyDescent="0.25">
      <x:c r="H2228" s="6"/>
      <x:c r="S2228"/>
    </x:row>
    <x:row r="2229" spans="8:19" ht="18" customHeight="1" x14ac:dyDescent="0.25">
      <x:c r="H2229" s="6"/>
      <x:c r="S2229"/>
    </x:row>
    <x:row r="2230" spans="8:19" ht="18" customHeight="1" x14ac:dyDescent="0.25">
      <x:c r="H2230" s="6"/>
      <x:c r="S2230"/>
    </x:row>
    <x:row r="2231" spans="8:19" ht="18" customHeight="1" x14ac:dyDescent="0.25">
      <x:c r="H2231" s="6"/>
      <x:c r="S2231"/>
    </x:row>
    <x:row r="2232" spans="8:19" ht="18" customHeight="1" x14ac:dyDescent="0.25">
      <x:c r="H2232" s="6"/>
      <x:c r="S2232"/>
    </x:row>
    <x:row r="2233" spans="8:19" ht="18" customHeight="1" x14ac:dyDescent="0.25">
      <x:c r="H2233" s="6"/>
      <x:c r="S2233"/>
    </x:row>
    <x:row r="2234" spans="8:19" ht="18" customHeight="1" x14ac:dyDescent="0.25">
      <x:c r="H2234" s="6"/>
      <x:c r="S2234"/>
    </x:row>
    <x:row r="2235" spans="8:19" ht="18" customHeight="1" x14ac:dyDescent="0.25">
      <x:c r="H2235" s="6"/>
      <x:c r="S2235"/>
    </x:row>
    <x:row r="2236" spans="8:19" ht="18" customHeight="1" x14ac:dyDescent="0.25">
      <x:c r="H2236" s="6"/>
      <x:c r="S2236"/>
    </x:row>
    <x:row r="2237" spans="8:19" ht="18" customHeight="1" x14ac:dyDescent="0.25">
      <x:c r="H2237" s="6"/>
      <x:c r="S2237"/>
    </x:row>
    <x:row r="2238" spans="8:19" ht="18" customHeight="1" x14ac:dyDescent="0.25">
      <x:c r="H2238" s="6"/>
      <x:c r="S2238"/>
    </x:row>
    <x:row r="2239" spans="8:19" ht="18" customHeight="1" x14ac:dyDescent="0.25">
      <x:c r="H2239" s="6"/>
      <x:c r="S2239"/>
    </x:row>
    <x:row r="2240" spans="8:19" ht="18" customHeight="1" x14ac:dyDescent="0.25">
      <x:c r="H2240" s="6"/>
      <x:c r="S2240"/>
    </x:row>
    <x:row r="2241" spans="8:19" ht="18" customHeight="1" x14ac:dyDescent="0.25">
      <x:c r="H2241" s="6"/>
      <x:c r="S2241"/>
    </x:row>
    <x:row r="2242" spans="8:19" ht="18" customHeight="1" x14ac:dyDescent="0.25">
      <x:c r="H2242" s="6"/>
      <x:c r="S2242"/>
    </x:row>
    <x:row r="2243" spans="8:19" ht="18" customHeight="1" x14ac:dyDescent="0.25">
      <x:c r="H2243" s="6"/>
      <x:c r="S2243"/>
    </x:row>
    <x:row r="2244" spans="8:19" ht="18" customHeight="1" x14ac:dyDescent="0.25">
      <x:c r="H2244" s="6"/>
      <x:c r="S2244"/>
    </x:row>
    <x:row r="2245" spans="8:19" ht="18" customHeight="1" x14ac:dyDescent="0.25">
      <x:c r="H2245" s="6"/>
      <x:c r="S2245"/>
    </x:row>
    <x:row r="2246" spans="8:19" ht="18" customHeight="1" x14ac:dyDescent="0.25">
      <x:c r="H2246" s="6"/>
      <x:c r="S2246"/>
    </x:row>
    <x:row r="2247" spans="8:19" ht="18" customHeight="1" x14ac:dyDescent="0.25">
      <x:c r="H2247" s="6"/>
      <x:c r="S2247"/>
    </x:row>
    <x:row r="2248" spans="8:19" ht="18" customHeight="1" x14ac:dyDescent="0.25">
      <x:c r="H2248" s="6"/>
      <x:c r="S2248"/>
    </x:row>
    <x:row r="2249" spans="8:19" ht="18" customHeight="1" x14ac:dyDescent="0.25">
      <x:c r="H2249" s="6"/>
      <x:c r="S2249"/>
    </x:row>
    <x:row r="2250" spans="8:19" ht="18" customHeight="1" x14ac:dyDescent="0.25">
      <x:c r="H2250" s="6"/>
      <x:c r="S2250"/>
    </x:row>
    <x:row r="2251" spans="8:19" ht="18" customHeight="1" x14ac:dyDescent="0.25">
      <x:c r="H2251" s="6"/>
      <x:c r="S2251"/>
    </x:row>
    <x:row r="2252" spans="8:19" ht="18" customHeight="1" x14ac:dyDescent="0.25">
      <x:c r="H2252" s="6"/>
      <x:c r="S2252"/>
    </x:row>
    <x:row r="2253" spans="8:19" ht="18" customHeight="1" x14ac:dyDescent="0.25">
      <x:c r="H2253" s="6"/>
      <x:c r="S2253"/>
    </x:row>
    <x:row r="2254" spans="8:19" ht="18" customHeight="1" x14ac:dyDescent="0.25">
      <x:c r="H2254" s="6"/>
      <x:c r="S2254"/>
    </x:row>
    <x:row r="2255" spans="8:19" ht="18" customHeight="1" x14ac:dyDescent="0.25">
      <x:c r="H2255" s="6"/>
      <x:c r="S2255"/>
    </x:row>
    <x:row r="2256" spans="8:19" ht="18" customHeight="1" x14ac:dyDescent="0.25">
      <x:c r="H2256" s="6"/>
      <x:c r="S2256"/>
    </x:row>
    <x:row r="2257" spans="8:19" ht="18" customHeight="1" x14ac:dyDescent="0.25">
      <x:c r="H2257" s="6"/>
      <x:c r="S2257"/>
    </x:row>
    <x:row r="2258" spans="8:19" ht="18" customHeight="1" x14ac:dyDescent="0.25">
      <x:c r="H2258" s="6"/>
      <x:c r="S2258"/>
    </x:row>
    <x:row r="2259" spans="8:19" ht="18" customHeight="1" x14ac:dyDescent="0.25">
      <x:c r="H2259" s="6"/>
      <x:c r="S2259"/>
    </x:row>
    <x:row r="2260" spans="8:19" ht="18" customHeight="1" x14ac:dyDescent="0.25">
      <x:c r="H2260" s="6"/>
      <x:c r="S2260"/>
    </x:row>
    <x:row r="2261" spans="8:19" ht="18" customHeight="1" x14ac:dyDescent="0.25">
      <x:c r="H2261" s="6"/>
      <x:c r="S2261"/>
    </x:row>
    <x:row r="2262" spans="8:19" ht="18" customHeight="1" x14ac:dyDescent="0.25">
      <x:c r="H2262" s="6"/>
      <x:c r="S2262"/>
    </x:row>
    <x:row r="2263" spans="8:19" ht="18" customHeight="1" x14ac:dyDescent="0.25">
      <x:c r="H2263" s="6"/>
      <x:c r="S2263"/>
    </x:row>
    <x:row r="2264" spans="8:19" ht="18" customHeight="1" x14ac:dyDescent="0.25">
      <x:c r="H2264" s="6"/>
      <x:c r="S2264"/>
    </x:row>
    <x:row r="2265" spans="8:19" ht="18" customHeight="1" x14ac:dyDescent="0.25">
      <x:c r="H2265" s="6"/>
      <x:c r="S2265"/>
    </x:row>
    <x:row r="2266" spans="8:19" ht="18" customHeight="1" x14ac:dyDescent="0.25">
      <x:c r="H2266" s="6"/>
      <x:c r="S2266"/>
    </x:row>
    <x:row r="2267" spans="8:19" ht="18" customHeight="1" x14ac:dyDescent="0.25">
      <x:c r="H2267" s="6"/>
      <x:c r="S2267"/>
    </x:row>
    <x:row r="2268" spans="8:19" ht="18" customHeight="1" x14ac:dyDescent="0.25">
      <x:c r="H2268" s="6"/>
      <x:c r="S2268"/>
    </x:row>
    <x:row r="2269" spans="8:19" ht="18" customHeight="1" x14ac:dyDescent="0.25">
      <x:c r="H2269" s="6"/>
      <x:c r="S2269"/>
    </x:row>
    <x:row r="2270" spans="8:19" ht="18" customHeight="1" x14ac:dyDescent="0.25">
      <x:c r="H2270" s="6"/>
      <x:c r="S2270"/>
    </x:row>
    <x:row r="2271" spans="8:19" ht="18" customHeight="1" x14ac:dyDescent="0.25">
      <x:c r="H2271" s="6"/>
      <x:c r="S2271"/>
    </x:row>
    <x:row r="2272" spans="8:19" ht="18" customHeight="1" x14ac:dyDescent="0.25">
      <x:c r="H2272" s="6"/>
      <x:c r="S2272"/>
    </x:row>
    <x:row r="2273" spans="8:19" ht="18" customHeight="1" x14ac:dyDescent="0.25">
      <x:c r="H2273" s="6"/>
      <x:c r="S2273"/>
    </x:row>
    <x:row r="2274" spans="8:19" ht="18" customHeight="1" x14ac:dyDescent="0.25">
      <x:c r="H2274" s="6"/>
      <x:c r="S2274"/>
    </x:row>
    <x:row r="2275" spans="8:19" ht="18" customHeight="1" x14ac:dyDescent="0.25">
      <x:c r="H2275" s="6"/>
      <x:c r="S2275"/>
    </x:row>
    <x:row r="2276" spans="8:19" ht="18" customHeight="1" x14ac:dyDescent="0.25">
      <x:c r="H2276" s="6"/>
      <x:c r="S2276"/>
    </x:row>
    <x:row r="2277" spans="8:19" ht="18" customHeight="1" x14ac:dyDescent="0.25">
      <x:c r="H2277" s="6"/>
      <x:c r="S2277"/>
    </x:row>
    <x:row r="2278" spans="8:19" ht="18" customHeight="1" x14ac:dyDescent="0.25">
      <x:c r="H2278" s="6"/>
      <x:c r="S2278"/>
    </x:row>
    <x:row r="2279" spans="8:19" ht="18" customHeight="1" x14ac:dyDescent="0.25">
      <x:c r="H2279" s="6"/>
      <x:c r="S2279"/>
    </x:row>
    <x:row r="2280" spans="8:19" ht="18" customHeight="1" x14ac:dyDescent="0.25">
      <x:c r="H2280" s="6"/>
      <x:c r="S2280"/>
    </x:row>
    <x:row r="2281" spans="8:19" ht="18" customHeight="1" x14ac:dyDescent="0.25">
      <x:c r="H2281" s="6"/>
      <x:c r="S2281"/>
    </x:row>
    <x:row r="2282" spans="8:19" ht="18" customHeight="1" x14ac:dyDescent="0.25">
      <x:c r="H2282" s="6"/>
      <x:c r="S2282"/>
    </x:row>
    <x:row r="2283" spans="8:19" ht="18" customHeight="1" x14ac:dyDescent="0.25">
      <x:c r="H2283" s="6"/>
      <x:c r="S2283"/>
    </x:row>
    <x:row r="2284" spans="8:19" ht="18" customHeight="1" x14ac:dyDescent="0.25">
      <x:c r="H2284" s="6"/>
      <x:c r="S2284"/>
    </x:row>
    <x:row r="2285" spans="8:19" ht="18" customHeight="1" x14ac:dyDescent="0.25">
      <x:c r="H2285" s="6"/>
      <x:c r="S2285"/>
    </x:row>
    <x:row r="2286" spans="8:19" ht="18" customHeight="1" x14ac:dyDescent="0.25">
      <x:c r="H2286" s="6"/>
      <x:c r="S2286"/>
    </x:row>
    <x:row r="2287" spans="8:19" ht="18" customHeight="1" x14ac:dyDescent="0.25">
      <x:c r="H2287" s="6"/>
      <x:c r="S2287"/>
    </x:row>
    <x:row r="2288" spans="8:19" ht="18" customHeight="1" x14ac:dyDescent="0.25">
      <x:c r="H2288" s="6"/>
      <x:c r="S2288"/>
    </x:row>
    <x:row r="2289" spans="8:19" ht="18" customHeight="1" x14ac:dyDescent="0.25">
      <x:c r="H2289" s="6"/>
      <x:c r="S2289"/>
    </x:row>
    <x:row r="2290" spans="8:19" ht="18" customHeight="1" x14ac:dyDescent="0.25">
      <x:c r="H2290" s="6"/>
      <x:c r="S2290"/>
    </x:row>
    <x:row r="2291" spans="8:19" ht="18" customHeight="1" x14ac:dyDescent="0.25">
      <x:c r="H2291" s="6"/>
      <x:c r="S2291"/>
    </x:row>
    <x:row r="2292" spans="8:19" ht="18" customHeight="1" x14ac:dyDescent="0.25">
      <x:c r="H2292" s="6"/>
      <x:c r="S2292"/>
    </x:row>
    <x:row r="2293" spans="8:19" ht="18" customHeight="1" x14ac:dyDescent="0.25">
      <x:c r="H2293" s="6"/>
      <x:c r="S2293"/>
    </x:row>
    <x:row r="2294" spans="8:19" ht="18" customHeight="1" x14ac:dyDescent="0.25">
      <x:c r="H2294" s="6"/>
      <x:c r="S2294"/>
    </x:row>
    <x:row r="2295" spans="8:19" ht="18" customHeight="1" x14ac:dyDescent="0.25">
      <x:c r="H2295" s="6"/>
      <x:c r="S2295"/>
    </x:row>
    <x:row r="2296" spans="8:19" ht="18" customHeight="1" x14ac:dyDescent="0.25">
      <x:c r="H2296" s="6"/>
      <x:c r="S2296"/>
    </x:row>
    <x:row r="2297" spans="8:19" ht="18" customHeight="1" x14ac:dyDescent="0.25">
      <x:c r="H2297" s="6"/>
      <x:c r="S2297"/>
    </x:row>
    <x:row r="2298" spans="8:19" ht="18" customHeight="1" x14ac:dyDescent="0.25">
      <x:c r="H2298" s="6"/>
      <x:c r="S2298"/>
    </x:row>
    <x:row r="2299" spans="8:19" ht="18" customHeight="1" x14ac:dyDescent="0.25">
      <x:c r="H2299" s="6"/>
      <x:c r="S2299"/>
    </x:row>
    <x:row r="2300" spans="8:19" ht="18" customHeight="1" x14ac:dyDescent="0.25">
      <x:c r="H2300" s="6"/>
      <x:c r="S2300"/>
    </x:row>
    <x:row r="2301" spans="8:19" ht="18" customHeight="1" x14ac:dyDescent="0.25">
      <x:c r="H2301" s="6"/>
      <x:c r="S2301"/>
    </x:row>
    <x:row r="2302" spans="8:19" ht="18" customHeight="1" x14ac:dyDescent="0.25">
      <x:c r="H2302" s="6"/>
      <x:c r="S2302"/>
    </x:row>
    <x:row r="2303" spans="8:19" ht="18" customHeight="1" x14ac:dyDescent="0.25">
      <x:c r="H2303" s="6"/>
      <x:c r="S2303"/>
    </x:row>
    <x:row r="2304" spans="8:19" ht="18" customHeight="1" x14ac:dyDescent="0.25">
      <x:c r="H2304" s="6"/>
      <x:c r="S2304"/>
    </x:row>
    <x:row r="2305" spans="8:19" ht="18" customHeight="1" x14ac:dyDescent="0.25">
      <x:c r="H2305" s="6"/>
      <x:c r="S2305"/>
    </x:row>
    <x:row r="2306" spans="8:19" ht="18" customHeight="1" x14ac:dyDescent="0.25">
      <x:c r="H2306" s="6"/>
      <x:c r="S2306"/>
    </x:row>
    <x:row r="2307" spans="8:19" ht="18" customHeight="1" x14ac:dyDescent="0.25">
      <x:c r="H2307" s="6"/>
      <x:c r="S2307"/>
    </x:row>
    <x:row r="2308" spans="8:19" ht="18" customHeight="1" x14ac:dyDescent="0.25">
      <x:c r="H2308" s="6"/>
      <x:c r="S2308"/>
    </x:row>
    <x:row r="2309" spans="8:19" ht="18" customHeight="1" x14ac:dyDescent="0.25">
      <x:c r="H2309" s="6"/>
      <x:c r="S2309"/>
    </x:row>
    <x:row r="2310" spans="8:19" ht="18" customHeight="1" x14ac:dyDescent="0.25">
      <x:c r="H2310" s="6"/>
      <x:c r="S2310"/>
    </x:row>
    <x:row r="2311" spans="8:19" ht="18" customHeight="1" x14ac:dyDescent="0.25">
      <x:c r="H2311" s="6"/>
      <x:c r="S2311"/>
    </x:row>
    <x:row r="2312" spans="8:19" ht="18" customHeight="1" x14ac:dyDescent="0.25">
      <x:c r="H2312" s="6"/>
      <x:c r="S2312"/>
    </x:row>
    <x:row r="2313" spans="8:19" ht="18" customHeight="1" x14ac:dyDescent="0.25">
      <x:c r="H2313" s="6"/>
      <x:c r="S2313"/>
    </x:row>
    <x:row r="2314" spans="8:19" ht="18" customHeight="1" x14ac:dyDescent="0.25">
      <x:c r="H2314" s="6"/>
      <x:c r="S2314"/>
    </x:row>
    <x:row r="2315" spans="8:19" ht="18" customHeight="1" x14ac:dyDescent="0.25">
      <x:c r="H2315" s="6"/>
      <x:c r="S2315"/>
    </x:row>
    <x:row r="2316" spans="8:19" ht="18" customHeight="1" x14ac:dyDescent="0.25">
      <x:c r="H2316" s="6"/>
      <x:c r="S2316"/>
    </x:row>
    <x:row r="2317" spans="8:19" ht="18" customHeight="1" x14ac:dyDescent="0.25">
      <x:c r="H2317" s="6"/>
      <x:c r="S2317"/>
    </x:row>
    <x:row r="2318" spans="8:19" ht="18" customHeight="1" x14ac:dyDescent="0.25">
      <x:c r="H2318" s="6"/>
      <x:c r="S2318"/>
    </x:row>
    <x:row r="2319" spans="8:19" ht="18" customHeight="1" x14ac:dyDescent="0.25">
      <x:c r="H2319" s="6"/>
      <x:c r="S2319"/>
    </x:row>
    <x:row r="2320" spans="8:19" ht="18" customHeight="1" x14ac:dyDescent="0.25">
      <x:c r="H2320" s="6"/>
      <x:c r="S2320"/>
    </x:row>
    <x:row r="2321" spans="8:19" ht="18" customHeight="1" x14ac:dyDescent="0.25">
      <x:c r="H2321" s="6"/>
      <x:c r="S2321"/>
    </x:row>
    <x:row r="2322" spans="8:19" ht="18" customHeight="1" x14ac:dyDescent="0.25">
      <x:c r="H2322" s="6"/>
      <x:c r="S2322"/>
    </x:row>
    <x:row r="2323" spans="8:19" ht="18" customHeight="1" x14ac:dyDescent="0.25">
      <x:c r="H2323" s="6"/>
      <x:c r="S2323"/>
    </x:row>
    <x:row r="2324" spans="8:19" ht="18" customHeight="1" x14ac:dyDescent="0.25">
      <x:c r="H2324" s="6"/>
      <x:c r="S2324"/>
    </x:row>
    <x:row r="2325" spans="8:19" ht="18" customHeight="1" x14ac:dyDescent="0.25">
      <x:c r="H2325" s="6"/>
      <x:c r="S2325"/>
    </x:row>
    <x:row r="2326" spans="8:19" ht="18" customHeight="1" x14ac:dyDescent="0.25">
      <x:c r="H2326" s="6"/>
      <x:c r="S2326"/>
    </x:row>
    <x:row r="2327" spans="8:19" ht="18" customHeight="1" x14ac:dyDescent="0.25">
      <x:c r="H2327" s="6"/>
      <x:c r="S2327"/>
    </x:row>
    <x:row r="2328" spans="8:19" ht="18" customHeight="1" x14ac:dyDescent="0.25">
      <x:c r="H2328" s="6"/>
      <x:c r="S2328"/>
    </x:row>
    <x:row r="2329" spans="8:19" ht="18" customHeight="1" x14ac:dyDescent="0.25">
      <x:c r="H2329" s="6"/>
      <x:c r="S2329"/>
    </x:row>
    <x:row r="2330" spans="8:19" ht="18" customHeight="1" x14ac:dyDescent="0.25">
      <x:c r="H2330" s="6"/>
      <x:c r="S2330"/>
    </x:row>
    <x:row r="2331" spans="8:19" ht="18" customHeight="1" x14ac:dyDescent="0.25">
      <x:c r="H2331" s="6"/>
      <x:c r="S2331"/>
    </x:row>
    <x:row r="2332" spans="8:19" ht="18" customHeight="1" x14ac:dyDescent="0.25">
      <x:c r="H2332" s="6"/>
      <x:c r="S2332"/>
    </x:row>
    <x:row r="2333" spans="8:19" ht="18" customHeight="1" x14ac:dyDescent="0.25">
      <x:c r="H2333" s="6"/>
      <x:c r="S2333"/>
    </x:row>
    <x:row r="2334" spans="8:19" ht="18" customHeight="1" x14ac:dyDescent="0.25">
      <x:c r="H2334" s="6"/>
      <x:c r="S2334"/>
    </x:row>
    <x:row r="2335" spans="8:19" ht="18" customHeight="1" x14ac:dyDescent="0.25">
      <x:c r="H2335" s="6"/>
      <x:c r="S2335"/>
    </x:row>
    <x:row r="2336" spans="8:19" ht="18" customHeight="1" x14ac:dyDescent="0.25">
      <x:c r="H2336" s="6"/>
      <x:c r="S2336"/>
    </x:row>
    <x:row r="2337" spans="8:19" ht="18" customHeight="1" x14ac:dyDescent="0.25">
      <x:c r="H2337" s="6"/>
      <x:c r="S2337"/>
    </x:row>
    <x:row r="2338" spans="8:19" ht="18" customHeight="1" x14ac:dyDescent="0.25">
      <x:c r="H2338" s="6"/>
      <x:c r="S2338"/>
    </x:row>
    <x:row r="2339" spans="8:19" ht="18" customHeight="1" x14ac:dyDescent="0.25">
      <x:c r="H2339" s="6"/>
      <x:c r="S2339"/>
    </x:row>
    <x:row r="2340" spans="8:19" ht="18" customHeight="1" x14ac:dyDescent="0.25">
      <x:c r="H2340" s="6"/>
      <x:c r="S2340"/>
    </x:row>
    <x:row r="2341" spans="8:19" ht="18" customHeight="1" x14ac:dyDescent="0.25">
      <x:c r="H2341" s="6"/>
      <x:c r="S2341"/>
    </x:row>
    <x:row r="2342" spans="8:19" ht="18" customHeight="1" x14ac:dyDescent="0.25">
      <x:c r="H2342" s="6"/>
      <x:c r="S2342"/>
    </x:row>
    <x:row r="2343" spans="8:19" ht="18" customHeight="1" x14ac:dyDescent="0.25">
      <x:c r="H2343" s="6"/>
      <x:c r="S2343"/>
    </x:row>
    <x:row r="2344" spans="8:19" ht="18" customHeight="1" x14ac:dyDescent="0.25">
      <x:c r="H2344" s="6"/>
      <x:c r="S2344"/>
    </x:row>
    <x:row r="2345" spans="8:19" ht="18" customHeight="1" x14ac:dyDescent="0.25">
      <x:c r="H2345" s="6"/>
      <x:c r="S2345"/>
    </x:row>
    <x:row r="2346" spans="8:19" ht="18" customHeight="1" x14ac:dyDescent="0.25">
      <x:c r="H2346" s="6"/>
      <x:c r="S2346"/>
    </x:row>
    <x:row r="2347" spans="8:19" ht="18" customHeight="1" x14ac:dyDescent="0.25">
      <x:c r="H2347" s="6"/>
      <x:c r="S2347"/>
    </x:row>
    <x:row r="2348" spans="8:19" ht="18" customHeight="1" x14ac:dyDescent="0.25">
      <x:c r="H2348" s="6"/>
      <x:c r="S2348"/>
    </x:row>
    <x:row r="2349" spans="8:19" ht="18" customHeight="1" x14ac:dyDescent="0.25">
      <x:c r="H2349" s="6"/>
      <x:c r="S2349"/>
    </x:row>
    <x:row r="2350" spans="8:19" ht="18" customHeight="1" x14ac:dyDescent="0.25">
      <x:c r="H2350" s="6"/>
      <x:c r="S2350"/>
    </x:row>
    <x:row r="2351" spans="8:19" ht="18" customHeight="1" x14ac:dyDescent="0.25">
      <x:c r="H2351" s="6"/>
      <x:c r="S2351"/>
    </x:row>
    <x:row r="2352" spans="8:19" ht="18" customHeight="1" x14ac:dyDescent="0.25">
      <x:c r="H2352" s="6"/>
      <x:c r="S2352"/>
    </x:row>
    <x:row r="2353" spans="8:19" ht="18" customHeight="1" x14ac:dyDescent="0.25">
      <x:c r="H2353" s="6"/>
      <x:c r="S2353"/>
    </x:row>
    <x:row r="2354" spans="8:19" ht="18" customHeight="1" x14ac:dyDescent="0.25">
      <x:c r="H2354" s="6"/>
      <x:c r="S2354"/>
    </x:row>
    <x:row r="2355" spans="8:19" ht="18" customHeight="1" x14ac:dyDescent="0.25">
      <x:c r="H2355" s="6"/>
      <x:c r="S2355"/>
    </x:row>
    <x:row r="2356" spans="8:19" ht="18" customHeight="1" x14ac:dyDescent="0.25">
      <x:c r="H2356" s="6"/>
      <x:c r="S2356"/>
    </x:row>
    <x:row r="2357" spans="8:19" ht="18" customHeight="1" x14ac:dyDescent="0.25">
      <x:c r="H2357" s="6"/>
      <x:c r="S2357"/>
    </x:row>
    <x:row r="2358" spans="8:19" ht="18" customHeight="1" x14ac:dyDescent="0.25">
      <x:c r="H2358" s="6"/>
      <x:c r="S2358"/>
    </x:row>
    <x:row r="2359" spans="8:19" ht="18" customHeight="1" x14ac:dyDescent="0.25">
      <x:c r="H2359" s="6"/>
      <x:c r="S2359"/>
    </x:row>
    <x:row r="2360" spans="8:19" ht="18" customHeight="1" x14ac:dyDescent="0.25">
      <x:c r="H2360" s="6"/>
      <x:c r="S2360"/>
    </x:row>
    <x:row r="2361" spans="8:19" ht="18" customHeight="1" x14ac:dyDescent="0.25">
      <x:c r="H2361" s="6"/>
      <x:c r="S2361"/>
    </x:row>
    <x:row r="2362" spans="8:19" ht="18" customHeight="1" x14ac:dyDescent="0.25">
      <x:c r="H2362" s="6"/>
      <x:c r="S2362"/>
    </x:row>
    <x:row r="2363" spans="8:19" ht="18" customHeight="1" x14ac:dyDescent="0.25">
      <x:c r="H2363" s="6"/>
      <x:c r="S2363"/>
    </x:row>
    <x:row r="2364" spans="8:19" ht="18" customHeight="1" x14ac:dyDescent="0.25">
      <x:c r="H2364" s="6"/>
      <x:c r="S2364"/>
    </x:row>
    <x:row r="2365" spans="8:19" ht="18" customHeight="1" x14ac:dyDescent="0.25">
      <x:c r="H2365" s="6"/>
      <x:c r="S2365"/>
    </x:row>
    <x:row r="2366" spans="8:19" ht="18" customHeight="1" x14ac:dyDescent="0.25">
      <x:c r="H2366" s="6"/>
      <x:c r="S2366"/>
    </x:row>
    <x:row r="2367" spans="8:19" ht="18" customHeight="1" x14ac:dyDescent="0.25">
      <x:c r="H2367" s="6"/>
      <x:c r="S2367"/>
    </x:row>
    <x:row r="2368" spans="8:19" ht="18" customHeight="1" x14ac:dyDescent="0.25">
      <x:c r="H2368" s="6"/>
      <x:c r="S2368"/>
    </x:row>
    <x:row r="2369" spans="8:19" ht="18" customHeight="1" x14ac:dyDescent="0.25">
      <x:c r="H2369" s="6"/>
      <x:c r="S2369"/>
    </x:row>
    <x:row r="2370" spans="8:19" ht="18" customHeight="1" x14ac:dyDescent="0.25">
      <x:c r="H2370" s="6"/>
      <x:c r="S2370"/>
    </x:row>
    <x:row r="2371" spans="8:19" ht="18" customHeight="1" x14ac:dyDescent="0.25">
      <x:c r="H2371" s="6"/>
      <x:c r="S2371"/>
    </x:row>
    <x:row r="2372" spans="8:19" ht="18" customHeight="1" x14ac:dyDescent="0.25">
      <x:c r="H2372" s="6"/>
      <x:c r="S2372"/>
    </x:row>
    <x:row r="2373" spans="8:19" ht="18" customHeight="1" x14ac:dyDescent="0.25">
      <x:c r="H2373" s="6"/>
      <x:c r="S2373"/>
    </x:row>
    <x:row r="2374" spans="8:19" ht="18" customHeight="1" x14ac:dyDescent="0.25">
      <x:c r="H2374" s="6"/>
      <x:c r="S2374"/>
    </x:row>
    <x:row r="2375" spans="8:19" ht="18" customHeight="1" x14ac:dyDescent="0.25">
      <x:c r="H2375" s="6"/>
      <x:c r="S2375"/>
    </x:row>
    <x:row r="2376" spans="8:19" ht="18" customHeight="1" x14ac:dyDescent="0.25">
      <x:c r="H2376" s="6"/>
      <x:c r="S2376"/>
    </x:row>
    <x:row r="2377" spans="8:19" ht="18" customHeight="1" x14ac:dyDescent="0.25">
      <x:c r="H2377" s="6"/>
      <x:c r="S2377"/>
    </x:row>
    <x:row r="2378" spans="8:19" ht="18" customHeight="1" x14ac:dyDescent="0.25">
      <x:c r="H2378" s="6"/>
      <x:c r="S2378"/>
    </x:row>
    <x:row r="2379" spans="8:19" ht="18" customHeight="1" x14ac:dyDescent="0.25">
      <x:c r="H2379" s="6"/>
      <x:c r="S2379"/>
    </x:row>
    <x:row r="2380" spans="8:19" ht="18" customHeight="1" x14ac:dyDescent="0.25">
      <x:c r="H2380" s="6"/>
      <x:c r="S2380"/>
    </x:row>
    <x:row r="2381" spans="8:19" ht="18" customHeight="1" x14ac:dyDescent="0.25">
      <x:c r="H2381" s="6"/>
      <x:c r="S2381"/>
    </x:row>
    <x:row r="2382" spans="8:19" ht="18" customHeight="1" x14ac:dyDescent="0.25">
      <x:c r="H2382" s="6"/>
      <x:c r="S2382"/>
    </x:row>
    <x:row r="2383" spans="8:19" ht="18" customHeight="1" x14ac:dyDescent="0.25">
      <x:c r="H2383" s="6"/>
      <x:c r="S2383"/>
    </x:row>
    <x:row r="2384" spans="8:19" ht="18" customHeight="1" x14ac:dyDescent="0.25">
      <x:c r="H2384" s="6"/>
      <x:c r="S2384"/>
    </x:row>
    <x:row r="2385" spans="8:19" ht="18" customHeight="1" x14ac:dyDescent="0.25">
      <x:c r="H2385" s="6"/>
      <x:c r="S2385"/>
    </x:row>
    <x:row r="2386" spans="8:19" ht="18" customHeight="1" x14ac:dyDescent="0.25">
      <x:c r="H2386" s="6"/>
      <x:c r="S2386"/>
    </x:row>
    <x:row r="2387" spans="8:19" ht="18" customHeight="1" x14ac:dyDescent="0.25">
      <x:c r="H2387" s="6"/>
      <x:c r="S2387"/>
    </x:row>
    <x:row r="2388" spans="8:19" ht="18" customHeight="1" x14ac:dyDescent="0.25">
      <x:c r="H2388" s="6"/>
      <x:c r="S2388"/>
    </x:row>
    <x:row r="2389" spans="8:19" ht="18" customHeight="1" x14ac:dyDescent="0.25">
      <x:c r="H2389" s="6"/>
      <x:c r="S2389"/>
    </x:row>
    <x:row r="2390" spans="8:19" ht="18" customHeight="1" x14ac:dyDescent="0.25">
      <x:c r="H2390" s="6"/>
      <x:c r="S2390"/>
    </x:row>
    <x:row r="2391" spans="8:19" ht="18" customHeight="1" x14ac:dyDescent="0.25">
      <x:c r="H2391" s="6"/>
      <x:c r="S2391"/>
    </x:row>
    <x:row r="2392" spans="8:19" ht="18" customHeight="1" x14ac:dyDescent="0.25">
      <x:c r="H2392" s="6"/>
      <x:c r="S2392"/>
    </x:row>
    <x:row r="2393" spans="8:19" ht="18" customHeight="1" x14ac:dyDescent="0.25">
      <x:c r="H2393" s="6"/>
      <x:c r="S2393"/>
    </x:row>
    <x:row r="2394" spans="8:19" ht="18" customHeight="1" x14ac:dyDescent="0.25">
      <x:c r="H2394" s="6"/>
      <x:c r="S2394"/>
    </x:row>
    <x:row r="2395" spans="8:19" ht="18" customHeight="1" x14ac:dyDescent="0.25">
      <x:c r="H2395" s="6"/>
      <x:c r="S2395"/>
    </x:row>
    <x:row r="2396" spans="8:19" ht="18" customHeight="1" x14ac:dyDescent="0.25">
      <x:c r="H2396" s="6"/>
      <x:c r="S2396"/>
    </x:row>
    <x:row r="2397" spans="8:19" ht="18" customHeight="1" x14ac:dyDescent="0.25">
      <x:c r="H2397" s="6"/>
      <x:c r="S2397"/>
    </x:row>
    <x:row r="2398" spans="8:19" ht="18" customHeight="1" x14ac:dyDescent="0.25">
      <x:c r="H2398" s="6"/>
      <x:c r="S2398"/>
    </x:row>
    <x:row r="2399" spans="8:19" ht="18" customHeight="1" x14ac:dyDescent="0.25">
      <x:c r="H2399" s="6"/>
      <x:c r="S2399"/>
    </x:row>
    <x:row r="2400" spans="8:19" ht="18" customHeight="1" x14ac:dyDescent="0.25">
      <x:c r="H2400" s="6"/>
      <x:c r="S2400"/>
    </x:row>
    <x:row r="2401" spans="8:19" ht="18" customHeight="1" x14ac:dyDescent="0.25">
      <x:c r="H2401" s="6"/>
      <x:c r="S2401"/>
    </x:row>
    <x:row r="2402" spans="8:19" ht="18" customHeight="1" x14ac:dyDescent="0.25">
      <x:c r="H2402" s="6"/>
      <x:c r="S2402"/>
    </x:row>
    <x:row r="2403" spans="8:19" ht="18" customHeight="1" x14ac:dyDescent="0.25">
      <x:c r="H2403" s="6"/>
      <x:c r="S2403"/>
    </x:row>
    <x:row r="2404" spans="8:19" ht="18" customHeight="1" x14ac:dyDescent="0.25">
      <x:c r="H2404" s="6"/>
      <x:c r="S2404"/>
    </x:row>
    <x:row r="2405" spans="8:19" ht="18" customHeight="1" x14ac:dyDescent="0.25">
      <x:c r="H2405" s="6"/>
      <x:c r="S2405"/>
    </x:row>
    <x:row r="2406" spans="8:19" ht="18" customHeight="1" x14ac:dyDescent="0.25">
      <x:c r="H2406" s="6"/>
      <x:c r="S2406"/>
    </x:row>
    <x:row r="2407" spans="8:19" ht="18" customHeight="1" x14ac:dyDescent="0.25">
      <x:c r="H2407" s="6"/>
      <x:c r="S2407"/>
    </x:row>
    <x:row r="2408" spans="8:19" ht="18" customHeight="1" x14ac:dyDescent="0.25">
      <x:c r="H2408" s="6"/>
      <x:c r="S2408"/>
    </x:row>
    <x:row r="2409" spans="8:19" ht="18" customHeight="1" x14ac:dyDescent="0.25">
      <x:c r="H2409" s="6"/>
      <x:c r="S2409"/>
    </x:row>
    <x:row r="2410" spans="8:19" ht="18" customHeight="1" x14ac:dyDescent="0.25">
      <x:c r="H2410" s="6"/>
      <x:c r="S2410"/>
    </x:row>
    <x:row r="2411" spans="8:19" ht="18" customHeight="1" x14ac:dyDescent="0.25">
      <x:c r="H2411" s="6"/>
      <x:c r="S2411"/>
    </x:row>
    <x:row r="2412" spans="8:19" ht="18" customHeight="1" x14ac:dyDescent="0.25">
      <x:c r="H2412" s="6"/>
      <x:c r="S2412"/>
    </x:row>
    <x:row r="2413" spans="8:19" ht="18" customHeight="1" x14ac:dyDescent="0.25">
      <x:c r="H2413" s="6"/>
      <x:c r="S2413"/>
    </x:row>
    <x:row r="2414" spans="8:19" ht="18" customHeight="1" x14ac:dyDescent="0.25">
      <x:c r="H2414" s="6"/>
      <x:c r="S2414"/>
    </x:row>
    <x:row r="2415" spans="8:19" ht="18" customHeight="1" x14ac:dyDescent="0.25">
      <x:c r="H2415" s="6"/>
      <x:c r="S2415"/>
    </x:row>
    <x:row r="2416" spans="8:19" ht="18" customHeight="1" x14ac:dyDescent="0.25">
      <x:c r="H2416" s="6"/>
      <x:c r="S2416"/>
    </x:row>
    <x:row r="2417" spans="8:19" ht="18" customHeight="1" x14ac:dyDescent="0.25">
      <x:c r="H2417" s="6"/>
      <x:c r="S2417"/>
    </x:row>
    <x:row r="2418" spans="8:19" ht="18" customHeight="1" x14ac:dyDescent="0.25">
      <x:c r="H2418" s="6"/>
      <x:c r="S2418"/>
    </x:row>
    <x:row r="2419" spans="8:19" ht="18" customHeight="1" x14ac:dyDescent="0.25">
      <x:c r="H2419" s="6"/>
      <x:c r="S2419"/>
    </x:row>
    <x:row r="2420" spans="8:19" ht="18" customHeight="1" x14ac:dyDescent="0.25">
      <x:c r="H2420" s="6"/>
      <x:c r="S2420"/>
    </x:row>
    <x:row r="2421" spans="8:19" ht="18" customHeight="1" x14ac:dyDescent="0.25">
      <x:c r="H2421" s="6"/>
      <x:c r="S2421"/>
    </x:row>
    <x:row r="2422" spans="8:19" ht="18" customHeight="1" x14ac:dyDescent="0.25">
      <x:c r="H2422" s="6"/>
      <x:c r="S2422"/>
    </x:row>
    <x:row r="2423" spans="8:19" ht="18" customHeight="1" x14ac:dyDescent="0.25">
      <x:c r="H2423" s="6"/>
      <x:c r="S2423"/>
    </x:row>
    <x:row r="2424" spans="8:19" ht="18" customHeight="1" x14ac:dyDescent="0.25">
      <x:c r="H2424" s="6"/>
      <x:c r="S2424"/>
    </x:row>
    <x:row r="2425" spans="8:19" ht="18" customHeight="1" x14ac:dyDescent="0.25">
      <x:c r="H2425" s="6"/>
      <x:c r="S2425"/>
    </x:row>
    <x:row r="2426" spans="8:19" ht="18" customHeight="1" x14ac:dyDescent="0.25">
      <x:c r="H2426" s="6"/>
      <x:c r="S2426"/>
    </x:row>
    <x:row r="2427" spans="8:19" ht="18" customHeight="1" x14ac:dyDescent="0.25">
      <x:c r="H2427" s="6"/>
      <x:c r="S2427"/>
    </x:row>
    <x:row r="2428" spans="8:19" ht="18" customHeight="1" x14ac:dyDescent="0.25">
      <x:c r="H2428" s="6"/>
      <x:c r="S2428"/>
    </x:row>
    <x:row r="2429" spans="8:19" ht="18" customHeight="1" x14ac:dyDescent="0.25">
      <x:c r="H2429" s="6"/>
      <x:c r="S2429"/>
    </x:row>
    <x:row r="2430" spans="8:19" ht="18" customHeight="1" x14ac:dyDescent="0.25">
      <x:c r="H2430" s="6"/>
      <x:c r="S2430"/>
    </x:row>
    <x:row r="2431" spans="8:19" ht="18" customHeight="1" x14ac:dyDescent="0.25">
      <x:c r="H2431" s="6"/>
      <x:c r="S2431"/>
    </x:row>
    <x:row r="2432" spans="8:19" ht="18" customHeight="1" x14ac:dyDescent="0.25">
      <x:c r="H2432" s="6"/>
      <x:c r="S2432"/>
    </x:row>
    <x:row r="2433" spans="8:19" ht="18" customHeight="1" x14ac:dyDescent="0.25">
      <x:c r="H2433" s="6"/>
      <x:c r="S2433"/>
    </x:row>
    <x:row r="2434" spans="8:19" ht="18" customHeight="1" x14ac:dyDescent="0.25">
      <x:c r="H2434" s="6"/>
      <x:c r="S2434"/>
    </x:row>
    <x:row r="2435" spans="8:19" ht="18" customHeight="1" x14ac:dyDescent="0.25">
      <x:c r="H2435" s="6"/>
      <x:c r="S2435"/>
    </x:row>
    <x:row r="2436" spans="8:19" ht="18" customHeight="1" x14ac:dyDescent="0.25">
      <x:c r="H2436" s="6"/>
      <x:c r="S2436"/>
    </x:row>
    <x:row r="2437" spans="8:19" ht="18" customHeight="1" x14ac:dyDescent="0.25">
      <x:c r="H2437" s="6"/>
      <x:c r="S2437"/>
    </x:row>
    <x:row r="2438" spans="8:19" ht="18" customHeight="1" x14ac:dyDescent="0.25">
      <x:c r="H2438" s="6"/>
      <x:c r="S2438"/>
    </x:row>
    <x:row r="2439" spans="8:19" ht="18" customHeight="1" x14ac:dyDescent="0.25">
      <x:c r="H2439" s="6"/>
      <x:c r="S2439"/>
    </x:row>
    <x:row r="2440" spans="8:19" ht="18" customHeight="1" x14ac:dyDescent="0.25">
      <x:c r="H2440" s="6"/>
      <x:c r="S2440"/>
    </x:row>
    <x:row r="2441" spans="8:19" ht="18" customHeight="1" x14ac:dyDescent="0.25">
      <x:c r="H2441" s="6"/>
      <x:c r="S2441"/>
    </x:row>
    <x:row r="2442" spans="8:19" ht="18" customHeight="1" x14ac:dyDescent="0.25">
      <x:c r="H2442" s="6"/>
      <x:c r="S2442"/>
    </x:row>
    <x:row r="2443" spans="8:19" ht="18" customHeight="1" x14ac:dyDescent="0.25">
      <x:c r="H2443" s="6"/>
      <x:c r="S2443"/>
    </x:row>
    <x:row r="2444" spans="8:19" ht="18" customHeight="1" x14ac:dyDescent="0.25">
      <x:c r="H2444" s="6"/>
      <x:c r="S2444"/>
    </x:row>
    <x:row r="2445" spans="8:19" ht="18" customHeight="1" x14ac:dyDescent="0.25">
      <x:c r="H2445" s="6"/>
      <x:c r="S2445"/>
    </x:row>
    <x:row r="2446" spans="8:19" ht="18" customHeight="1" x14ac:dyDescent="0.25">
      <x:c r="H2446" s="6"/>
      <x:c r="S2446"/>
    </x:row>
    <x:row r="2447" spans="8:19" ht="18" customHeight="1" x14ac:dyDescent="0.25">
      <x:c r="H2447" s="6"/>
      <x:c r="S2447"/>
    </x:row>
    <x:row r="2448" spans="8:19" ht="18" customHeight="1" x14ac:dyDescent="0.25">
      <x:c r="H2448" s="6"/>
      <x:c r="S2448"/>
    </x:row>
    <x:row r="2449" spans="8:19" ht="18" customHeight="1" x14ac:dyDescent="0.25">
      <x:c r="H2449" s="6"/>
      <x:c r="S2449"/>
    </x:row>
    <x:row r="2450" spans="8:19" ht="18" customHeight="1" x14ac:dyDescent="0.25">
      <x:c r="H2450" s="6"/>
      <x:c r="S2450"/>
    </x:row>
    <x:row r="2451" spans="8:19" ht="18" customHeight="1" x14ac:dyDescent="0.25">
      <x:c r="H2451" s="6"/>
      <x:c r="S2451"/>
    </x:row>
    <x:row r="2452" spans="8:19" ht="18" customHeight="1" x14ac:dyDescent="0.25">
      <x:c r="H2452" s="6"/>
      <x:c r="S2452"/>
    </x:row>
    <x:row r="2453" spans="8:19" ht="18" customHeight="1" x14ac:dyDescent="0.25">
      <x:c r="H2453" s="6"/>
      <x:c r="S2453"/>
    </x:row>
    <x:row r="2454" spans="8:19" ht="18" customHeight="1" x14ac:dyDescent="0.25">
      <x:c r="H2454" s="6"/>
      <x:c r="S2454"/>
    </x:row>
    <x:row r="2455" spans="8:19" ht="18" customHeight="1" x14ac:dyDescent="0.25">
      <x:c r="H2455" s="6"/>
      <x:c r="S2455"/>
    </x:row>
    <x:row r="2456" spans="8:19" ht="18" customHeight="1" x14ac:dyDescent="0.25">
      <x:c r="H2456" s="6"/>
      <x:c r="S2456"/>
    </x:row>
    <x:row r="2457" spans="8:19" ht="18" customHeight="1" x14ac:dyDescent="0.25">
      <x:c r="H2457" s="6"/>
      <x:c r="S2457"/>
    </x:row>
    <x:row r="2458" spans="8:19" ht="18" customHeight="1" x14ac:dyDescent="0.25">
      <x:c r="H2458" s="6"/>
      <x:c r="S2458"/>
    </x:row>
    <x:row r="2459" spans="8:19" ht="18" customHeight="1" x14ac:dyDescent="0.25">
      <x:c r="H2459" s="6"/>
      <x:c r="S2459"/>
    </x:row>
    <x:row r="2460" spans="8:19" ht="18" customHeight="1" x14ac:dyDescent="0.25">
      <x:c r="H2460" s="6"/>
      <x:c r="S2460"/>
    </x:row>
    <x:row r="2461" spans="8:19" ht="18" customHeight="1" x14ac:dyDescent="0.25">
      <x:c r="H2461" s="6"/>
      <x:c r="S2461"/>
    </x:row>
    <x:row r="2462" spans="8:19" ht="18" customHeight="1" x14ac:dyDescent="0.25">
      <x:c r="H2462" s="6"/>
      <x:c r="S2462"/>
    </x:row>
    <x:row r="2463" spans="8:19" ht="18" customHeight="1" x14ac:dyDescent="0.25">
      <x:c r="H2463" s="6"/>
      <x:c r="S2463"/>
    </x:row>
    <x:row r="2464" spans="8:19" ht="18" customHeight="1" x14ac:dyDescent="0.25">
      <x:c r="H2464" s="6"/>
      <x:c r="S2464"/>
    </x:row>
    <x:row r="2465" spans="8:19" ht="18" customHeight="1" x14ac:dyDescent="0.25">
      <x:c r="H2465" s="6"/>
      <x:c r="S2465"/>
    </x:row>
    <x:row r="2466" spans="8:19" ht="18" customHeight="1" x14ac:dyDescent="0.25">
      <x:c r="H2466" s="6"/>
      <x:c r="S2466"/>
    </x:row>
    <x:row r="2467" spans="8:19" ht="18" customHeight="1" x14ac:dyDescent="0.25">
      <x:c r="H2467" s="6"/>
      <x:c r="S2467"/>
    </x:row>
    <x:row r="2468" spans="8:19" ht="18" customHeight="1" x14ac:dyDescent="0.25">
      <x:c r="H2468" s="6"/>
      <x:c r="S2468"/>
    </x:row>
    <x:row r="2469" spans="8:19" ht="18" customHeight="1" x14ac:dyDescent="0.25">
      <x:c r="H2469" s="6"/>
      <x:c r="S2469"/>
    </x:row>
    <x:row r="2470" spans="8:19" ht="18" customHeight="1" x14ac:dyDescent="0.25">
      <x:c r="H2470" s="6"/>
      <x:c r="S2470"/>
    </x:row>
    <x:row r="2471" spans="8:19" ht="18" customHeight="1" x14ac:dyDescent="0.25">
      <x:c r="H2471" s="6"/>
      <x:c r="S2471"/>
    </x:row>
    <x:row r="2472" spans="8:19" ht="18" customHeight="1" x14ac:dyDescent="0.25">
      <x:c r="H2472" s="6"/>
      <x:c r="S2472"/>
    </x:row>
    <x:row r="2473" spans="8:19" ht="18" customHeight="1" x14ac:dyDescent="0.25">
      <x:c r="H2473" s="6"/>
      <x:c r="S2473"/>
    </x:row>
    <x:row r="2474" spans="8:19" ht="18" customHeight="1" x14ac:dyDescent="0.25">
      <x:c r="H2474" s="6"/>
      <x:c r="S2474"/>
    </x:row>
    <x:row r="2475" spans="8:19" ht="18" customHeight="1" x14ac:dyDescent="0.25">
      <x:c r="H2475" s="6"/>
      <x:c r="S2475"/>
    </x:row>
    <x:row r="2476" spans="8:19" ht="18" customHeight="1" x14ac:dyDescent="0.25">
      <x:c r="H2476" s="6"/>
      <x:c r="S2476"/>
    </x:row>
    <x:row r="2477" spans="8:19" ht="18" customHeight="1" x14ac:dyDescent="0.25">
      <x:c r="H2477" s="6"/>
      <x:c r="S2477"/>
    </x:row>
    <x:row r="2478" spans="8:19" ht="18" customHeight="1" x14ac:dyDescent="0.25">
      <x:c r="H2478" s="6"/>
      <x:c r="S2478"/>
    </x:row>
    <x:row r="2479" spans="8:19" ht="18" customHeight="1" x14ac:dyDescent="0.25">
      <x:c r="H2479" s="6"/>
      <x:c r="S2479"/>
    </x:row>
    <x:row r="2480" spans="8:19" ht="18" customHeight="1" x14ac:dyDescent="0.25">
      <x:c r="H2480" s="6"/>
      <x:c r="S2480"/>
    </x:row>
    <x:row r="2481" spans="8:19" ht="18" customHeight="1" x14ac:dyDescent="0.25">
      <x:c r="H2481" s="6"/>
      <x:c r="S2481"/>
    </x:row>
    <x:row r="2482" spans="8:19" ht="18" customHeight="1" x14ac:dyDescent="0.25">
      <x:c r="H2482" s="6"/>
      <x:c r="S2482"/>
    </x:row>
    <x:row r="2483" spans="8:19" ht="18" customHeight="1" x14ac:dyDescent="0.25">
      <x:c r="H2483" s="6"/>
      <x:c r="S2483"/>
    </x:row>
    <x:row r="2484" spans="8:19" ht="18" customHeight="1" x14ac:dyDescent="0.25">
      <x:c r="H2484" s="6"/>
      <x:c r="S2484"/>
    </x:row>
    <x:row r="2485" spans="8:19" ht="18" customHeight="1" x14ac:dyDescent="0.25">
      <x:c r="H2485" s="6"/>
      <x:c r="S2485"/>
    </x:row>
    <x:row r="2486" spans="8:19" ht="18" customHeight="1" x14ac:dyDescent="0.25">
      <x:c r="H2486" s="6"/>
      <x:c r="S2486"/>
    </x:row>
    <x:row r="2487" spans="8:19" ht="18" customHeight="1" x14ac:dyDescent="0.25">
      <x:c r="H2487" s="6"/>
      <x:c r="S2487"/>
    </x:row>
    <x:row r="2488" spans="8:19" ht="18" customHeight="1" x14ac:dyDescent="0.25">
      <x:c r="H2488" s="6"/>
      <x:c r="S2488"/>
    </x:row>
    <x:row r="2489" spans="8:19" ht="18" customHeight="1" x14ac:dyDescent="0.25">
      <x:c r="H2489" s="6"/>
      <x:c r="S2489"/>
    </x:row>
    <x:row r="2490" spans="8:19" ht="18" customHeight="1" x14ac:dyDescent="0.25">
      <x:c r="H2490" s="6"/>
      <x:c r="S2490"/>
    </x:row>
    <x:row r="2491" spans="8:19" ht="18" customHeight="1" x14ac:dyDescent="0.25">
      <x:c r="H2491" s="6"/>
      <x:c r="S2491"/>
    </x:row>
    <x:row r="2492" spans="8:19" ht="18" customHeight="1" x14ac:dyDescent="0.25">
      <x:c r="H2492" s="6"/>
      <x:c r="S2492"/>
    </x:row>
    <x:row r="2493" spans="8:19" ht="18" customHeight="1" x14ac:dyDescent="0.25">
      <x:c r="H2493" s="6"/>
      <x:c r="S2493"/>
    </x:row>
    <x:row r="2494" spans="8:19" ht="18" customHeight="1" x14ac:dyDescent="0.25">
      <x:c r="H2494" s="6"/>
      <x:c r="S2494"/>
    </x:row>
    <x:row r="2495" spans="8:19" ht="18" customHeight="1" x14ac:dyDescent="0.25">
      <x:c r="H2495" s="6"/>
      <x:c r="S2495"/>
    </x:row>
    <x:row r="2496" spans="8:19" ht="18" customHeight="1" x14ac:dyDescent="0.25">
      <x:c r="H2496" s="6"/>
      <x:c r="S2496"/>
    </x:row>
    <x:row r="2497" spans="8:19" ht="18" customHeight="1" x14ac:dyDescent="0.25">
      <x:c r="H2497" s="6"/>
      <x:c r="S2497"/>
    </x:row>
    <x:row r="2498" spans="8:19" ht="18" customHeight="1" x14ac:dyDescent="0.25">
      <x:c r="H2498" s="6"/>
      <x:c r="S2498"/>
    </x:row>
    <x:row r="2499" spans="8:19" ht="18" customHeight="1" x14ac:dyDescent="0.25">
      <x:c r="H2499" s="6"/>
      <x:c r="S2499"/>
    </x:row>
    <x:row r="2500" spans="8:19" ht="18" customHeight="1" x14ac:dyDescent="0.25">
      <x:c r="H2500" s="6"/>
      <x:c r="S2500"/>
    </x:row>
    <x:row r="2501" spans="8:19" ht="18" customHeight="1" x14ac:dyDescent="0.25">
      <x:c r="H2501" s="6"/>
      <x:c r="S2501"/>
    </x:row>
    <x:row r="2502" spans="8:19" ht="18" customHeight="1" x14ac:dyDescent="0.25">
      <x:c r="H2502" s="6"/>
      <x:c r="S2502"/>
    </x:row>
    <x:row r="2503" spans="8:19" ht="18" customHeight="1" x14ac:dyDescent="0.25">
      <x:c r="H2503" s="6"/>
      <x:c r="S2503"/>
    </x:row>
    <x:row r="2504" spans="8:19" ht="18" customHeight="1" x14ac:dyDescent="0.25">
      <x:c r="H2504" s="6"/>
      <x:c r="S2504"/>
    </x:row>
    <x:row r="2505" spans="8:19" ht="18" customHeight="1" x14ac:dyDescent="0.25">
      <x:c r="H2505" s="6"/>
      <x:c r="S2505"/>
    </x:row>
    <x:row r="2506" spans="8:19" ht="18" customHeight="1" x14ac:dyDescent="0.25">
      <x:c r="H2506" s="6"/>
      <x:c r="S2506"/>
    </x:row>
    <x:row r="2507" spans="8:19" ht="18" customHeight="1" x14ac:dyDescent="0.25">
      <x:c r="H2507" s="6"/>
      <x:c r="S2507"/>
    </x:row>
    <x:row r="2508" spans="8:19" ht="18" customHeight="1" x14ac:dyDescent="0.25">
      <x:c r="H2508" s="6"/>
      <x:c r="S2508"/>
    </x:row>
    <x:row r="2509" spans="8:19" ht="18" customHeight="1" x14ac:dyDescent="0.25">
      <x:c r="H2509" s="6"/>
      <x:c r="S2509"/>
    </x:row>
  </x:sheetData>
  <x:autoFilter ref="A11:W11">
    <x:filterColumn colId="1">
      <x:customFilters>
        <x:customFilter val="**"/>
      </x:customFilters>
    </x:filterColumn>
  </x:autoFilter>
  <x:mergeCells count="4">
    <x:mergeCell ref="J8:Q8"/>
    <x:mergeCell ref="R8:W8"/>
    <x:mergeCell ref="A8:H8"/>
    <x:mergeCell ref="R2:S2"/>
  </x:mergeCells>
  <x:conditionalFormatting sqref="U11">
    <x:cfRule type="containsText" dxfId="11" priority="13" operator="containsText" text="Low">
      <x:formula>NOT(ISERROR(SEARCH("Low",U11)))</x:formula>
    </x:cfRule>
    <x:cfRule type="containsText" dxfId="10" priority="14" operator="containsText" text="Moderate">
      <x:formula>NOT(ISERROR(SEARCH("Moderate",U11)))</x:formula>
    </x:cfRule>
    <x:cfRule type="containsText" dxfId="9" priority="15" operator="containsText" text="High">
      <x:formula>NOT(ISERROR(SEARCH("High",U11)))</x:formula>
    </x:cfRule>
  </x:conditionalFormatting>
  <x:conditionalFormatting sqref="U12:V123 U2010:V1048576">
    <x:cfRule type="containsText" dxfId="8" priority="7" operator="containsText" text="High">
      <x:formula>NOT(ISERROR(SEARCH("High",U12)))</x:formula>
    </x:cfRule>
    <x:cfRule type="containsText" dxfId="7" priority="8" operator="containsText" text="Moderate">
      <x:formula>NOT(ISERROR(SEARCH("Moderate",U12)))</x:formula>
    </x:cfRule>
    <x:cfRule type="containsText" dxfId="6" priority="9" operator="containsText" text="Low">
      <x:formula>NOT(ISERROR(SEARCH("Low",U12)))</x:formula>
    </x:cfRule>
  </x:conditionalFormatting>
  <x:conditionalFormatting sqref="U124:V1473">
    <x:cfRule type="containsText" dxfId="5" priority="4" operator="containsText" text="High">
      <x:formula>NOT(ISERROR(SEARCH("High",U124)))</x:formula>
    </x:cfRule>
    <x:cfRule type="containsText" dxfId="4" priority="5" operator="containsText" text="Moderate">
      <x:formula>NOT(ISERROR(SEARCH("Moderate",U124)))</x:formula>
    </x:cfRule>
    <x:cfRule type="containsText" dxfId="3" priority="6" operator="containsText" text="Low">
      <x:formula>NOT(ISERROR(SEARCH("Low",U124)))</x:formula>
    </x:cfRule>
  </x:conditionalFormatting>
  <x:conditionalFormatting sqref="U1474:V2009">
    <x:cfRule type="containsText" dxfId="2" priority="1" operator="containsText" text="High">
      <x:formula>NOT(ISERROR(SEARCH("High",U1474)))</x:formula>
    </x:cfRule>
    <x:cfRule type="containsText" dxfId="1" priority="2" operator="containsText" text="Moderate">
      <x:formula>NOT(ISERROR(SEARCH("Moderate",U1474)))</x:formula>
    </x:cfRule>
    <x:cfRule type="containsText" dxfId="0" priority="3" operator="containsText" text="Low">
      <x:formula>NOT(ISERROR(SEARCH("Low",U1474)))</x:formula>
    </x:cfRule>
  </x:conditionalFormatting>
  <x:pageMargins left="0.7" right="0.7" top="0.75" bottom="0.75" header="0.3" footer="0.3"/>
  <x:pageSetup paperSize="119" orientation="portrait" horizontalDpi="300" verticalDpi="300" r:id="rId1"/>
  <x:drawing r:id="rId2"/>
  <x:extLst>
    <x:ext xmlns:x14="http://schemas.microsoft.com/office/spreadsheetml/2009/9/main" uri="{CCE6A557-97BC-4b89-ADB6-D9C93CAAB3DF}">
      <x14:dataValidations xmlns:xm="http://schemas.microsoft.com/office/excel/2006/main" count="3">
        <x14:dataValidation type="list" allowBlank="1" showInputMessage="1" showErrorMessage="1">
          <x14:formula1>
            <xm:f>'Standing Data'!$A$2:$A$4</xm:f>
          </x14:formula1>
          <xm:sqref>S12:S2509</xm:sqref>
        </x14:dataValidation>
        <x14:dataValidation type="list" allowBlank="1" showInputMessage="1" showErrorMessage="1">
          <x14:formula1>
            <xm:f>'Standing Data'!$A$8:$A$12</xm:f>
          </x14:formula1>
          <xm:sqref>U12:V2509</xm:sqref>
        </x14:dataValidation>
        <x14:dataValidation type="list" allowBlank="1" showInputMessage="1" showErrorMessage="1">
          <x14:formula1>
            <xm:f>'Standing Data'!$A$16:$A$25</xm:f>
          </x14:formula1>
          <xm:sqref>S4</xm:sqref>
        </x14:dataValidation>
      </x14:dataValidations>
    </x:ext>
  </x:extLst>
</x:worksheet>
</file>

<file path=xl/worksheets/sheet2.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2"/>
  <x:dimension ref="A2:F13067"/>
  <x:sheetViews>
    <x:sheetView workbookViewId="0">
      <x:pane ySplit="5" topLeftCell="A6" activePane="bottomLeft" state="frozen"/>
      <x:selection pane="bottomLeft" activeCell="A6" sqref="A6"/>
    </x:sheetView>
  </x:sheetViews>
  <x:sheetFormatPr defaultRowHeight="15.75" x14ac:dyDescent="0.25"/>
  <x:cols>
    <x:col min="1" max="1" width="9.125" customWidth="1"/>
    <x:col min="2" max="2" width="36.875" customWidth="1"/>
    <x:col min="3" max="3" width="11.375" customWidth="1"/>
    <x:col min="4" max="4" width="46.5" customWidth="1"/>
    <x:col min="5" max="5" width="78.125" style="9" hidden="1" customWidth="1"/>
    <x:col min="6" max="6" width="44.625" style="1" customWidth="1"/>
  </x:cols>
  <x:sheetData>
    <x:row r="2" spans="1:6" x14ac:dyDescent="0.25">
      <x:c r="B2" s="34" t="str">
        <x:f>HYPERLINK("#B2","Show All Tools")</x:f>
        <x:v>Show All Tools</x:v>
      </x:c>
      <x:c r="D2" s="34" t="str">
        <x:f>HYPERLINK("#D2","Return to Register")</x:f>
        <x:v>Return to Register</x:v>
      </x:c>
    </x:row>
    <x:row r="4" spans="1:6" hidden="1" x14ac:dyDescent="0.25">
      <x:c r="A4" s="45" t="s">
        <x:v>14</x:v>
      </x:c>
      <x:c r="B4" s="46"/>
      <x:c r="C4" s="46"/>
      <x:c r="D4" s="46"/>
      <x:c r="E4" s="46"/>
      <x:c r="F4" s="46"/>
    </x:row>
    <x:row r="5" spans="1:6" ht="26.25" customHeight="1" x14ac:dyDescent="0.25">
      <x:c r="A5" s="32" t="s">
        <x:v>3</x:v>
      </x:c>
      <x:c r="B5" s="32" t="s">
        <x:v>30</x:v>
      </x:c>
      <x:c r="C5" s="32" t="s">
        <x:v>15</x:v>
      </x:c>
      <x:c r="D5" s="32" t="s">
        <x:v>16</x:v>
      </x:c>
      <x:c r="E5" s="33" t="s">
        <x:v>17</x:v>
      </x:c>
      <x:c r="F5" s="32" t="s">
        <x:v>17</x:v>
      </x:c>
    </x:row>
    <x:row r="6" spans="1:6" x14ac:dyDescent="0.25">
      <x:c r="A6" s="1" t="n">
        <x:v>11690</x:v>
      </x:c>
      <x:c r="B6" s="1" t="str">
        <x:v>Health Monitoring for Workers Involved in Lead-Risk Work</x:v>
      </x:c>
      <x:c r="C6" s="1" t="str">
        <x:v>ext</x:v>
      </x:c>
      <x:c r="D6" s="1" t="str">
        <x:v>Health monitoring for exposure to hazardous chemicals—guide for persons conducting a business or undertaking, February 2013 (Safe Work Australia)</x:v>
      </x:c>
      <x:c r="E6" t="str">
        <x:v>http://www.safeworkaustralia.gov.au/sites/swa/about/publications/pages/health-monitoring-guide-pcbu</x:v>
      </x:c>
      <x:c r="F6" s="11" t="n">
        <x:f>=HYPERLINK(E6)</x:f>
      </x:c>
    </x:row>
    <x:row r="7" spans="1:6" x14ac:dyDescent="0.25">
      <x:c r="A7" s="1" t="n">
        <x:v>11696</x:v>
      </x:c>
      <x:c r="B7" s="1" t="str">
        <x:v>Health Monitoring for Workers Involved in Lead-Risk Work</x:v>
      </x:c>
      <x:c r="C7" s="1" t="str">
        <x:v>ext</x:v>
      </x:c>
      <x:c r="D7" s="1" t="str">
        <x:v>Review of hazards and health effects of inorganic lead, July 2014 (Safe Work Australia information sheet)</x:v>
      </x:c>
      <x:c r="E7" t="str">
        <x:v>http://www.safeworkaustralia.gov.au/sites/swa/about/publications/pages/review-of-hazards-and-health-effects-of-inorganic-lead</x:v>
      </x:c>
      <x:c r="F7" s="11" t="n">
        <x:f>=HYPERLINK(E7)</x:f>
      </x:c>
    </x:row>
    <x:row r="8" spans="1:6" x14ac:dyDescent="0.25">
      <x:c r="A8" s="1" t="n">
        <x:v>11695</x:v>
      </x:c>
      <x:c r="B8" s="1" t="str">
        <x:v>Health Monitoring for Workers Involved in Lead-Risk Work</x:v>
      </x:c>
      <x:c r="C8" s="1" t="str">
        <x:v>ext</x:v>
      </x:c>
      <x:c r="D8" s="1" t="str">
        <x:v>Model code of practice - Welding Processes Code of Practice, July 2012 (Safe Work Australia)</x:v>
      </x:c>
      <x:c r="E8" t="str">
        <x:v>http://www.safeworkaustralia.gov.au/sites/swa/about/publications/pages/welding-processes</x:v>
      </x:c>
      <x:c r="F8" s="11" t="n">
        <x:f>=HYPERLINK(E8)</x:f>
      </x:c>
    </x:row>
    <x:row r="9" spans="1:6" x14ac:dyDescent="0.25">
      <x:c r="A9" s="1" t="n">
        <x:v>11694</x:v>
      </x:c>
      <x:c r="B9" s="1" t="str">
        <x:v>Health Monitoring for Workers Involved in Lead-Risk Work</x:v>
      </x:c>
      <x:c r="C9" s="1" t="str">
        <x:v>ext</x:v>
      </x:c>
      <x:c r="D9" s="1" t="str">
        <x:v>Model code of practice - Spray Painting and Powder Coating Code of Practice, March 2015 (Safe Work Australia)</x:v>
      </x:c>
      <x:c r="E9" t="str">
        <x:v>http://www.safeworkaustralia.gov.au/sites/swa/about/publications/pages/spray-painting-and-powder-coating</x:v>
      </x:c>
      <x:c r="F9" s="11" t="n">
        <x:f>=HYPERLINK(E9)</x:f>
      </x:c>
    </x:row>
    <x:row r="10" spans="1:6" x14ac:dyDescent="0.25">
      <x:c r="A10" s="1" t="n">
        <x:v>11691</x:v>
      </x:c>
      <x:c r="B10" s="1" t="str">
        <x:v>Health Monitoring for Workers Involved in Lead-Risk Work</x:v>
      </x:c>
      <x:c r="C10" s="1" t="str">
        <x:v>ext</x:v>
      </x:c>
      <x:c r="D10" s="1" t="str">
        <x:v>Hazardous chemicals requiring health monitoring, March 2013 (Safe Work Australia)</x:v>
      </x:c>
      <x:c r="E10" t="str">
        <x:v>http://www.safeworkaustralia.gov.au/sites/swa/about/publications/pages/hazardous-chemicals-requiring-health-monitoring</x:v>
      </x:c>
      <x:c r="F10" s="11" t="n">
        <x:f>=HYPERLINK(E10)</x:f>
      </x:c>
    </x:row>
    <x:row r="11" spans="1:6" x14ac:dyDescent="0.25">
      <x:c r="A11" s="1" t="n">
        <x:v>11692</x:v>
      </x:c>
      <x:c r="B11" s="1" t="str">
        <x:v>Health Monitoring for Workers Involved in Lead-Risk Work</x:v>
      </x:c>
      <x:c r="C11" s="1" t="str">
        <x:v>ext</x:v>
      </x:c>
      <x:c r="D11" s="1" t="str">
        <x:v>Model code of practice - Managing risks of hazardous chemicals in the workplace, July 2012 (Safe Work Australia)</x:v>
      </x:c>
      <x:c r="E11" t="str">
        <x:v>http://www.safeworkaustralia.gov.au/sites/swa/about/publications/pages/managing-risks-of-hazardous-chemicals-in-the-workplace</x:v>
      </x:c>
      <x:c r="F11" s="11" t="n">
        <x:f>=HYPERLINK(E11)</x:f>
      </x:c>
    </x:row>
    <x:row r="12" spans="1:6" x14ac:dyDescent="0.25">
      <x:c r="A12" s="1" t="n">
        <x:v>11693</x:v>
      </x:c>
      <x:c r="B12" s="1" t="str">
        <x:v>Health Monitoring for Workers Involved in Lead-Risk Work</x:v>
      </x:c>
      <x:c r="C12" s="1" t="str">
        <x:v>ext</x:v>
      </x:c>
      <x:c r="D12" s="1" t="str">
        <x:v>Model code of practice - Abrasive Blasting Code of Practice, October 2012 (Safe Work Australia)</x:v>
      </x:c>
      <x:c r="E12" t="str">
        <x:v>http://www.safeworkaustralia.gov.au/sites/swa/about/publications/pages/abrasive-blasting</x:v>
      </x:c>
      <x:c r="F12" s="11" t="n">
        <x:f>=HYPERLINK(E12)</x:f>
      </x:c>
    </x:row>
    <x:row r="13" spans="1:6" x14ac:dyDescent="0.25">
      <x:c r="A13" s="1" t="n">
        <x:v>11559</x:v>
      </x:c>
      <x:c r="B13" s="1" t="str">
        <x:v>Specific Duties of Manufacturers and Importers of Hazardous Chemicals</x:v>
      </x:c>
      <x:c r="C13" s="1" t="str">
        <x:v>ext</x:v>
      </x:c>
      <x:c r="D13" s="1" t="str">
        <x:v>Model code of practice - Managing risks of hazardous chemicals in the workplace, July 2012 (Safe Work Australia)</x:v>
      </x:c>
      <x:c r="E13" t="str">
        <x:v>http://www.safeworkaustralia.gov.au/sites/swa/about/publications/pages/managing-risks-of-hazardous-chemicals-in-the-workplace</x:v>
      </x:c>
      <x:c r="F13" s="11" t="n">
        <x:f>=HYPERLINK(E13)</x:f>
      </x:c>
    </x:row>
    <x:row r="14" spans="1:6" x14ac:dyDescent="0.25">
      <x:c r="A14" s="1" t="n">
        <x:v>11557</x:v>
      </x:c>
      <x:c r="B14" s="1" t="str">
        <x:v>Specific Duties of Manufacturers and Importers of Hazardous Chemicals</x:v>
      </x:c>
      <x:c r="C14" s="1" t="str">
        <x:v>ext</x:v>
      </x:c>
      <x:c r="D14" s="1" t="str">
        <x:v>Model code of practice - Labelling of workplace hazardous chemicals, March 2015 (Safe Work Australia)</x:v>
      </x:c>
      <x:c r="E14" t="str">
        <x:v>http://www.safeworkaustralia.gov.au/sites/swa/about/publications/pages/safety-data-sheets-hazardous-chemicals-cop</x:v>
      </x:c>
      <x:c r="F14" s="11" t="n">
        <x:f>=HYPERLINK(E14)</x:f>
      </x:c>
    </x:row>
    <x:row r="15" spans="1:6" x14ac:dyDescent="0.25">
      <x:c r="A15" s="1" t="n">
        <x:v>11561</x:v>
      </x:c>
      <x:c r="B15" s="1" t="str">
        <x:v>Specific Duties of Manufacturers and Importers of Hazardous Chemicals</x:v>
      </x:c>
      <x:c r="C15" s="1" t="str">
        <x:v>ext</x:v>
      </x:c>
      <x:c r="D15" s="1" t="str">
        <x:v>Information sheet for manufacturers and importers of agricultural and veterinary (AgVet) chemicals, February 2016 (Safe Work Australia)</x:v>
      </x:c>
      <x:c r="E15" t="str">
        <x:v>http://www.safeworkaustralia.gov.au/sites/swa/about/publications/pages/labelling-agvet-chemicals</x:v>
      </x:c>
      <x:c r="F15" s="11" t="n">
        <x:f>=HYPERLINK(E15)</x:f>
      </x:c>
    </x:row>
    <x:row r="16" spans="1:6" x14ac:dyDescent="0.25">
      <x:c r="A16" s="1" t="n">
        <x:v>11560</x:v>
      </x:c>
      <x:c r="B16" s="1" t="str">
        <x:v>Specific Duties of Manufacturers and Importers of Hazardous Chemicals</x:v>
      </x:c>
      <x:c r="C16" s="1" t="str">
        <x:v>ext</x:v>
      </x:c>
      <x:c r="D16" s="1" t="str">
        <x:v>Guidance on the classification of hazardous chemicals under the WHS Regulations, April 2012 (Safe Work Australia)</x:v>
      </x:c>
      <x:c r="E16" t="str">
        <x:v>http://www.safeworkaustralia.gov.au/sites/swa/about/publications/pages/guidance-classification-whs-regulations</x:v>
      </x:c>
      <x:c r="F16" s="11" t="n">
        <x:f>=HYPERLINK(E16)</x:f>
      </x:c>
    </x:row>
    <x:row r="17" spans="1:6" x14ac:dyDescent="0.25">
      <x:c r="A17" s="1" t="n">
        <x:v>11562</x:v>
      </x:c>
      <x:c r="B17" s="1" t="str">
        <x:v>Specific Duties of Manufacturers and Importers of Hazardous Chemicals</x:v>
      </x:c>
      <x:c r="C17" s="1" t="str">
        <x:v>ext</x:v>
      </x:c>
      <x:c r="D17" s="1" t="str">
        <x:v>Classification of carbon nanotubes as hazardous chemicals, October 2012 (Safe Work Australia information sheet)</x:v>
      </x:c>
      <x:c r="E17" t="str">
        <x:v>http://www.safeworkaustralia.gov.au/sites/swa/about/publications/pages/classification-of-carbon-nanotubes-as-hazardous-chemicals</x:v>
      </x:c>
      <x:c r="F17" s="11" t="n">
        <x:f>=HYPERLINK(E17)</x:f>
      </x:c>
    </x:row>
    <x:row r="18" spans="1:6" x14ac:dyDescent="0.25">
      <x:c r="A18" s="1" t="n">
        <x:v>11558</x:v>
      </x:c>
      <x:c r="B18" s="1" t="str">
        <x:v>Specific Duties of Manufacturers and Importers of Hazardous Chemicals</x:v>
      </x:c>
      <x:c r="C18" s="1" t="str">
        <x:v>ext</x:v>
      </x:c>
      <x:c r="D18" s="1" t="str">
        <x:v>Model code of practice - Preparation of Safety Data Sheets for Hazardous Chemicals, December 2011 (Safe Work Australia)</x:v>
      </x:c>
      <x:c r="E18" t="str">
        <x:v>http://www.safeworkaustralia.gov.au/sites/swa/about/publications/pages/safety-data-sheets-hazardous-chemicals-cop</x:v>
      </x:c>
      <x:c r="F18" s="11" t="n">
        <x:f>=HYPERLINK(E18)</x:f>
      </x:c>
    </x:row>
    <x:row r="19" spans="1:6" x14ac:dyDescent="0.25">
      <x:c r="A19" s="1" t="n">
        <x:v>11563</x:v>
      </x:c>
      <x:c r="B19" s="1" t="str">
        <x:v>Specific Duties of Manufacturers and Importers of Hazardous Chemicals</x:v>
      </x:c>
      <x:c r="C19" s="1" t="str">
        <x:v>ext</x:v>
      </x:c>
      <x:c r="D19" s="1" t="str">
        <x:v>Safety hazards of engineered nanomaterials, May 2013 (Safe Work Australia information sheet)</x:v>
      </x:c>
      <x:c r="E19" t="str">
        <x:v>http://www.safeworkaustralia.gov.au/sites/swa/about/publications/pages/safety-hazards-of-engineered-nanomaterials</x:v>
      </x:c>
      <x:c r="F19" s="11" t="n">
        <x:f>=HYPERLINK(E19)</x:f>
      </x:c>
    </x:row>
    <x:row r="20" spans="1:6" x14ac:dyDescent="0.25">
      <x:c r="A20" s="1" t="n">
        <x:v>11609</x:v>
      </x:c>
      <x:c r="B20" s="1" t="str">
        <x:v>Managing the Risks of Hazardous Chemicals</x:v>
      </x:c>
      <x:c r="C20" s="1" t="str">
        <x:v>ext</x:v>
      </x:c>
      <x:c r="D20" s="1" t="str">
        <x:v>Guide for Preventing and Responding to Cyanide Poisoning in the Workplace, April 2013 (Safe Work Australia)</x:v>
      </x:c>
      <x:c r="E20" t="str">
        <x:v>http://www.safeworkaustralia.gov.au/sites/swa/about/publications/pages/cyanide-poisoning</x:v>
      </x:c>
      <x:c r="F20" s="11" t="n">
        <x:f>=HYPERLINK(E20)</x:f>
      </x:c>
    </x:row>
    <x:row r="21" spans="1:6" x14ac:dyDescent="0.25">
      <x:c r="A21" s="1" t="n">
        <x:v>11613</x:v>
      </x:c>
      <x:c r="B21" s="1" t="str">
        <x:v>Managing the Risks of Hazardous Chemicals</x:v>
      </x:c>
      <x:c r="C21" s="1" t="str">
        <x:v>ext</x:v>
      </x:c>
      <x:c r="D21" s="1" t="str">
        <x:v>Classification of Carbon Nanotubes as Hazardous Chemicals, October 2012 (Safe Work Australia information sheet)</x:v>
      </x:c>
      <x:c r="E21" t="str">
        <x:v>http://www.safeworkaustralia.gov.au/sites/swa/about/publications/pages/classification-of-carbon-nanotubes-as-hazardous-chemicals</x:v>
      </x:c>
      <x:c r="F21" s="11" t="n">
        <x:f>=HYPERLINK(E21)</x:f>
      </x:c>
    </x:row>
    <x:row r="22" spans="1:6" x14ac:dyDescent="0.25">
      <x:c r="A22" s="1" t="n">
        <x:v>11608</x:v>
      </x:c>
      <x:c r="B22" s="1" t="str">
        <x:v>Managing the Risks of Hazardous Chemicals</x:v>
      </x:c>
      <x:c r="C22" s="1" t="str">
        <x:v>ext</x:v>
      </x:c>
      <x:c r="D22" s="1" t="str">
        <x:v>Guide to Handling Refractory Ceramic Fibres, December 2013 (Safe Work Australia)</x:v>
      </x:c>
      <x:c r="E22" t="str">
        <x:v>http://www.safeworkaustralia.gov.au/sites/swa/about/publications/pages/guide-to-handling-refractory-ceramic-fibres</x:v>
      </x:c>
      <x:c r="F22" s="11" t="n">
        <x:f>=HYPERLINK(E22)</x:f>
      </x:c>
    </x:row>
    <x:row r="23" spans="1:6" x14ac:dyDescent="0.25">
      <x:c r="A23" s="1" t="n">
        <x:v>11603</x:v>
      </x:c>
      <x:c r="B23" s="1" t="str">
        <x:v>Managing the Risks of Hazardous Chemicals</x:v>
      </x:c>
      <x:c r="C23" s="1" t="str">
        <x:v>ext</x:v>
      </x:c>
      <x:c r="D23" s="1" t="str">
        <x:v>Controlling Risks Associated with Electroplating, April 2012 (Safe Work Australia)</x:v>
      </x:c>
      <x:c r="E23" t="str">
        <x:v>http://www.safeworkaustralia.gov.au/sites/swa/about/publications/pages/electroplating.</x:v>
      </x:c>
      <x:c r="F23" s="11" t="n">
        <x:f>=HYPERLINK(E23)</x:f>
      </x:c>
    </x:row>
    <x:row r="24" spans="1:6" x14ac:dyDescent="0.25">
      <x:c r="A24" s="1" t="n">
        <x:v>11607</x:v>
      </x:c>
      <x:c r="B24" s="1" t="str">
        <x:v>Managing the Risks of Hazardous Chemicals</x:v>
      </x:c>
      <x:c r="C24" s="1" t="str">
        <x:v>ext</x:v>
      </x:c>
      <x:c r="D24" s="1" t="str">
        <x:v>Guide to Handling Isocyanates, July 2015 (Safe Work Australia)</x:v>
      </x:c>
      <x:c r="E24" t="str">
        <x:v>http://www.safeworkaustralia.gov.au/sites/swa/about/publications/pages/guide-to-handling-isocyanates</x:v>
      </x:c>
      <x:c r="F24" s="11" t="n">
        <x:f>=HYPERLINK(E24)</x:f>
      </x:c>
    </x:row>
    <x:row r="25" spans="1:6" x14ac:dyDescent="0.25">
      <x:c r="A25" s="1" t="n">
        <x:v>11605</x:v>
      </x:c>
      <x:c r="B25" s="1" t="str">
        <x:v>Managing the Risks of Hazardous Chemicals</x:v>
      </x:c>
      <x:c r="C25" s="1" t="str">
        <x:v>ext</x:v>
      </x:c>
      <x:c r="D25" s="1" t="str">
        <x:v>Managing Risks of Diesel Exhaust Exposure in the Workplace, October 2015 (Safe Work Australia information sheet)</x:v>
      </x:c>
      <x:c r="E25" t="str">
        <x:v>http://www.safeworkaustralia.gov.au/sites/swa/about/publications/pages/guidance-for-managing-the-risks-of-diesel-exhaust</x:v>
      </x:c>
      <x:c r="F25" s="11" t="n">
        <x:f>=HYPERLINK(E25)</x:f>
      </x:c>
    </x:row>
    <x:row r="26" spans="1:6" x14ac:dyDescent="0.25">
      <x:c r="A26" s="1" t="n">
        <x:v>11612</x:v>
      </x:c>
      <x:c r="B26" s="1" t="str">
        <x:v>Managing the Risks of Hazardous Chemicals</x:v>
      </x:c>
      <x:c r="C26" s="1" t="str">
        <x:v>ext</x:v>
      </x:c>
      <x:c r="D26" s="1" t="str">
        <x:v>Safe Handling and Use of Carbon Nanotubes in the Workplace (Safe Work Australia information sheet)</x:v>
      </x:c>
      <x:c r="E26" t="str">
        <x:v>http://www.safeworkaustralia.gov.au/sites/swa/about/publications/pages/safe-handling-nanotubes-info</x:v>
      </x:c>
      <x:c r="F26" s="11" t="n">
        <x:f>=HYPERLINK(E26)</x:f>
      </x:c>
    </x:row>
    <x:row r="27" spans="1:6" x14ac:dyDescent="0.25">
      <x:c r="A27" s="1" t="n">
        <x:v>11601</x:v>
      </x:c>
      <x:c r="B27" s="1" t="str">
        <x:v>Managing the Risks of Hazardous Chemicals</x:v>
      </x:c>
      <x:c r="C27" s="1" t="str">
        <x:v>ext</x:v>
      </x:c>
      <x:c r="D27" s="1" t="str">
        <x:v>Model code of practice - Spray Painting and Powder Coating, March 2015 (Safe Work Australia)</x:v>
      </x:c>
      <x:c r="E27" t="str">
        <x:v>http://www.safeworkaustralia.gov.au/sites/swa/about/publications/pages/spray-painting-and-powder-coating</x:v>
      </x:c>
      <x:c r="F27" s="11" t="n">
        <x:f>=HYPERLINK(E27)</x:f>
      </x:c>
    </x:row>
    <x:row r="28" spans="1:6" x14ac:dyDescent="0.25">
      <x:c r="A28" s="1" t="n">
        <x:v>11610</x:v>
      </x:c>
      <x:c r="B28" s="1" t="str">
        <x:v>Managing the Risks of Hazardous Chemicals</x:v>
      </x:c>
      <x:c r="C28" s="1" t="str">
        <x:v>ext</x:v>
      </x:c>
      <x:c r="D28" s="1" t="str">
        <x:v>Managing risks when unpacking shipping material (Safe Work Australia guidance material, February 2016)</x:v>
      </x:c>
      <x:c r="E28" t="str">
        <x:v>http://www.safeworkaustralia.gov.au/sites/swa/about/publications/pages/managing-risks-when-unpacking-shipping-containers</x:v>
      </x:c>
      <x:c r="F28" s="11" t="n">
        <x:f>=HYPERLINK(E28)</x:f>
      </x:c>
    </x:row>
    <x:row r="29" spans="1:6" x14ac:dyDescent="0.25">
      <x:c r="A29" s="1" t="n">
        <x:v>11602</x:v>
      </x:c>
      <x:c r="B29" s="1" t="str">
        <x:v>Managing the Risks of Hazardous Chemicals</x:v>
      </x:c>
      <x:c r="C29" s="1" t="str">
        <x:v>ext</x:v>
      </x:c>
      <x:c r="D29" s="1" t="str">
        <x:v>Model code of practice - Welding Processes, July 2012 (Safe Work Australia)</x:v>
      </x:c>
      <x:c r="E29" t="str">
        <x:v>http://www.safeworkaustralia.gov.au/sites/swa/about/publications/pages/welding-processes</x:v>
      </x:c>
      <x:c r="F29" s="11" t="n">
        <x:f>=HYPERLINK(E29)</x:f>
      </x:c>
    </x:row>
    <x:row r="30" spans="1:6" x14ac:dyDescent="0.25">
      <x:c r="A30" s="1" t="n">
        <x:v>11606</x:v>
      </x:c>
      <x:c r="B30" s="1" t="str">
        <x:v>Managing the Risks of Hazardous Chemicals</x:v>
      </x:c>
      <x:c r="C30" s="1" t="str">
        <x:v>ext</x:v>
      </x:c>
      <x:c r="D30" s="1" t="str">
        <x:v>Guide to Managing Risks of Exposure to Diesel Exhaust in the Workplace, October 2015 (Safe Work Australia)</x:v>
      </x:c>
      <x:c r="E30" t="str">
        <x:v>http://www.safeworkaustralia.gov.au/sites/swa/about/publications/pages/guidance-for-managing-the-risks-of-diesel-exhaust</x:v>
      </x:c>
      <x:c r="F30" s="11" t="n">
        <x:f>=HYPERLINK(E30)</x:f>
      </x:c>
    </x:row>
    <x:row r="31" spans="1:6" x14ac:dyDescent="0.25">
      <x:c r="A31" s="1" t="n">
        <x:v>11604</x:v>
      </x:c>
      <x:c r="B31" s="1" t="str">
        <x:v>Managing the Risks of Hazardous Chemicals</x:v>
      </x:c>
      <x:c r="C31" s="1" t="str">
        <x:v>ext</x:v>
      </x:c>
      <x:c r="D31" s="1" t="str">
        <x:v>Managing Risks of Exposure to Solvents in the Workplace, July 2015 (Safe Work Australia information sheet)</x:v>
      </x:c>
      <x:c r="E31" t="str">
        <x:v>http://www.safeworkaustralia.gov.au/sites/swa/about/publications/pages/solvents-information-sheet</x:v>
      </x:c>
      <x:c r="F31" s="11" t="n">
        <x:f>=HYPERLINK(E31)</x:f>
      </x:c>
    </x:row>
    <x:row r="32" spans="1:6" x14ac:dyDescent="0.25">
      <x:c r="A32" s="1" t="n">
        <x:v>11616</x:v>
      </x:c>
      <x:c r="B32" s="1" t="str">
        <x:v>Managing the Risks of Hazardous Chemicals</x:v>
      </x:c>
      <x:c r="C32" s="1" t="str">
        <x:v>ext</x:v>
      </x:c>
      <x:c r="D32" s="1" t="str">
        <x:v>Measuring and Assessing Emissions of Nanomaterials from Processes, September 2012 (Safe Work Australia information sheet)</x:v>
      </x:c>
      <x:c r="E32" t="str">
        <x:v>http://www.safeworkaustralia.gov.au/sites/swa/about/publications/pages/measuring-and-assessing-emissions-of-nanomaterials-from-processes</x:v>
      </x:c>
      <x:c r="F32" s="11" t="n">
        <x:f>=HYPERLINK(E32)</x:f>
      </x:c>
    </x:row>
    <x:row r="33" spans="1:6" x14ac:dyDescent="0.25">
      <x:c r="A33" s="1" t="n">
        <x:v>11611</x:v>
      </x:c>
      <x:c r="B33" s="1" t="str">
        <x:v>Managing the Risks of Hazardous Chemicals</x:v>
      </x:c>
      <x:c r="C33" s="1" t="str">
        <x:v>ext</x:v>
      </x:c>
      <x:c r="D33" s="1" t="str">
        <x:v>Safe Handling and Use of Carbon Nanotubes, March 2012 (Safe Work Australia guidance material)</x:v>
      </x:c>
      <x:c r="E33" t="str">
        <x:v>http://www.safeworkaustralia.gov.au/sites/swa/about/publications/pages/safe-handling-nanotubes</x:v>
      </x:c>
      <x:c r="F33" s="11" t="n">
        <x:f>=HYPERLINK(E33)</x:f>
      </x:c>
    </x:row>
    <x:row r="34" spans="1:6" x14ac:dyDescent="0.25">
      <x:c r="A34" s="1" t="n">
        <x:v>11600</x:v>
      </x:c>
      <x:c r="B34" s="1" t="str">
        <x:v>Managing the Risks of Hazardous Chemicals</x:v>
      </x:c>
      <x:c r="C34" s="1" t="str">
        <x:v>ext</x:v>
      </x:c>
      <x:c r="D34" s="1" t="str">
        <x:v>Model code of practice - Abrasive Blasting, October 2012 (Safe Work Australia)</x:v>
      </x:c>
      <x:c r="E34" t="str">
        <x:v>Model code of practice - Abrasive Blasting, October 2012 (Safe Work Australia)</x:v>
      </x:c>
      <x:c r="F34" s="11" t="n">
        <x:f>=HYPERLINK("#F34","Model code of practice - Abrasive Blasting, October 2012 (Safe Work Australia)")</x:f>
      </x:c>
    </x:row>
    <x:row r="35" spans="1:6" x14ac:dyDescent="0.25">
      <x:c r="A35" s="1" t="n">
        <x:v>11617</x:v>
      </x:c>
      <x:c r="B35" s="1" t="str">
        <x:v>Managing the Risks of Hazardous Chemicals</x:v>
      </x:c>
      <x:c r="C35" s="1" t="str">
        <x:v>ext</x:v>
      </x:c>
      <x:c r="D35" s="1" t="str">
        <x:v>Assessing and Controlling Laser Printer Particle Emissions in Workplace Environments, December 2011 (Safe Work Australia information sheet)</x:v>
      </x:c>
      <x:c r="E35" t="str">
        <x:v>http://www.safeworkaustralia.gov.au/sites/swa/about/publications/pages/info-assessing-controlling-laser-printer</x:v>
      </x:c>
      <x:c r="F35" s="11" t="n">
        <x:f>=HYPERLINK(E35)</x:f>
      </x:c>
    </x:row>
    <x:row r="36" spans="1:6" x14ac:dyDescent="0.25">
      <x:c r="A36" s="1" t="n">
        <x:v>11599</x:v>
      </x:c>
      <x:c r="B36" s="1" t="str">
        <x:v>Managing the Risks of Hazardous Chemicals</x:v>
      </x:c>
      <x:c r="C36" s="1" t="str">
        <x:v>ext</x:v>
      </x:c>
      <x:c r="D36" s="1" t="str">
        <x:v>Model code of practice - Managing risks of hazardous chemicals in the workplace, July 2012 (Safe Work Australia)</x:v>
      </x:c>
      <x:c r="E36" t="str">
        <x:v>http://www.safeworkaustralia.gov.au/sites/swa/about/publications/pages/managing-risks-of-hazardous-chemicals-in-the-workplace</x:v>
      </x:c>
      <x:c r="F36" s="11" t="n">
        <x:f>=HYPERLINK(E36)</x:f>
      </x:c>
    </x:row>
    <x:row r="37" spans="1:6" x14ac:dyDescent="0.25">
      <x:c r="A37" s="1" t="n">
        <x:v>11615</x:v>
      </x:c>
      <x:c r="B37" s="1" t="str">
        <x:v>Managing the Risks of Hazardous Chemicals</x:v>
      </x:c>
      <x:c r="C37" s="1" t="str">
        <x:v>ext</x:v>
      </x:c>
      <x:c r="D37" s="1" t="str">
        <x:v>Emissions of Nanomaterials during Machining Processes, May 2013 (Safe Work Australia information sheet)</x:v>
      </x:c>
      <x:c r="E37" t="str">
        <x:v>http://www.safeworkaustralia.gov.au/sites/swa/about/publications/pages/emissions-of-nanomaterials-during-machining-processes</x:v>
      </x:c>
      <x:c r="F37" s="11" t="n">
        <x:f>=HYPERLINK(E37)</x:f>
      </x:c>
    </x:row>
    <x:row r="38" spans="1:6" x14ac:dyDescent="0.25">
      <x:c r="A38" s="1" t="n">
        <x:v>11614</x:v>
      </x:c>
      <x:c r="B38" s="1" t="str">
        <x:v>Managing the Risks of Hazardous Chemicals</x:v>
      </x:c>
      <x:c r="C38" s="1" t="str">
        <x:v>ext</x:v>
      </x:c>
      <x:c r="D38" s="1" t="str">
        <x:v>Safety Hazards of Engineered Nanomaterials, May 2013 (Safe Work Australia information sheet)</x:v>
      </x:c>
      <x:c r="E38" t="str">
        <x:v>http://www.safeworkaustralia.gov.au/sites/swa/about/publications/pages/safety-hazards-of-engineered-nanomaterials</x:v>
      </x:c>
      <x:c r="F38" s="11" t="n">
        <x:f>=HYPERLINK(E38)</x:f>
      </x:c>
    </x:row>
    <x:row r="39" spans="1:6" x14ac:dyDescent="0.25">
      <x:c r="A39" s="1" t="n">
        <x:v>11670</x:v>
      </x:c>
      <x:c r="B39" s="1" t="str">
        <x:v>Managing the Risks of Lead Exposure</x:v>
      </x:c>
      <x:c r="C39" s="1" t="str">
        <x:v>ext</x:v>
      </x:c>
      <x:c r="D39" s="1" t="str">
        <x:v>Model code of practice - Spray Painting and Powder Coating, March 2015 (Safe Work Australia)</x:v>
      </x:c>
      <x:c r="E39" t="str">
        <x:v>http://www.safeworkaustralia.gov.au/sites/swa/about/publications/pages/spray-painting-and-powder-coating</x:v>
      </x:c>
      <x:c r="F39" s="11" t="n">
        <x:f>=HYPERLINK(E39)</x:f>
      </x:c>
    </x:row>
    <x:row r="40" spans="1:6" x14ac:dyDescent="0.25">
      <x:c r="A40" s="1" t="n">
        <x:v>11672</x:v>
      </x:c>
      <x:c r="B40" s="1" t="str">
        <x:v>Managing the Risks of Lead Exposure</x:v>
      </x:c>
      <x:c r="C40" s="1" t="str">
        <x:v>ext</x:v>
      </x:c>
      <x:c r="D40" s="1" t="str">
        <x:v>Model code of practice - Welding Processes Code of Practice, July 2012 (Safe Work Australia)</x:v>
      </x:c>
      <x:c r="E40" t="str">
        <x:v>http://www.safeworkaustralia.gov.au/sites/swa/about/publications/pages/welding-processes</x:v>
      </x:c>
      <x:c r="F40" s="11" t="n">
        <x:f>=HYPERLINK(E40)</x:f>
      </x:c>
    </x:row>
    <x:row r="41" spans="1:6" x14ac:dyDescent="0.25">
      <x:c r="A41" s="1" t="n">
        <x:v>11671</x:v>
      </x:c>
      <x:c r="B41" s="1" t="str">
        <x:v>Managing the Risks of Lead Exposure</x:v>
      </x:c>
      <x:c r="C41" s="1" t="str">
        <x:v>ext</x:v>
      </x:c>
      <x:c r="D41" s="1" t="str">
        <x:v>Model code of practice - Welding Processes, July 2012 (Safe Work Australia)</x:v>
      </x:c>
      <x:c r="E41" t="str">
        <x:v>http://www.safeworkaustralia.gov.au/sites/swa/about/publications/pages/welding-processes</x:v>
      </x:c>
      <x:c r="F41" s="11" t="n">
        <x:f>=HYPERLINK(E41)</x:f>
      </x:c>
    </x:row>
    <x:row r="42" spans="1:6" x14ac:dyDescent="0.25">
      <x:c r="A42" s="1" t="n">
        <x:v>11669</x:v>
      </x:c>
      <x:c r="B42" s="1" t="str">
        <x:v>Managing the Risks of Lead Exposure</x:v>
      </x:c>
      <x:c r="C42" s="1" t="str">
        <x:v>ext</x:v>
      </x:c>
      <x:c r="D42" s="1" t="str">
        <x:v>Model code of practice - Abrasive Blasting, October 2012 (Safe Work Australia)</x:v>
      </x:c>
      <x:c r="E42" t="str">
        <x:v>http://www.safeworkaustralia.gov.au/sites/swa/about/publications/pages/abrasive-blasting</x:v>
      </x:c>
      <x:c r="F42" s="11" t="n">
        <x:f>=HYPERLINK(E42)</x:f>
      </x:c>
    </x:row>
    <x:row r="43" spans="1:6" x14ac:dyDescent="0.25">
      <x:c r="A43" s="1" t="n">
        <x:v>11673</x:v>
      </x:c>
      <x:c r="B43" s="1" t="str">
        <x:v>Managing the Risks of Lead Exposure</x:v>
      </x:c>
      <x:c r="C43" s="1" t="str">
        <x:v>ext</x:v>
      </x:c>
      <x:c r="D43" s="1" t="str">
        <x:v>Review of hazards and health effects of inorganic lead, July 2014 (Safe Work Australia information sheet)</x:v>
      </x:c>
      <x:c r="E43" t="str">
        <x:v>http://www.safeworkaustralia.gov.au/sites/swa/about/publications/pages/review-of-hazards-and-health-effects-of-inorganic-lead</x:v>
      </x:c>
      <x:c r="F43" s="11" t="n">
        <x:f>=HYPERLINK(E43)</x:f>
      </x:c>
    </x:row>
    <x:row r="44" spans="1:6" x14ac:dyDescent="0.25">
      <x:c r="A44" s="1" t="n">
        <x:v>11569</x:v>
      </x:c>
      <x:c r="B44" s="1" t="str">
        <x:v>Specific Duties of Suppliers of Hazardous Chemicals</x:v>
      </x:c>
      <x:c r="C44" s="1" t="str">
        <x:v>ext</x:v>
      </x:c>
      <x:c r="D44" s="1" t="str">
        <x:v>Model code of practice - Managing risks of hazardous chemicals in the workplace, July 2012 (Safe Work Australia)</x:v>
      </x:c>
      <x:c r="E44" t="str">
        <x:v>http://www.safeworkaustralia.gov.au/sites/swa/about/publications/pages/managing-risks-of-hazardous-chemicals-in-the-workplace</x:v>
      </x:c>
      <x:c r="F44" s="11" t="n">
        <x:f>=HYPERLINK(E44)</x:f>
      </x:c>
    </x:row>
    <x:row r="45" spans="1:6" x14ac:dyDescent="0.25">
      <x:c r="A45" s="1" t="n">
        <x:v>11568</x:v>
      </x:c>
      <x:c r="B45" s="1" t="str">
        <x:v>Specific Duties of Suppliers of Hazardous Chemicals</x:v>
      </x:c>
      <x:c r="C45" s="1" t="str">
        <x:v>ext</x:v>
      </x:c>
      <x:c r="D45" s="1" t="str">
        <x:v>Model code of practice - Preparation of Safety Data Sheets for Hazardous Chemicals, December 2011 (Safe Work Australia)</x:v>
      </x:c>
      <x:c r="E45" t="str">
        <x:v>http://www.safeworkaustralia.gov.au/sites/swa/about/publications/pages/safety-data-sheets-hazardous-chemicals-cop</x:v>
      </x:c>
      <x:c r="F45" s="11" t="n">
        <x:f>=HYPERLINK(E45)</x:f>
      </x:c>
    </x:row>
    <x:row r="46" spans="1:6" x14ac:dyDescent="0.25">
      <x:c r="A46" s="1" t="n">
        <x:v>11567</x:v>
      </x:c>
      <x:c r="B46" s="1" t="str">
        <x:v>Specific Duties of Suppliers of Hazardous Chemicals</x:v>
      </x:c>
      <x:c r="C46" s="1" t="str">
        <x:v>ext</x:v>
      </x:c>
      <x:c r="D46" s="1" t="str">
        <x:v>Model code of practice - Labelling of workplace hazardous chemicals, March 2015 (Safe Work Australia)</x:v>
      </x:c>
      <x:c r="E46" t="str">
        <x:v>http://www.safeworkaustralia.gov.au/sites/swa/about/publications/pages/safety-data-sheets-hazardous-chemicals-cop</x:v>
      </x:c>
      <x:c r="F46" s="11" t="n">
        <x:f>=HYPERLINK(E46)</x:f>
      </x:c>
    </x:row>
    <x:row r="47" spans="1:6" x14ac:dyDescent="0.25">
      <x:c r="A47" s="1" t="n">
        <x:v>11588</x:v>
      </x:c>
      <x:c r="B47" s="1" t="str">
        <x:v>Hazardous Chemicals Register, Manifest and Placards</x:v>
      </x:c>
      <x:c r="C47" s="1" t="str">
        <x:v>ext</x:v>
      </x:c>
      <x:c r="D47" s="1" t="str">
        <x:v>Model code of practice - Managing risks of hazardous chemicals in the workplace, July 2012 (Safe Work Australia)</x:v>
      </x:c>
      <x:c r="E47" t="str">
        <x:v>http://www.safeworkaustralia.gov.au/sites/swa/about/publications/pages/managing-risks-of-hazardous-chemicals-in-the-workplace</x:v>
      </x:c>
      <x:c r="F47" s="11" t="n">
        <x:f>=HYPERLINK(E47)</x:f>
      </x:c>
    </x:row>
    <x:row r="48" spans="1:6" x14ac:dyDescent="0.25">
      <x:c r="A48" s="1" t="n">
        <x:v>11593</x:v>
      </x:c>
      <x:c r="B48" s="1" t="str">
        <x:v>Hazardous Chemicals Register, Manifest and Placards</x:v>
      </x:c>
      <x:c r="C48" s="1" t="str">
        <x:v>ext</x:v>
      </x:c>
      <x:c r="D48" s="1" t="str">
        <x:v>SafeWork SA, ‘Hazardous chemicals’</x:v>
      </x:c>
      <x:c r="E48" t="str">
        <x:v>http://www.safework.sa.gov.au/show_page.jsp?id=112871#.VszwHI9OI7M</x:v>
      </x:c>
      <x:c r="F48" s="11" t="n">
        <x:f>=HYPERLINK(E48)</x:f>
      </x:c>
    </x:row>
    <x:row r="49" spans="1:6" x14ac:dyDescent="0.25">
      <x:c r="A49" s="1" t="n">
        <x:v>11595</x:v>
      </x:c>
      <x:c r="B49" s="1" t="str">
        <x:v>Hazardous Chemicals Register, Manifest and Placards</x:v>
      </x:c>
      <x:c r="C49" s="1" t="str">
        <x:v>ext</x:v>
      </x:c>
      <x:c r="D49" s="1" t="str">
        <x:v>NT WorkSafe, ‘Notification—Schedule 11 hazardous chemicals’</x:v>
      </x:c>
      <x:c r="E49" t="str">
        <x:v>http://www.worksafe.nt.gov.au/PDF Conversion/notification-schedule-11-hazardous-chemicals.pdf</x:v>
      </x:c>
      <x:c r="F49" s="11" t="n">
        <x:f>=HYPERLINK(E49)</x:f>
      </x:c>
    </x:row>
    <x:row r="50" spans="1:6" x14ac:dyDescent="0.25">
      <x:c r="A50" s="1" t="n">
        <x:v>11590</x:v>
      </x:c>
      <x:c r="B50" s="1" t="str">
        <x:v>Hazardous Chemicals Register, Manifest and Placards</x:v>
      </x:c>
      <x:c r="C50" s="1" t="str">
        <x:v>ext</x:v>
      </x:c>
      <x:c r="D50" s="1" t="str">
        <x:v>Comcare (Commonwealth regulator), ‘Hazardous chemicals—notification packages’</x:v>
      </x:c>
      <x:c r="E50" t="str">
        <x:v>http://www.comcare.gov.au/preventing/hazards/chemical_hazards/hazardous_chemicals/hazardous_chemicalsnotification_packages</x:v>
      </x:c>
      <x:c r="F50" s="11" t="n">
        <x:f>=HYPERLINK(E50)</x:f>
      </x:c>
    </x:row>
    <x:row r="51" spans="1:6" x14ac:dyDescent="0.25">
      <x:c r="A51" s="1" t="n">
        <x:v>11591</x:v>
      </x:c>
      <x:c r="B51" s="1" t="str">
        <x:v>Hazardous Chemicals Register, Manifest and Placards</x:v>
      </x:c>
      <x:c r="C51" s="1" t="str">
        <x:v>ext</x:v>
      </x:c>
      <x:c r="D51" s="1" t="str">
        <x:v>WorkCover NSW, ‘Hazardous chemicals notifications’</x:v>
      </x:c>
      <x:c r="E51" t="str">
        <x:v>http://www.workcover.nsw.gov.au/licences-and-registrations/notifications-and-permits/dangerous-goods-notifications</x:v>
      </x:c>
      <x:c r="F51" s="11" t="n">
        <x:f>=HYPERLINK(E51)</x:f>
      </x:c>
    </x:row>
    <x:row r="52" spans="1:6" x14ac:dyDescent="0.25">
      <x:c r="A52" s="1" t="n">
        <x:v>11592</x:v>
      </x:c>
      <x:c r="B52" s="1" t="str">
        <x:v>Hazardous Chemicals Register, Manifest and Placards</x:v>
      </x:c>
      <x:c r="C52" s="1" t="str">
        <x:v>ext</x:v>
      </x:c>
      <x:c r="D52" s="1" t="str">
        <x:v>WorkCover Queensland, ‘Hazardous chemicals notifications’</x:v>
      </x:c>
      <x:c r="E52" t="str">
        <x:v>http://www.worksafe.qld.gov.au/injury-prevention-safety/hazardous-chemicals/notifications-for-hazardous-chemicals</x:v>
      </x:c>
      <x:c r="F52" s="11" t="n">
        <x:f>=HYPERLINK(E52)</x:f>
      </x:c>
    </x:row>
    <x:row r="53" spans="1:6" x14ac:dyDescent="0.25">
      <x:c r="A53" s="1" t="n">
        <x:v>11589</x:v>
      </x:c>
      <x:c r="B53" s="1" t="str">
        <x:v>Hazardous Chemicals Register, Manifest and Placards</x:v>
      </x:c>
      <x:c r="C53" s="1" t="str">
        <x:v>ext</x:v>
      </x:c>
      <x:c r="D53" s="1" t="str">
        <x:v>Hazardous chemicals register, April 2012 (Safe Work Australia information sheet)</x:v>
      </x:c>
      <x:c r="E53" t="str">
        <x:v>http://www.safeworkaustralia.gov.au/sites/swa/about/publications/pages/hazardous-chemicals-register</x:v>
      </x:c>
      <x:c r="F53" s="11" t="n">
        <x:f>=HYPERLINK(E53)</x:f>
      </x:c>
    </x:row>
    <x:row r="54" spans="1:6" x14ac:dyDescent="0.25">
      <x:c r="A54" s="1" t="n">
        <x:v>11594</x:v>
      </x:c>
      <x:c r="B54" s="1" t="str">
        <x:v>Hazardous Chemicals Register, Manifest and Placards</x:v>
      </x:c>
      <x:c r="C54" s="1" t="str">
        <x:v>ext</x:v>
      </x:c>
      <x:c r="D54" s="1" t="str">
        <x:v>WorkSafe Tasmania, ‘Hazardous chemicals’</x:v>
      </x:c>
      <x:c r="E54" t="str">
        <x:v>http://worksafe.tas.gov.au/licensing/dangerous_goods/hazardous_chemicals</x:v>
      </x:c>
      <x:c r="F54" s="11" t="n">
        <x:f>=HYPERLINK(E54)</x:f>
      </x:c>
    </x:row>
    <x:row r="55" spans="1:6" x14ac:dyDescent="0.25">
      <x:c r="A55" s="1" t="n">
        <x:v>11645</x:v>
      </x:c>
      <x:c r="B55" s="1" t="str">
        <x:v>Health Monitoring for Exposure to Hazardous Chemicals</x:v>
      </x:c>
      <x:c r="C55" s="1" t="str">
        <x:v>ext</x:v>
      </x:c>
      <x:c r="D55" s="1" t="str">
        <x:v>Model code of practice - Managing risks of hazardous chemicals in the workplace, July 2012 (Safe Work Australia)</x:v>
      </x:c>
      <x:c r="E55" t="str">
        <x:v>http://www.safeworkaustralia.gov.au/sites/swa/about/publications/pages/managing-risks-of-hazardous-chemicals-in-the-workplace</x:v>
      </x:c>
      <x:c r="F55" s="11" t="n">
        <x:f>=HYPERLINK(E55)</x:f>
      </x:c>
    </x:row>
    <x:row r="56" spans="1:6" x14ac:dyDescent="0.25">
      <x:c r="A56" s="1" t="n">
        <x:v>11646</x:v>
      </x:c>
      <x:c r="B56" s="1" t="str">
        <x:v>Health Monitoring for Exposure to Hazardous Chemicals</x:v>
      </x:c>
      <x:c r="C56" s="1" t="str">
        <x:v>ext</x:v>
      </x:c>
      <x:c r="D56" s="1" t="str">
        <x:v>Model code of practice - Abrasive Blasting, October 2012 (Safe Work Australia)</x:v>
      </x:c>
      <x:c r="E56" t="str">
        <x:v>http://www.safeworkaustralia.gov.au/sites/swa/about/publications/pages/abrasive-blasting</x:v>
      </x:c>
      <x:c r="F56" s="11" t="n">
        <x:f>=HYPERLINK(E56)</x:f>
      </x:c>
    </x:row>
    <x:row r="57" spans="1:6" x14ac:dyDescent="0.25">
      <x:c r="A57" s="1" t="n">
        <x:v>11648</x:v>
      </x:c>
      <x:c r="B57" s="1" t="str">
        <x:v>Health Monitoring for Exposure to Hazardous Chemicals</x:v>
      </x:c>
      <x:c r="C57" s="1" t="str">
        <x:v>ext</x:v>
      </x:c>
      <x:c r="D57" s="1" t="str">
        <x:v>Model code of practice - Welding Processes, July 2012 (Safe Work Australia)</x:v>
      </x:c>
      <x:c r="E57" t="str">
        <x:v>http://www.safeworkaustralia.gov.au/sites/swa/about/publications/pages/welding-processes</x:v>
      </x:c>
      <x:c r="F57" s="11" t="n">
        <x:f>=HYPERLINK(E57)</x:f>
      </x:c>
    </x:row>
    <x:row r="58" spans="1:6" x14ac:dyDescent="0.25">
      <x:c r="A58" s="1" t="n">
        <x:v>11649</x:v>
      </x:c>
      <x:c r="B58" s="1" t="str">
        <x:v>Health Monitoring for Exposure to Hazardous Chemicals</x:v>
      </x:c>
      <x:c r="C58" s="1" t="str">
        <x:v>ext</x:v>
      </x:c>
      <x:c r="D58" s="1" t="str">
        <x:v>Controlling risks associated with electroplating, April 2012 (Safe Work Australia)</x:v>
      </x:c>
      <x:c r="E58" t="str">
        <x:v>http://www.safeworkaustralia.gov.au/sites/swa/about/publications/pages/electroplating.</x:v>
      </x:c>
      <x:c r="F58" s="11" t="n">
        <x:f>=HYPERLINK(E58)</x:f>
      </x:c>
    </x:row>
    <x:row r="59" spans="1:6" x14ac:dyDescent="0.25">
      <x:c r="A59" s="1" t="n">
        <x:v>11644</x:v>
      </x:c>
      <x:c r="B59" s="1" t="str">
        <x:v>Health Monitoring for Exposure to Hazardous Chemicals</x:v>
      </x:c>
      <x:c r="C59" s="1" t="str">
        <x:v>ext</x:v>
      </x:c>
      <x:c r="D59" s="1" t="str">
        <x:v>Hazardous chemicals requiring health monitoring, March 2013 (Safe Work Australia)</x:v>
      </x:c>
      <x:c r="E59" t="str">
        <x:v>http://www.safeworkaustralia.gov.au/sites/swa/about/publications/pages/hazardous-chemicals-requiring-health-monitoring</x:v>
      </x:c>
      <x:c r="F59" s="11" t="n">
        <x:f>=HYPERLINK(E59)</x:f>
      </x:c>
    </x:row>
    <x:row r="60" spans="1:6" x14ac:dyDescent="0.25">
      <x:c r="A60" s="1" t="n">
        <x:v>11643</x:v>
      </x:c>
      <x:c r="B60" s="1" t="str">
        <x:v>Health Monitoring for Exposure to Hazardous Chemicals</x:v>
      </x:c>
      <x:c r="C60" s="1" t="str">
        <x:v>ext</x:v>
      </x:c>
      <x:c r="D60" s="1" t="str">
        <x:v>Health monitoring for exposure to hazardous chemicals—guide for persons conducting a business or undertaking, February 2013 (Safe Work Australia)</x:v>
      </x:c>
      <x:c r="E60" t="str">
        <x:v>http://www.safeworkaustralia.gov.au/sites/swa/about/publications/pages/health-monitoring-guide-pcbu</x:v>
      </x:c>
      <x:c r="F60" s="11" t="n">
        <x:f>=HYPERLINK(E60)</x:f>
      </x:c>
    </x:row>
    <x:row r="61" spans="1:6" x14ac:dyDescent="0.25">
      <x:c r="A61" s="1" t="n">
        <x:v>11647</x:v>
      </x:c>
      <x:c r="B61" s="1" t="str">
        <x:v>Health Monitoring for Exposure to Hazardous Chemicals</x:v>
      </x:c>
      <x:c r="C61" s="1" t="str">
        <x:v>ext</x:v>
      </x:c>
      <x:c r="D61" s="1" t="str">
        <x:v>Model code of practice - Spray Painting and Powder Coating, March 2015 (Safe Work Australia)</x:v>
      </x:c>
      <x:c r="E61" t="str">
        <x:v>http://www.safeworkaustralia.gov.au/sites/swa/about/publications/pages/spray-painting-and-powder-coating</x:v>
      </x:c>
      <x:c r="F61" s="11" t="n">
        <x:f>=HYPERLINK(E61)</x:f>
      </x:c>
    </x:row>
    <x:row r="62" spans="1:6" x14ac:dyDescent="0.25">
      <x:c r="A62" s="1" t="n">
        <x:v>11577</x:v>
      </x:c>
      <x:c r="B62" s="1" t="str">
        <x:v>Packing and Labelling Hazardous Chemicals</x:v>
      </x:c>
      <x:c r="C62" s="1" t="str">
        <x:v>ext</x:v>
      </x:c>
      <x:c r="D62" s="1" t="str">
        <x:v>Model code of practice - Managing risks of hazardous chemicals in the workplace, July 2012 (Safe Work Australia)</x:v>
      </x:c>
      <x:c r="E62" t="str">
        <x:v>http://www.safeworkaustralia.gov.au/sites/swa/about/publications/pages/managing-risks-of-hazardous-chemicals-in-the-workplace</x:v>
      </x:c>
      <x:c r="F62" s="11" t="n">
        <x:f>=HYPERLINK(E62)</x:f>
      </x:c>
    </x:row>
    <x:row r="63" spans="1:6" x14ac:dyDescent="0.25">
      <x:c r="A63" s="1" t="n">
        <x:v>11578</x:v>
      </x:c>
      <x:c r="B63" s="1" t="str">
        <x:v>Packing and Labelling Hazardous Chemicals</x:v>
      </x:c>
      <x:c r="C63" s="1" t="str">
        <x:v>ext</x:v>
      </x:c>
      <x:c r="D63" s="1" t="str">
        <x:v>Guidance on the classification of hazardous chemicals under the WHS Regulations, April 2012 (Safe Work Australia)</x:v>
      </x:c>
      <x:c r="E63" t="str">
        <x:v>http://www.safeworkaustralia.gov.au/sites/swa/about/publications/pages/guidance-classification-whs-regulations</x:v>
      </x:c>
      <x:c r="F63" s="11" t="n">
        <x:f>=HYPERLINK(E63)</x:f>
      </x:c>
    </x:row>
    <x:row r="64" spans="1:6" x14ac:dyDescent="0.25">
      <x:c r="A64" s="1" t="n">
        <x:v>11575</x:v>
      </x:c>
      <x:c r="B64" s="1" t="str">
        <x:v>Packing and Labelling Hazardous Chemicals</x:v>
      </x:c>
      <x:c r="C64" s="1" t="str">
        <x:v>ext</x:v>
      </x:c>
      <x:c r="D64" s="1" t="str">
        <x:v>Changes to labelling for agricultural and veterinary (AgVet) chemicals, February 2016 (Safe Work Australia policy statement)</x:v>
      </x:c>
      <x:c r="E64" t="str">
        <x:v>http://www.safeworkaustralia.gov.au/sites/swa/about/publications/pages/labelling-agvet-chemicals</x:v>
      </x:c>
      <x:c r="F64" s="11" t="n">
        <x:f>=HYPERLINK(E64)</x:f>
      </x:c>
    </x:row>
    <x:row r="65" spans="1:6" x14ac:dyDescent="0.25">
      <x:c r="A65" s="1" t="n">
        <x:v>11573</x:v>
      </x:c>
      <x:c r="B65" s="1" t="str">
        <x:v>Packing and Labelling Hazardous Chemicals</x:v>
      </x:c>
      <x:c r="C65" s="1" t="str">
        <x:v>ext</x:v>
      </x:c>
      <x:c r="D65" s="1" t="str">
        <x:v>Understanding hazardous chemical labels, August 2012 (Safe Work Australia fact sheet)</x:v>
      </x:c>
      <x:c r="E65" t="str">
        <x:v>http://www.safeworkaustralia.gov.au/sites/swa/about/publications/pages/understanding-hazardous-chemical-labels</x:v>
      </x:c>
      <x:c r="F65" s="11" t="n">
        <x:f>=HYPERLINK(E65)</x:f>
      </x:c>
    </x:row>
    <x:row r="66" spans="1:6" x14ac:dyDescent="0.25">
      <x:c r="A66" s="1" t="n">
        <x:v>11574</x:v>
      </x:c>
      <x:c r="B66" s="1" t="str">
        <x:v>Packing and Labelling Hazardous Chemicals</x:v>
      </x:c>
      <x:c r="C66" s="1" t="str">
        <x:v>ext</x:v>
      </x:c>
      <x:c r="D66" s="1" t="str">
        <x:v>Information sheet for businesses using, handling or storing agricultural and veterinary (AgVet) chemicals, February 2016 (Safe Work Australia)</x:v>
      </x:c>
      <x:c r="E66" t="str">
        <x:v>http://www.safeworkaustralia.gov.au/sites/swa/about/publications/pages/labelling-agvet-chemicals</x:v>
      </x:c>
      <x:c r="F66" s="11" t="n">
        <x:f>=HYPERLINK(E66)</x:f>
      </x:c>
    </x:row>
    <x:row r="67" spans="1:6" x14ac:dyDescent="0.25">
      <x:c r="A67" s="1" t="n">
        <x:v>11576</x:v>
      </x:c>
      <x:c r="B67" s="1" t="str">
        <x:v>Packing and Labelling Hazardous Chemicals</x:v>
      </x:c>
      <x:c r="C67" s="1" t="str">
        <x:v>ext</x:v>
      </x:c>
      <x:c r="D67" s="1" t="str">
        <x:v>Model code of practice - Labelling of workplace hazardous chemicals, March 2015 (Safe Work Australia)</x:v>
      </x:c>
      <x:c r="E67" t="str">
        <x:v>http://www.safeworkaustralia.gov.au/sites/swa/about/publications/pages/safety-data-sheets-hazardous-chemicals-cop</x:v>
      </x:c>
      <x:c r="F67" s="11" t="n">
        <x:f>=HYPERLINK(E67)</x:f>
      </x:c>
    </x:row>
    <x:row r="68" spans="1:6" x14ac:dyDescent="0.25">
      <x:c r="A68" s="1" t="n">
        <x:v>11659</x:v>
      </x:c>
      <x:c r="B68" s="1" t="str">
        <x:v>Prohibited and Restricted Carcinogens and Restricted Hazardous Chemicals</x:v>
      </x:c>
      <x:c r="C68" s="1" t="str">
        <x:v>ext</x:v>
      </x:c>
      <x:c r="D68" s="1" t="str">
        <x:v>Model code of practice - Spray Painting and Powder Coating Code of Practice, March 2015 (Safe Work Australia)</x:v>
      </x:c>
      <x:c r="E68" t="str">
        <x:v>http://www.safeworkaustralia.gov.au/sites/swa/about/publications/pages/spray-painting-and-powder-coating</x:v>
      </x:c>
      <x:c r="F68" s="11" t="n">
        <x:f>=HYPERLINK(E68)</x:f>
      </x:c>
    </x:row>
    <x:row r="69" spans="1:6" x14ac:dyDescent="0.25">
      <x:c r="A69" s="1" t="n">
        <x:v>11658</x:v>
      </x:c>
      <x:c r="B69" s="1" t="str">
        <x:v>Prohibited and Restricted Carcinogens and Restricted Hazardous Chemicals</x:v>
      </x:c>
      <x:c r="C69" s="1" t="str">
        <x:v>ext</x:v>
      </x:c>
      <x:c r="D69" s="1" t="str">
        <x:v>Model code of practice - Abrasive Blasting Code of Practice, October 2012 (Safe Work Australia)</x:v>
      </x:c>
      <x:c r="E69" t="str">
        <x:v>http://www.safeworkaustralia.gov.au/sites/swa/about/publications/pages/abrasive-blasting</x:v>
      </x:c>
      <x:c r="F69" s="11" t="n">
        <x:f>=HYPERLINK(E69)</x:f>
      </x:c>
    </x:row>
    <x:row r="70" spans="1:6" x14ac:dyDescent="0.25">
      <x:c r="A70" s="1" t="n">
        <x:v>11657</x:v>
      </x:c>
      <x:c r="B70" s="1" t="str">
        <x:v>Prohibited and Restricted Carcinogens and Restricted Hazardous Chemicals</x:v>
      </x:c>
      <x:c r="C70" s="1" t="str">
        <x:v>ext</x:v>
      </x:c>
      <x:c r="D70" s="1" t="str">
        <x:v>Model code of practice - Managing risks of hazardous chemicals in the workplace, July 2012 (Safe Work Australia)</x:v>
      </x:c>
      <x:c r="E70" t="str">
        <x:v>http://www.safeworkaustralia.gov.au/sites/swa/about/publications/pages/managing-risks-of-hazardous-chemicals-in-the-workplace</x:v>
      </x:c>
      <x:c r="F70" s="11" t="n">
        <x:f>=HYPERLINK(E70)</x:f>
      </x:c>
    </x:row>
    <x:row r="71" spans="1:6" x14ac:dyDescent="0.25">
      <x:c r="A71" s="1" t="n">
        <x:v>11621</x:v>
      </x:c>
      <x:c r="B71" s="1" t="str">
        <x:v>Storage and Handling Systems and Spill Containment</x:v>
      </x:c>
      <x:c r="C71" s="1" t="str">
        <x:v>ext</x:v>
      </x:c>
      <x:c r="D71" s="1" t="str">
        <x:v>Model code of practice - Managing risks of hazardous chemicals in the workplace, July 2012 (Safe Work Australia)</x:v>
      </x:c>
      <x:c r="E71" t="str">
        <x:v>http://www.safeworkaustralia.gov.au/sites/swa/about/publications/pages/managing-risks-of-hazardous-chemicals-in-the-workplace</x:v>
      </x:c>
      <x:c r="F71" s="11" t="n">
        <x:f>=HYPERLINK(E71)</x:f>
      </x:c>
    </x:row>
    <x:row r="72" spans="1:6" x14ac:dyDescent="0.25">
      <x:c r="A72" s="1" t="n">
        <x:v>11663</x:v>
      </x:c>
      <x:c r="B72" s="1" t="str">
        <x:v>Pipelines</x:v>
      </x:c>
      <x:c r="C72" s="1" t="str">
        <x:v>ext</x:v>
      </x:c>
      <x:c r="D72" s="1" t="str">
        <x:v>Model code of practice - Labelling of workplace hazardous chemicals, March 2015 (Safe Work Australia)</x:v>
      </x:c>
      <x:c r="E72" t="str">
        <x:v>http://www.safeworkaustralia.gov.au/sites/swa/about/publications/pages/safety-data-sheets-hazardous-chemicals-cop</x:v>
      </x:c>
      <x:c r="F72" s="11" t="n">
        <x:f>=HYPERLINK(E72)</x:f>
      </x:c>
    </x:row>
    <x:row r="73" spans="1:6" x14ac:dyDescent="0.25">
      <x:c r="A73" s="1" t="n">
        <x:v>11665</x:v>
      </x:c>
      <x:c r="B73" s="1" t="str">
        <x:v>Pipelines</x:v>
      </x:c>
      <x:c r="C73" s="1" t="str">
        <x:v>ext</x:v>
      </x:c>
      <x:c r="D73" s="1" t="str">
        <x:v>Guidance on the classification of hazardous chemicals under the WHS Regulations, April 2012 (Safe Work Australia)</x:v>
      </x:c>
      <x:c r="E73" t="str">
        <x:v>http://www.safeworkaustralia.gov.au/sites/swa/about/publications/pages/guidance-classification-whs-regulations</x:v>
      </x:c>
      <x:c r="F73" s="11" t="n">
        <x:f>=HYPERLINK(E73)</x:f>
      </x:c>
    </x:row>
    <x:row r="74" spans="1:6" x14ac:dyDescent="0.25">
      <x:c r="A74" s="1" t="n">
        <x:v>11664</x:v>
      </x:c>
      <x:c r="B74" s="1" t="str">
        <x:v>Pipelines</x:v>
      </x:c>
      <x:c r="C74" s="1" t="str">
        <x:v>ext</x:v>
      </x:c>
      <x:c r="D74" s="1" t="str">
        <x:v>Model code of practice - Managing risks of hazardous chemicals in the workplace, July 2012 (Safe Work Australia)</x:v>
      </x:c>
      <x:c r="E74" t="str">
        <x:v>http://www.safeworkaustralia.gov.au/sites/swa/about/publications/pages/managing-risks-of-hazardous-chemicals-in-the-workplace</x:v>
      </x:c>
      <x:c r="F74" s="11" t="n">
        <x:f>=HYPERLINK(E74)</x:f>
      </x:c>
    </x:row>
    <x:row r="75" spans="1:6" x14ac:dyDescent="0.25">
      <x:c r="A75" s="1" t="n">
        <x:v>11582</x:v>
      </x:c>
      <x:c r="B75" s="1" t="str">
        <x:v>Safety Data Sheets</x:v>
      </x:c>
      <x:c r="C75" s="1" t="str">
        <x:v>ext</x:v>
      </x:c>
      <x:c r="D75" s="1" t="str">
        <x:v>Model code of practice - Preparation of Safety Data Sheets for Hazardous Chemicals, December 2011 (Safe Work Australia)</x:v>
      </x:c>
      <x:c r="E75" t="str">
        <x:v>http://www.safeworkaustralia.gov.au/sites/swa/about/publications/pages/safety-data-sheets-hazardous-chemicals-cop</x:v>
      </x:c>
      <x:c r="F75" s="11" t="n">
        <x:f>=HYPERLINK(E75)</x:f>
      </x:c>
    </x:row>
    <x:row r="76" spans="1:6" x14ac:dyDescent="0.25">
      <x:c r="A76" s="1" t="n">
        <x:v>11583</x:v>
      </x:c>
      <x:c r="B76" s="1" t="str">
        <x:v>Safety Data Sheets</x:v>
      </x:c>
      <x:c r="C76" s="1" t="str">
        <x:v>ext</x:v>
      </x:c>
      <x:c r="D76" s="1" t="str">
        <x:v>Model code of practice - Managing risks of hazardous chemicals in the workplace, July 2012 (Safe Work Australia)</x:v>
      </x:c>
      <x:c r="E76" t="str">
        <x:v>http://www.safeworkaustralia.gov.au/sites/swa/about/publications/pages/managing-risks-of-hazardous-chemicals-in-the-workplace</x:v>
      </x:c>
      <x:c r="F76" s="11" t="n">
        <x:f>=HYPERLINK(E76)</x:f>
      </x:c>
    </x:row>
    <x:row r="77" spans="1:6" x14ac:dyDescent="0.25">
      <x:c r="A77" s="1" t="n">
        <x:v>11584</x:v>
      </x:c>
      <x:c r="B77" s="1" t="str">
        <x:v>Safety Data Sheets</x:v>
      </x:c>
      <x:c r="C77" s="1" t="str">
        <x:v>ext</x:v>
      </x:c>
      <x:c r="D77" s="1" t="str">
        <x:v>Understanding safety data sheets for hazardous chemicals, April 2012 (Safe Work Australia fact sheet)</x:v>
      </x:c>
      <x:c r="E77" t="str">
        <x:v>http://www.safeworkaustralia.gov.au/sites/swa/about/publications/pages/sds - fact-sheet</x:v>
      </x:c>
      <x:c r="F77" s="11" t="n">
        <x:f>=HYPERLINK(E77)</x:f>
      </x:c>
    </x:row>
    <x:row r="78" spans="1:6" x14ac:dyDescent="0.25">
      <x:c r="A78" s="1" t="n">
        <x:v>11553</x:v>
      </x:c>
      <x:c r="B78" s="1" t="str">
        <x:v>Design, Manufacture, Import and Supply of Substances</x:v>
      </x:c>
      <x:c r="C78" s="1" t="str">
        <x:v>ext</x:v>
      </x:c>
      <x:c r="D78" s="1" t="str">
        <x:v>Interpretive guideline—model Work Health and Safety Act—the meaning of ‘reasonably practicable’, September 2011 (Safe Work Australia)</x:v>
      </x:c>
      <x:c r="E78" t="str">
        <x:v>http://www.safeworkaustralia.gov.au/sites/swa/about/publications/pages/interpretive-guideline-reasonably-practicable</x:v>
      </x:c>
      <x:c r="F78" s="11" t="n">
        <x:f>=HYPERLINK(E78)</x:f>
      </x:c>
    </x:row>
    <x:row r="79" spans="1:6" x14ac:dyDescent="0.25">
      <x:c r="A79" s="1" t="n">
        <x:v>13721</x:v>
      </x:c>
      <x:c r="B79" s="1" t="str">
        <x:v>Design, Manufacture, Import and Supply of Substances</x:v>
      </x:c>
      <x:c r="C79" s="1" t="str">
        <x:v>doc</x:v>
      </x:c>
      <x:c r="D79" s="1" t="str">
        <x:v>18.29 WHS plant and structures - design, manufacture, import, supply checklist.docx</x:v>
      </x:c>
      <x:c r="E79" t="str">
        <x:v>https://compliance.store.lexisnexis.com.au/rest/api/v1.1/?a=13721</x:v>
      </x:c>
      <x:c r="F79" s="11" t="n">
        <x:f>=HYPERLINK(E79)</x:f>
      </x:c>
    </x:row>
    <x:row r="80" spans="1:6" x14ac:dyDescent="0.25">
      <x:c r="A80" s="1" t="n">
        <x:v>11550</x:v>
      </x:c>
      <x:c r="B80" s="1" t="str">
        <x:v>Design, Manufacture, Import and Supply of Substances</x:v>
      </x:c>
      <x:c r="C80" s="1" t="str">
        <x:v>ext</x:v>
      </x:c>
      <x:c r="D80" s="1" t="str">
        <x:v>Model code of practice - Managing risks of hazardous chemicals in the workplace, July 2012 (Safe Work Australia)</x:v>
      </x:c>
      <x:c r="E80" t="str">
        <x:v>http://www.safeworkaustralia.gov.au/sites/swa/about/publications/pages/managing-risks-of-hazardous-chemicals-in-the-workplace</x:v>
      </x:c>
      <x:c r="F80" s="11" t="n">
        <x:f>=HYPERLINK(E80)</x:f>
      </x:c>
    </x:row>
    <x:row r="81" spans="1:6" x14ac:dyDescent="0.25">
      <x:c r="A81" s="1" t="n">
        <x:v>11551</x:v>
      </x:c>
      <x:c r="B81" s="1" t="str">
        <x:v>Design, Manufacture, Import and Supply of Substances</x:v>
      </x:c>
      <x:c r="C81" s="1" t="str">
        <x:v>ext</x:v>
      </x:c>
      <x:c r="D81" s="1" t="str">
        <x:v>Model code of practice - How to manage work health and safety risks, December 2011 (Safe Work Australia)</x:v>
      </x:c>
      <x:c r="E81" t="str">
        <x:v>http://www.safeworkaustralia.gov.au/sites/swa/about/publications/pages/manage-whs-risks-cop</x:v>
      </x:c>
      <x:c r="F81" s="11" t="n">
        <x:f>=HYPERLINK(E81)</x:f>
      </x:c>
    </x:row>
    <x:row r="82" spans="1:6" x14ac:dyDescent="0.25">
      <x:c r="A82" s="1" t="n">
        <x:v>11552</x:v>
      </x:c>
      <x:c r="B82" s="1" t="str">
        <x:v>Design, Manufacture, Import and Supply of Substances</x:v>
      </x:c>
      <x:c r="C82" s="1" t="str">
        <x:v>ext</x:v>
      </x:c>
      <x:c r="D82" s="1" t="str">
        <x:v>How to determine what is reasonably practicable to meet a health and safety duty, May 2013 (Safe Work Australia guide)</x:v>
      </x:c>
      <x:c r="E82" t="str">
        <x:v>http://www.safeworkaustralia.gov.au/sites/swa/about/publications/pages/guide-reasonably-practicable</x:v>
      </x:c>
      <x:c r="F82" s="11" t="n">
        <x:f>=HYPERLINK(E82)</x:f>
      </x:c>
    </x:row>
    <x:row r="83" spans="1:6" x14ac:dyDescent="0.25">
      <x:c r="A83" s="1" t="n">
        <x:v>11626</x:v>
      </x:c>
      <x:c r="B83" s="1" t="str">
        <x:v>Emergency Plans and Safety Equipment</x:v>
      </x:c>
      <x:c r="C83" s="1" t="str">
        <x:v>ext</x:v>
      </x:c>
      <x:c r="D83" s="1" t="str">
        <x:v>Guide to handling isocyanates, July 2015 (Safe Work Australia)</x:v>
      </x:c>
      <x:c r="E83" t="str">
        <x:v>http://www.safeworkaustralia.gov.au/sites/swa/about/publications/pages/guide-to-handling-isocyanates</x:v>
      </x:c>
      <x:c r="F83" s="11" t="n">
        <x:f>=HYPERLINK(E83)</x:f>
      </x:c>
    </x:row>
    <x:row r="84" spans="1:6" x14ac:dyDescent="0.25">
      <x:c r="A84" s="1" t="n">
        <x:v>11625</x:v>
      </x:c>
      <x:c r="B84" s="1" t="str">
        <x:v>Emergency Plans and Safety Equipment</x:v>
      </x:c>
      <x:c r="C84" s="1" t="str">
        <x:v>ext</x:v>
      </x:c>
      <x:c r="D84" s="1" t="str">
        <x:v>Model code of practice - Managing risks of hazardous chemicals in the workplace, July 2012 (Safe Work Australia)</x:v>
      </x:c>
      <x:c r="E84" t="str">
        <x:v>http://www.safeworkaustralia.gov.au/sites/swa/about/publications/pages/managing-risks-of-hazardous-chemicals-in-the-workplace</x:v>
      </x:c>
      <x:c r="F84" s="11" t="n">
        <x:f>=HYPERLINK(E84)</x:f>
      </x:c>
    </x:row>
    <x:row r="85" spans="1:6" x14ac:dyDescent="0.25">
      <x:c r="A85" s="1" t="n">
        <x:v>11628</x:v>
      </x:c>
      <x:c r="B85" s="1" t="str">
        <x:v>Emergency Plans and Safety Equipment</x:v>
      </x:c>
      <x:c r="C85" s="1" t="str">
        <x:v>ext</x:v>
      </x:c>
      <x:c r="D85" s="1" t="str">
        <x:v>Controlling risks associated with electroplating, April 2012 (Safe Work Australia)</x:v>
      </x:c>
      <x:c r="E85" s="12" t="str">
        <x:v>http://www.safeworkaustralia.gov.au/sites/swa/about/publications/pages/electroplating.</x:v>
      </x:c>
      <x:c r="F85" s="11" t="n">
        <x:f>=HYPERLINK(E85)</x:f>
      </x:c>
    </x:row>
    <x:row r="86" spans="1:6" x14ac:dyDescent="0.25">
      <x:c r="A86" s="1" t="n">
        <x:v>11627</x:v>
      </x:c>
      <x:c r="B86" s="1" t="str">
        <x:v>Emergency Plans and Safety Equipment</x:v>
      </x:c>
      <x:c r="C86" s="1" t="str">
        <x:v>ext</x:v>
      </x:c>
      <x:c r="D86" s="1" t="str">
        <x:v>Guide for preventing and responding to cyanide poisoning in the workplace, April 2013 (Safe Work Australia)</x:v>
      </x:c>
      <x:c r="E86" s="12" t="str">
        <x:v>http://www.safeworkaustralia.gov.au/sites/swa/about/publications/pages/cyanide-poisoning</x:v>
      </x:c>
      <x:c r="F86" s="11" t="n">
        <x:f>=HYPERLINK(E86)</x:f>
      </x:c>
    </x:row>
    <x:row r="87" spans="1:6" x14ac:dyDescent="0.25">
      <x:c r="A87" s="1" t="n">
        <x:v>11653</x:v>
      </x:c>
      <x:c r="B87" s="1" t="str">
        <x:v>Hazardous Chemicals—Supervision and Training for Workers</x:v>
      </x:c>
      <x:c r="C87" s="1" t="str">
        <x:v>ext</x:v>
      </x:c>
      <x:c r="D87" s="1" t="str">
        <x:v>Model code of practice - Managing risks of hazardous chemicals in the workplace, July 2012 (Safe Work Australia)</x:v>
      </x:c>
      <x:c r="E87" s="12" t="str">
        <x:v>http://www.safeworkaustralia.gov.au/sites/swa/about/publications/pages/managing-risks-of-hazardous-chemicals-in-the-workplace</x:v>
      </x:c>
      <x:c r="F87" s="11" t="n">
        <x:f>=HYPERLINK(E87)</x:f>
      </x:c>
    </x:row>
    <x:row r="88" spans="1:6" x14ac:dyDescent="0.25">
      <x:c r="A88" s="1" t="n">
        <x:v>11685</x:v>
      </x:c>
      <x:c r="B88" s="1" t="str">
        <x:v>Lead-Risk Work</x:v>
      </x:c>
      <x:c r="C88" s="1" t="str">
        <x:v>ext</x:v>
      </x:c>
      <x:c r="D88" s="1" t="str">
        <x:v>Model code of practice - Spray Painting and Powder Coating Code of Practice, March 2015 (Safe Work Australia)</x:v>
      </x:c>
      <x:c r="E88" t="str">
        <x:v>http://www.safeworkaustralia.gov.au/sites/swa/about/publications/pages/spray-painting-and-powder-coating</x:v>
      </x:c>
      <x:c r="F88" s="11" t="n">
        <x:f>=HYPERLINK(E88)</x:f>
      </x:c>
    </x:row>
    <x:row r="89" spans="1:6" x14ac:dyDescent="0.25">
      <x:c r="A89" s="1" t="n">
        <x:v>11686</x:v>
      </x:c>
      <x:c r="B89" s="1" t="str">
        <x:v>Lead-Risk Work</x:v>
      </x:c>
      <x:c r="C89" s="1" t="str">
        <x:v>ext</x:v>
      </x:c>
      <x:c r="D89" s="1" t="str">
        <x:v>Model code of practice - Welding Processes Code of Practice, July 2012 (Safe Work Australia)</x:v>
      </x:c>
      <x:c r="E89" t="str">
        <x:v>http://www.safeworkaustralia.gov.au/sites/swa/about/publications/pages/welding-processes</x:v>
      </x:c>
      <x:c r="F89" s="11" t="n">
        <x:f>=HYPERLINK(E89)</x:f>
      </x:c>
    </x:row>
    <x:row r="90" spans="1:6" x14ac:dyDescent="0.25">
      <x:c r="A90" s="1" t="n">
        <x:v>11684</x:v>
      </x:c>
      <x:c r="B90" s="1" t="str">
        <x:v>Lead-Risk Work</x:v>
      </x:c>
      <x:c r="C90" s="1" t="str">
        <x:v>ext</x:v>
      </x:c>
      <x:c r="D90" s="1" t="str">
        <x:v>Model code of practice - Abrasive Blasting Code of Practice, October 2012 (Safe Work Australia)</x:v>
      </x:c>
      <x:c r="E90" t="str">
        <x:v>http://www.safeworkaustralia.gov.au/sites/swa/about/publications/pages/abrasive-blasting</x:v>
      </x:c>
      <x:c r="F90" s="11" t="n">
        <x:f>=HYPERLINK(E90)</x:f>
      </x:c>
    </x:row>
    <x:row r="91" spans="1:6" x14ac:dyDescent="0.25">
      <x:c r="A91" s="1" t="n">
        <x:v>11683</x:v>
      </x:c>
      <x:c r="B91" s="1" t="str">
        <x:v>Lead-Risk Work</x:v>
      </x:c>
      <x:c r="C91" s="1" t="str">
        <x:v>ext</x:v>
      </x:c>
      <x:c r="D91" s="1" t="str">
        <x:v>Model code of practice - Managing risks of hazardous chemicals in the workplace, July 2012 (Safe Work Australia)</x:v>
      </x:c>
      <x:c r="E91" t="str">
        <x:v>http://www.safeworkaustralia.gov.au/sites/swa/about/publications/pages/managing-risks-of-hazardous-chemicals-in-the-workplace</x:v>
      </x:c>
      <x:c r="F91" s="11" t="n">
        <x:f>=HYPERLINK(E91)</x:f>
      </x:c>
    </x:row>
    <x:row r="92" spans="1:6" x14ac:dyDescent="0.25">
      <x:c r="A92" s="1" t="n">
        <x:v>11682</x:v>
      </x:c>
      <x:c r="B92" s="1" t="str">
        <x:v>Lead-Risk Work</x:v>
      </x:c>
      <x:c r="C92" s="1" t="str">
        <x:v>ext</x:v>
      </x:c>
      <x:c r="D92" s="1" t="str">
        <x:v>Review of hazards and health effects of inorganic lead, July 2014 (Safe Work Australia information sheet)</x:v>
      </x:c>
      <x:c r="E92" t="str">
        <x:v>http://www.safeworkaustralia.gov.au/sites/swa/about/publications/pages/review-of-hazards-and-health-effects-of-inorganic-lead</x:v>
      </x:c>
      <x:c r="F92" s="11" t="n">
        <x:f>=HYPERLINK(E92)</x:f>
      </x:c>
    </x:row>
    <x:row r="93" spans="1:6" x14ac:dyDescent="0.25">
      <x:c r="A93" s="1" t="n">
        <x:v>11679</x:v>
      </x:c>
      <x:c r="B93" s="1" t="str">
        <x:v>Lead-Risk Work</x:v>
      </x:c>
      <x:c r="C93" s="1" t="str">
        <x:v>ext</x:v>
      </x:c>
      <x:c r="D93" s="1" t="str">
        <x:v>WorkCover Queensland, ‘Working with lead’</x:v>
      </x:c>
      <x:c r="E93" t="str">
        <x:v>http://www.worksafe.qld.gov.au/injury-prevention-safety/workplace-hazards/hazardous-exposures/lead/working-with-lead</x:v>
      </x:c>
      <x:c r="F93" s="11" t="n">
        <x:f>=HYPERLINK(E93)</x:f>
      </x:c>
    </x:row>
    <x:row r="94" spans="1:6" x14ac:dyDescent="0.25">
      <x:c r="A94" s="1" t="n">
        <x:v>11678</x:v>
      </x:c>
      <x:c r="B94" s="1" t="str">
        <x:v>Lead-Risk Work</x:v>
      </x:c>
      <x:c r="C94" s="1" t="str">
        <x:v>ext</x:v>
      </x:c>
      <x:c r="D94" s="1" t="str">
        <x:v>WorkCover NSW, ‘Lead notifications’</x:v>
      </x:c>
      <x:c r="E94" t="str">
        <x:v>http://www.workcover.nsw.gov.au/licences-and-registrations/notifications-and-permits/lead-notifications</x:v>
      </x:c>
      <x:c r="F94" s="11" t="n">
        <x:f>=HYPERLINK(E94)</x:f>
      </x:c>
    </x:row>
    <x:row r="95" spans="1:6" x14ac:dyDescent="0.25">
      <x:c r="A95" s="1" t="n">
        <x:v>11681</x:v>
      </x:c>
      <x:c r="B95" s="1" t="str">
        <x:v>Lead-Risk Work</x:v>
      </x:c>
      <x:c r="C95" s="1" t="str">
        <x:v>ext</x:v>
      </x:c>
      <x:c r="D95" s="1" t="str">
        <x:v>NT WorkSafe, ‘Notification of lead risk work’</x:v>
      </x:c>
      <x:c r="E95" t="str">
        <x:v>http://www.worksafe.nt.gov.au/PDF Conversion/notification-of-lead-risk-work.pdf</x:v>
      </x:c>
      <x:c r="F95" s="11" t="n">
        <x:f>=HYPERLINK(E95)</x:f>
      </x:c>
    </x:row>
    <x:row r="96" spans="1:6" x14ac:dyDescent="0.25">
      <x:c r="A96" s="1" t="n">
        <x:v>11677</x:v>
      </x:c>
      <x:c r="B96" s="1" t="str">
        <x:v>Lead-Risk Work</x:v>
      </x:c>
      <x:c r="C96" s="1" t="str">
        <x:v>ext</x:v>
      </x:c>
      <x:c r="D96" s="1" t="str">
        <x:v>Comcare (Commonwealth regulator), ‘Lead risk work’</x:v>
      </x:c>
      <x:c r="E96" t="str">
        <x:v>http://www.comcare.gov.au/preventing/hazards/chemical_hazards/lead_risk_work</x:v>
      </x:c>
      <x:c r="F96" s="11" t="n">
        <x:f>=HYPERLINK(E96)</x:f>
      </x:c>
    </x:row>
    <x:row r="97" spans="1:6" x14ac:dyDescent="0.25">
      <x:c r="A97" s="1" t="n">
        <x:v>11680</x:v>
      </x:c>
      <x:c r="B97" s="1" t="str">
        <x:v>Lead-Risk Work</x:v>
      </x:c>
      <x:c r="C97" s="1" t="str">
        <x:v>ext</x:v>
      </x:c>
      <x:c r="D97" s="1" t="str">
        <x:v>SafeWork SA, ‘Lead risk work’</x:v>
      </x:c>
      <x:c r="E97" t="str">
        <x:v>http://www.safework.sa.gov.au/show_page.jsp?id=112919#.VszsV49OI7M</x:v>
      </x:c>
      <x:c r="F97" s="11" t="n">
        <x:f>=HYPERLINK(E97)</x:f>
      </x:c>
    </x:row>
    <x:row r="98" spans="1:6" x14ac:dyDescent="0.25">
      <x:c r="A98" s="1" t="n">
        <x:v>11636</x:v>
      </x:c>
      <x:c r="B98" s="1" t="str">
        <x:v>Managing Risks from Airborne Contaminants</x:v>
      </x:c>
      <x:c r="C98" s="1" t="str">
        <x:v>ext</x:v>
      </x:c>
      <x:c r="D98" s="1" t="str">
        <x:v>Workplace exposure standards for airborne contaminants, April 2013 (s Safe Work Australia)</x:v>
      </x:c>
      <x:c r="E98" t="str">
        <x:v>http://www.safeworkaustralia.gov.au/sites/swa/about/publications/pages/workplace-exposure-standards</x:v>
      </x:c>
      <x:c r="F98" s="11" t="n">
        <x:f>=HYPERLINK(E98)</x:f>
      </x:c>
    </x:row>
    <x:row r="99" spans="1:6" x14ac:dyDescent="0.25">
      <x:c r="A99" s="1" t="n">
        <x:v>11639</x:v>
      </x:c>
      <x:c r="B99" s="1" t="str">
        <x:v>Managing Risks from Airborne Contaminants</x:v>
      </x:c>
      <x:c r="C99" s="1" t="str">
        <x:v>ext</x:v>
      </x:c>
      <x:c r="D99" s="1" t="str">
        <x:v>Model code of practice - Managing the work environment and facilities, December 2011 (Safe Work Australia)</x:v>
      </x:c>
      <x:c r="E99" t="str">
        <x:v>http://www.safeworkaustralia.gov.au/sites/swa/about/publications/pages/environment-facilities-cop</x:v>
      </x:c>
      <x:c r="F99" s="11" t="n">
        <x:f>=HYPERLINK(E99)</x:f>
      </x:c>
    </x:row>
    <x:row r="100" spans="1:6" x14ac:dyDescent="0.25">
      <x:c r="A100" s="1" t="n">
        <x:v>11638</x:v>
      </x:c>
      <x:c r="B100" s="1" t="str">
        <x:v>Managing Risks from Airborne Contaminants</x:v>
      </x:c>
      <x:c r="C100" s="1" t="str">
        <x:v>ext</x:v>
      </x:c>
      <x:c r="D100" s="1" t="str">
        <x:v>Model code of practice - Managing risks of hazardous chemicals in the workplace, July 2012 (Safe Work Australia)</x:v>
      </x:c>
      <x:c r="E100" t="str">
        <x:v>http://www.safeworkaustralia.gov.au/sites/swa/about/publications/pages/managing-risks-of-hazardous-chemicals-in-the-workplace</x:v>
      </x:c>
      <x:c r="F100" s="11" t="n">
        <x:f>=HYPERLINK(E100)</x:f>
      </x:c>
    </x:row>
    <x:row r="101" spans="1:6" x14ac:dyDescent="0.25">
      <x:c r="A101" s="1" t="n">
        <x:v>11637</x:v>
      </x:c>
      <x:c r="B101" s="1" t="str">
        <x:v>Managing Risks from Airborne Contaminants</x:v>
      </x:c>
      <x:c r="C101" s="1" t="str">
        <x:v>ext</x:v>
      </x:c>
      <x:c r="D101" s="1" t="str">
        <x:v>Guidance on the interpretation of workplace exposure standards for airborne contaminants, April 2013 (Safe Work Australia)</x:v>
      </x:c>
      <x:c r="E101" t="str">
        <x:v>http://www.safeworkaustralia.gov.au/sites/swa/about/publications/pages/workplace-exposure-standards-airborne-contaminants</x:v>
      </x:c>
      <x:c r="F101" s="11" t="n">
        <x:f>=HYPERLINK(E101)</x:f>
      </x:c>
    </x:row>
    <x:row r="102" spans="1:6" x14ac:dyDescent="0.25">
      <x:c r="A102" s="1" t="n">
        <x:v>11632</x:v>
      </x:c>
      <x:c r="B102" s="1" t="str">
        <x:v>Hazardous Atmospheres and Storage of Flammable or Combustible Substances</x:v>
      </x:c>
      <x:c r="C102" s="1" t="str">
        <x:v>ext</x:v>
      </x:c>
      <x:c r="D102" s="1" t="str">
        <x:v>Model code of practice - Managing risks of hazardous chemicals in the workplace, July 2012 (Safe Work Australia)</x:v>
      </x:c>
      <x:c r="E102" t="str">
        <x:v>http://www.safeworkaustralia.gov.au/sites/swa/about/publications/pages/managing-risks-of-hazardous-chemicals-in-the-workplace</x:v>
      </x:c>
      <x:c r="F102" s="11" t="n">
        <x:f>=HYPERLINK(E102)</x:f>
      </x:c>
    </x:row>
    <x:row r="103" spans="1:6" x14ac:dyDescent="0.25">
      <x:c r="A103" s="1" t="n">
        <x:v>11700</x:v>
      </x:c>
      <x:c r="B103" s="1" t="str">
        <x:v>Providing Information to Workers about the Risks of Lead Exposure</x:v>
      </x:c>
      <x:c r="C103" s="1" t="str">
        <x:v>ext</x:v>
      </x:c>
      <x:c r="D103" s="1" t="str">
        <x:v>Review of hazards and health effects of inorganic lead, July 2014 (Safe Work Australia information sheet)</x:v>
      </x:c>
      <x:c r="E103" t="str">
        <x:v>http://www.safeworkaustralia.gov.au/sites/swa/about/publications/pages/review-of-hazards-and-health-effects-of-inorganic-lead</x:v>
      </x:c>
      <x:c r="F103" s="11" t="n">
        <x:f>=HYPERLINK(E103)</x:f>
      </x:c>
    </x:row>
    <x:row r="104" spans="1:6" x14ac:dyDescent="0.25">
      <x:c r="A104" s="1" t="n">
        <x:v>11545</x:v>
      </x:c>
      <x:c r="B104" s="1" t="str">
        <x:v>Workplace Management—Hazardous Chemicals</x:v>
      </x:c>
      <x:c r="C104" s="1" t="str">
        <x:v>ext</x:v>
      </x:c>
      <x:c r="D104" s="1" t="str">
        <x:v>Model code of practice - Managing risks of hazardous chemicals in the workplace, July 2012 (Safe Work Australia)</x:v>
      </x:c>
      <x:c r="E104" t="str">
        <x:v>http://www.safeworkaustralia.gov.au/sites/swa/about/publications/pages/managing-risks-of-hazardous-chemicals-in-the-workplace</x:v>
      </x:c>
      <x:c r="F104" s="11" t="n">
        <x:f>=HYPERLINK(E104)</x:f>
      </x:c>
    </x:row>
    <x:row r="105" spans="1:6" x14ac:dyDescent="0.25">
      <x:c r="A105" s="1" t="n">
        <x:v>11543</x:v>
      </x:c>
      <x:c r="B105" s="1" t="str">
        <x:v>Workplace Management—Hazardous Chemicals</x:v>
      </x:c>
      <x:c r="C105" s="1" t="str">
        <x:v>ext</x:v>
      </x:c>
      <x:c r="D105" s="1" t="str">
        <x:v>Guidance on the classification of hazardous chemicals under the WHS Regulations, April 2012 (Safe Work Australia)</x:v>
      </x:c>
      <x:c r="E105" t="str">
        <x:v>http://www.safeworkaustralia.gov.au/sites/swa/about/publications/pages/guidance-classification-whs-regulations</x:v>
      </x:c>
      <x:c r="F105" s="11" t="n">
        <x:f>=HYPERLINK(E105)</x:f>
      </x:c>
    </x:row>
    <x:row r="106" spans="1:6" x14ac:dyDescent="0.25">
      <x:c r="A106" s="1" t="n">
        <x:v>11546</x:v>
      </x:c>
      <x:c r="B106" s="1" t="str">
        <x:v>Workplace Management—Hazardous Chemicals</x:v>
      </x:c>
      <x:c r="C106" s="1" t="str">
        <x:v>ext</x:v>
      </x:c>
      <x:c r="D106" s="1" t="str">
        <x:v>Model code of practice - How to manage work health and safety risks, December 2011 (Safe Work Australia)</x:v>
      </x:c>
      <x:c r="E106" t="str">
        <x:v>http://www.safeworkaustralia.gov.au/sites/swa/about/publications/pages/manage-whs-risks-cop</x:v>
      </x:c>
      <x:c r="F106" s="11" t="n">
        <x:f>=HYPERLINK(E106)</x:f>
      </x:c>
    </x:row>
    <x:row r="107" spans="1:6" x14ac:dyDescent="0.25">
      <x:c r="A107" s="1" t="n">
        <x:v>11541</x:v>
      </x:c>
      <x:c r="B107" s="1" t="str">
        <x:v>Workplace Management—Hazardous Chemicals</x:v>
      </x:c>
      <x:c r="C107" s="1" t="str">
        <x:v>ext</x:v>
      </x:c>
      <x:c r="D107" s="1" t="str">
        <x:v>Model code of practice - Labelling of workplace hazardous chemicals, March 2015 (Safe Work Australia)</x:v>
      </x:c>
      <x:c r="E107" t="str">
        <x:v>http://www.safeworkaustralia.gov.au/sites/swa/about/publications/pages/safety-data-sheets-hazardous-chemicals-cop</x:v>
      </x:c>
      <x:c r="F107" s="11" t="n">
        <x:f>=HYPERLINK(E107)</x:f>
      </x:c>
    </x:row>
    <x:row r="108" spans="1:6" x14ac:dyDescent="0.25">
      <x:c r="A108" s="1" t="n">
        <x:v>11544</x:v>
      </x:c>
      <x:c r="B108" s="1" t="str">
        <x:v>Workplace Management—Hazardous Chemicals</x:v>
      </x:c>
      <x:c r="C108" s="1" t="str">
        <x:v>ext</x:v>
      </x:c>
      <x:c r="D108" s="1" t="str">
        <x:v>Australian code for the transport of dangerous goods by road andrail, version 7.4, December 2015 (National Transport Commission)</x:v>
      </x:c>
      <x:c r="E108" t="str">
        <x:v>http://www.ntc.gov.au/heavy-vehicles/safety/australian-dangerous-goods-code</x:v>
      </x:c>
      <x:c r="F108" s="11" t="n">
        <x:f>=HYPERLINK(E108)</x:f>
      </x:c>
    </x:row>
    <x:row r="109" spans="1:6" x14ac:dyDescent="0.25">
      <x:c r="A109" s="1" t="n">
        <x:v>11542</x:v>
      </x:c>
      <x:c r="B109" s="1" t="str">
        <x:v>Workplace Management—Hazardous Chemicals</x:v>
      </x:c>
      <x:c r="C109" s="1" t="str">
        <x:v>ext</x:v>
      </x:c>
      <x:c r="D109" s="1" t="str">
        <x:v>Model code of practice - Preparation of Safety Data Sheets for Hazardous Chemicals, December 2011 (Safe Work Australia)</x:v>
      </x:c>
      <x:c r="E109" t="str">
        <x:v>http://www.safeworkaustralia.gov.au/sites/swa/about/publications/pages/safety-data-sheets-hazardous-chemicals-cop</x:v>
      </x:c>
      <x:c r="F109" s="11" t="n">
        <x:f>=HYPERLINK(E109)</x:f>
      </x:c>
    </x:row>
    <x:row r="110" spans="1:6" x14ac:dyDescent="0.25">
      <x:c r="A110" s="1" t="n">
        <x:v>11540</x:v>
      </x:c>
      <x:c r="B110" s="1" t="str">
        <x:v>Workplace Management—Hazardous Chemicals</x:v>
      </x:c>
      <x:c r="C110" s="1" t="str">
        <x:v>ext</x:v>
      </x:c>
      <x:c r="D110" s="1" t="str">
        <x:v>Safe Work Australia, ‘Hazardous chemicals’</x:v>
      </x:c>
      <x:c r="E110" t="str">
        <x:v>http://www.safeworkaustralia.gov.au/sites/swa/whs-information/hazardous-chemicals/pages/hazardous-chemicals-other-substances</x:v>
      </x:c>
      <x:c r="F110" s="11" t="n">
        <x:f>=HYPERLINK(E110)</x:f>
      </x:c>
    </x:row>
    <x:row r="111" spans="1:6" x14ac:dyDescent="0.25">
      <x:c r="A111" s="1" t="n">
        <x:v>11401</x:v>
      </x:c>
      <x:c r="B111" s="1" t="str">
        <x:v>Safe Work Method Statements for High-Risk Construction Work</x:v>
      </x:c>
      <x:c r="C111" s="1" t="str">
        <x:v>ext</x:v>
      </x:c>
      <x:c r="D111" s="1" t="str">
        <x:v>Safe work method statement for high risk construction work, December 2014 (Safe Work Australia information sheet)</x:v>
      </x:c>
      <x:c r="E111" t="str">
        <x:v>http://www.safeworkaustralia.gov.au/sites/swa/about/publications/pages/construction-information-sheets</x:v>
      </x:c>
      <x:c r="F111" s="11" t="n">
        <x:f>=HYPERLINK(E111)</x:f>
      </x:c>
    </x:row>
    <x:row r="112" spans="1:6" x14ac:dyDescent="0.25">
      <x:c r="A112" s="1" t="n">
        <x:v>11398</x:v>
      </x:c>
      <x:c r="B112" s="1" t="str">
        <x:v>Safe Work Method Statements for High-Risk Construction Work</x:v>
      </x:c>
      <x:c r="C112" s="1" t="str">
        <x:v>ext</x:v>
      </x:c>
      <x:c r="D112" s="1" t="str">
        <x:v>Model code of practice – Construction work, November 2013 (Safe Work Australia)</x:v>
      </x:c>
      <x:c r="E112" t="str">
        <x:v>http://www.safeworkaustralia.gov.au/sites/swa/about/publications/pages/construction-work</x:v>
      </x:c>
      <x:c r="F112" s="11" t="n">
        <x:f>=HYPERLINK(E112)</x:f>
      </x:c>
    </x:row>
    <x:row r="113" spans="1:6" x14ac:dyDescent="0.25">
      <x:c r="A113" s="1" t="n">
        <x:v>11400</x:v>
      </x:c>
      <x:c r="B113" s="1" t="str">
        <x:v>Safe Work Method Statements for High-Risk Construction Work</x:v>
      </x:c>
      <x:c r="C113" s="1" t="str">
        <x:v>ext</x:v>
      </x:c>
      <x:c r="D113" s="1" t="str">
        <x:v>Model code of practice – Demolition work, March 2015 (Safe Work Australia)</x:v>
      </x:c>
      <x:c r="E113" t="str">
        <x:v>http://www.safeworkaustralia.gov.au/sites/swa/about/publications/pages/demolition-work</x:v>
      </x:c>
      <x:c r="F113" s="11" t="n">
        <x:f>=HYPERLINK(E113)</x:f>
      </x:c>
    </x:row>
    <x:row r="114" spans="1:6" x14ac:dyDescent="0.25">
      <x:c r="A114" s="1" t="n">
        <x:v>11399</x:v>
      </x:c>
      <x:c r="B114" s="1" t="str">
        <x:v>Safe Work Method Statements for High-Risk Construction Work</x:v>
      </x:c>
      <x:c r="C114" s="1" t="str">
        <x:v>ext</x:v>
      </x:c>
      <x:c r="D114" s="1" t="str">
        <x:v>Model code of practice – Excavation work, March 2015 (Safe Work Australia)</x:v>
      </x:c>
      <x:c r="E114" t="str">
        <x:v>http://www.safeworkaustralia.gov.au/sites/swa/about/publications/pages/excavation-work</x:v>
      </x:c>
      <x:c r="F114" s="11" t="n">
        <x:f>=HYPERLINK(E114)</x:f>
      </x:c>
    </x:row>
    <x:row r="115" spans="1:6" x14ac:dyDescent="0.25">
      <x:c r="A115" s="1" t="n">
        <x:v>11423</x:v>
      </x:c>
      <x:c r="B115" s="1" t="str">
        <x:v>Excavation Work</x:v>
      </x:c>
      <x:c r="C115" s="1" t="str">
        <x:v>ext</x:v>
      </x:c>
      <x:c r="D115" s="1" t="str">
        <x:v>Australian code for the transport of dangerous goods by road and rail, version 7.4, December 2015 (National Transport Commission)</x:v>
      </x:c>
      <x:c r="E115" t="str">
        <x:v>http://www.ntc.gov.au/heavy-vehicles/safety/australian-dangerous-goods-code</x:v>
      </x:c>
      <x:c r="F115" s="11" t="n">
        <x:f>=HYPERLINK(E115)</x:f>
      </x:c>
    </x:row>
    <x:row r="116" spans="1:6" x14ac:dyDescent="0.25">
      <x:c r="A116" s="1" t="n">
        <x:v>11422</x:v>
      </x:c>
      <x:c r="B116" s="1" t="str">
        <x:v>Excavation Work</x:v>
      </x:c>
      <x:c r="C116" s="1" t="str">
        <x:v>ext</x:v>
      </x:c>
      <x:c r="D116" s="1" t="str">
        <x:v>Guide for tunnelling work, November 2013 (Safe Work Australia)</x:v>
      </x:c>
      <x:c r="E116" t="str">
        <x:v>http://www.safeworkaustralia.gov.au/sites/swa/about/publications/pages/guide-tunnelling-work</x:v>
      </x:c>
      <x:c r="F116" s="11" t="n">
        <x:f>=HYPERLINK(E116)</x:f>
      </x:c>
    </x:row>
    <x:row r="117" spans="1:6" x14ac:dyDescent="0.25">
      <x:c r="A117" s="1" t="n">
        <x:v>11420</x:v>
      </x:c>
      <x:c r="B117" s="1" t="str">
        <x:v>Excavation Work</x:v>
      </x:c>
      <x:c r="C117" s="1" t="str">
        <x:v>ext</x:v>
      </x:c>
      <x:c r="D117" s="1" t="str">
        <x:v>Model code of practice – Construction work, November 2013 (Safe Work Australia)</x:v>
      </x:c>
      <x:c r="E117" t="str">
        <x:v>http://www.safeworkaustralia.gov.au/sites/swa/about/publications/pages/construction-work</x:v>
      </x:c>
      <x:c r="F117" s="11" t="n">
        <x:f>=HYPERLINK(E117)</x:f>
      </x:c>
    </x:row>
    <x:row r="118" spans="1:6" x14ac:dyDescent="0.25">
      <x:c r="A118" s="1" t="n">
        <x:v>11421</x:v>
      </x:c>
      <x:c r="B118" s="1" t="str">
        <x:v>Excavation Work</x:v>
      </x:c>
      <x:c r="C118" s="1" t="str">
        <x:v>ext</x:v>
      </x:c>
      <x:c r="D118" s="1" t="str">
        <x:v>Model code of practice – Excavation work, March 2015 (Safe Work Australia)</x:v>
      </x:c>
      <x:c r="E118" t="str">
        <x:v>http://www.safeworkaustralia.gov.au/sites/swa/about/publications/pages/excavation-work</x:v>
      </x:c>
      <x:c r="F118" s="11" t="n">
        <x:f>=HYPERLINK(E118)</x:f>
      </x:c>
    </x:row>
    <x:row r="119" spans="1:6" x14ac:dyDescent="0.25">
      <x:c r="A119" s="1" t="n">
        <x:v>11446</x:v>
      </x:c>
      <x:c r="B119" s="1" t="str">
        <x:v>Additional Duties of Principal Contractors</x:v>
      </x:c>
      <x:c r="C119" s="1" t="str">
        <x:v>ext</x:v>
      </x:c>
      <x:c r="D119" s="1" t="str">
        <x:v>Scaffolds and scaffolding work guidance material (Safe Work Australia, July 2014)</x:v>
      </x:c>
      <x:c r="E119" t="str">
        <x:v>http://www.safeworkaustralia.gov.au/sites/swa/about/publications/pages/guidance-scaffolding</x:v>
      </x:c>
      <x:c r="F119" s="11" t="n">
        <x:f>=HYPERLINK(E119)</x:f>
      </x:c>
    </x:row>
    <x:row r="120" spans="1:6" x14ac:dyDescent="0.25">
      <x:c r="A120" s="1" t="n">
        <x:v>11444</x:v>
      </x:c>
      <x:c r="B120" s="1" t="str">
        <x:v>Additional Duties of Principal Contractors</x:v>
      </x:c>
      <x:c r="C120" s="1" t="str">
        <x:v>ext</x:v>
      </x:c>
      <x:c r="D120" s="1" t="str">
        <x:v>Safe work on roofs (Safe Work Australia information sheet, January 2016)</x:v>
      </x:c>
      <x:c r="E120" t="str">
        <x:v>http://www.safeworkaustralia.gov.au/sites/swa/about/publications/pages/safe-work-on-roofs-information-sheet</x:v>
      </x:c>
      <x:c r="F120" s="11" t="n">
        <x:f>=HYPERLINK(E120)</x:f>
      </x:c>
    </x:row>
    <x:row r="121" spans="1:6" x14ac:dyDescent="0.25">
      <x:c r="A121" s="1" t="n">
        <x:v>11443</x:v>
      </x:c>
      <x:c r="B121" s="1" t="str">
        <x:v>Additional Duties of Principal Contractors</x:v>
      </x:c>
      <x:c r="C121" s="1" t="str">
        <x:v>ext</x:v>
      </x:c>
      <x:c r="D121" s="1" t="str">
        <x:v>Model code of practice – Preventing falls in housing construction, July 2012 (Safe Work Australia)</x:v>
      </x:c>
      <x:c r="E121" t="str">
        <x:v>http://www.safeworkaustralia.gov.au/sites/swa/about/publications/pages/preventing-falls-in-housing-construction</x:v>
      </x:c>
      <x:c r="F121" s="11" t="n">
        <x:f>=HYPERLINK(E121)</x:f>
      </x:c>
    </x:row>
    <x:row r="122" spans="1:6" x14ac:dyDescent="0.25">
      <x:c r="A122" s="1" t="n">
        <x:v>11442</x:v>
      </x:c>
      <x:c r="B122" s="1" t="str">
        <x:v>Additional Duties of Principal Contractors</x:v>
      </x:c>
      <x:c r="C122" s="1" t="str">
        <x:v>ext</x:v>
      </x:c>
      <x:c r="D122" s="1" t="str">
        <x:v>Model code of practice – Construction work, November 2013 (Safe Work Australia)</x:v>
      </x:c>
      <x:c r="E122" t="str">
        <x:v>http://www.safeworkaustralia.gov.au/sites/swa/about/publications/pages/construction-work</x:v>
      </x:c>
      <x:c r="F122" s="11" t="n">
        <x:f>=HYPERLINK(E122)</x:f>
      </x:c>
    </x:row>
    <x:row r="123" spans="1:6" x14ac:dyDescent="0.25">
      <x:c r="A123" s="1" t="n">
        <x:v>11445</x:v>
      </x:c>
      <x:c r="B123" s="1" t="str">
        <x:v>Additional Duties of Principal Contractors</x:v>
      </x:c>
      <x:c r="C123" s="1" t="str">
        <x:v>ext</x:v>
      </x:c>
      <x:c r="D123" s="1" t="str">
        <x:v>Formwork and falsework guidance material (Safe Work Australia, July 2014)</x:v>
      </x:c>
      <x:c r="E123" t="str">
        <x:v>http://www.safeworkaustralia.gov.au/sites/swa/about/publications/pages/guidance-formwork-falsework</x:v>
      </x:c>
      <x:c r="F123" s="11" t="n">
        <x:f>=HYPERLINK(E123)</x:f>
      </x:c>
    </x:row>
    <x:row r="124" spans="1:6" x14ac:dyDescent="0.25">
      <x:c r="A124" s="1" t="n">
        <x:v>11462</x:v>
      </x:c>
      <x:c r="B124" s="1" t="str">
        <x:v>WHS Management Plans for Construction Projects</x:v>
      </x:c>
      <x:c r="C124" s="1" t="str">
        <x:v>ext</x:v>
      </x:c>
      <x:c r="D124" s="1" t="str">
        <x:v>Model code of practice – Construction work, November 2013 (Safe Work Australia)</x:v>
      </x:c>
      <x:c r="E124" t="str">
        <x:v>http://www.safeworkaustralia.gov.au/sites/swa/about/publications/pages/construction-work</x:v>
      </x:c>
      <x:c r="F124" s="11" t="n">
        <x:f>=HYPERLINK(E124)</x:f>
      </x:c>
    </x:row>
    <x:row r="125" spans="1:6" x14ac:dyDescent="0.25">
      <x:c r="A125" s="1" t="n">
        <x:v>11532</x:v>
      </x:c>
      <x:c r="B125" s="1" t="str">
        <x:v>Electrical Risks in Construction and Demolition Work</x:v>
      </x:c>
      <x:c r="C125" s="1" t="str">
        <x:v>ext</x:v>
      </x:c>
      <x:c r="D125" s="1" t="str">
        <x:v>Model code of practice – Managing electrical risks in the workplace, March 2015 (Safe Work Australia)</x:v>
      </x:c>
      <x:c r="E125" t="str">
        <x:v>http://www.safeworkaustralia.gov.au/sites/swa/about/publications/pages/managing-electrical-risks-in-the-workplace</x:v>
      </x:c>
      <x:c r="F125" s="11" t="n">
        <x:f>=HYPERLINK(E125)</x:f>
      </x:c>
    </x:row>
    <x:row r="126" spans="1:6" x14ac:dyDescent="0.25">
      <x:c r="A126" s="1" t="n">
        <x:v>11534</x:v>
      </x:c>
      <x:c r="B126" s="1" t="str">
        <x:v>Electrical Risks in Construction and Demolition Work</x:v>
      </x:c>
      <x:c r="C126" s="1" t="str">
        <x:v>ext</x:v>
      </x:c>
      <x:c r="D126" s="1" t="str">
        <x:v>Model code of practice – Construction work, November 2013 (Safe Work Australia)</x:v>
      </x:c>
      <x:c r="E126" t="str">
        <x:v>http://www.safeworkaustralia.gov.au/sites/swa/about/publications/pages/construction-work</x:v>
      </x:c>
      <x:c r="F126" s="11" t="n">
        <x:f>=HYPERLINK(E126)</x:f>
      </x:c>
    </x:row>
    <x:row r="127" spans="1:6" x14ac:dyDescent="0.25">
      <x:c r="A127" s="1" t="n">
        <x:v>11535</x:v>
      </x:c>
      <x:c r="B127" s="1" t="str">
        <x:v>Electrical Risks in Construction and Demolition Work</x:v>
      </x:c>
      <x:c r="C127" s="1" t="str">
        <x:v>ext</x:v>
      </x:c>
      <x:c r="D127" s="1" t="str">
        <x:v>Model code of practice – Excavation work, March 2015 (Safe Work Australia)</x:v>
      </x:c>
      <x:c r="E127" t="str">
        <x:v>http://www.safeworkaustralia.gov.au/sites/swa/about/publications/pages/excavation-work</x:v>
      </x:c>
      <x:c r="F127" s="11" t="n">
        <x:f>=HYPERLINK(E127)</x:f>
      </x:c>
    </x:row>
    <x:row r="128" spans="1:6" x14ac:dyDescent="0.25">
      <x:c r="A128" s="1" t="n">
        <x:v>11536</x:v>
      </x:c>
      <x:c r="B128" s="1" t="str">
        <x:v>Electrical Risks in Construction and Demolition Work</x:v>
      </x:c>
      <x:c r="C128" s="1" t="str">
        <x:v>ext</x:v>
      </x:c>
      <x:c r="D128" s="1" t="str">
        <x:v>Model code of practice – Demolition work, March 2015 (Safe Work Australia)</x:v>
      </x:c>
      <x:c r="E128" t="str">
        <x:v>http://www.safeworkaustralia.gov.au/sites/swa/about/publications/pages/demolition-work</x:v>
      </x:c>
      <x:c r="F128" s="11" t="n">
        <x:f>=HYPERLINK(E128)</x:f>
      </x:c>
    </x:row>
    <x:row r="129" spans="1:6" x14ac:dyDescent="0.25">
      <x:c r="A129" s="1" t="n">
        <x:v>11533</x:v>
      </x:c>
      <x:c r="B129" s="1" t="str">
        <x:v>Electrical Risks in Construction and Demolition Work</x:v>
      </x:c>
      <x:c r="C129" s="1" t="str">
        <x:v>ext</x:v>
      </x:c>
      <x:c r="D129" s="1" t="str">
        <x:v>Electrical risks at the workplace (Safe Work Australia fact sheet, August 2012)</x:v>
      </x:c>
      <x:c r="E129" t="str">
        <x:v>http://www.safeworkaustralia.gov.au/sites/swa/about/publications/pages/electrical-risks-at-the-workplace</x:v>
      </x:c>
      <x:c r="F129" s="11" t="n">
        <x:f>=HYPERLINK(E129)</x:f>
      </x:c>
    </x:row>
    <x:row r="130" spans="1:6" x14ac:dyDescent="0.25">
      <x:c r="A130" s="1" t="n">
        <x:v>11471</x:v>
      </x:c>
      <x:c r="B130" s="1" t="str">
        <x:v>Induction Training for Construction Workers</x:v>
      </x:c>
      <x:c r="C130" s="1" t="str">
        <x:v>ext</x:v>
      </x:c>
      <x:c r="D130" s="1" t="str">
        <x:v>Comcare (Commonwealth regulator), ‘General Construction Induction Training’</x:v>
      </x:c>
      <x:c r="E130" t="str">
        <x:v>http://www.comcare.gov.au/preventing/prevention/work_health_and_safety_authorisations,_registrations_and_licences/construction_workgeneral_construction_induction_training</x:v>
      </x:c>
      <x:c r="F130" s="11" t="n">
        <x:f>=HYPERLINK(E130)</x:f>
      </x:c>
    </x:row>
    <x:row r="131" spans="1:6" x14ac:dyDescent="0.25">
      <x:c r="A131" s="1" t="n">
        <x:v>11472</x:v>
      </x:c>
      <x:c r="B131" s="1" t="str">
        <x:v>Induction Training for Construction Workers</x:v>
      </x:c>
      <x:c r="C131" s="1" t="str">
        <x:v>ext</x:v>
      </x:c>
      <x:c r="D131" s="1" t="str">
        <x:v>WorkCover NSW, ‘White Cards (CIC)’</x:v>
      </x:c>
      <x:c r="E131" t="str">
        <x:v>http://www.workcover.nsw.gov.au/licences-and-registrations/licences/white-cards-cic</x:v>
      </x:c>
      <x:c r="F131" s="11" t="n">
        <x:f>=HYPERLINK(E131)</x:f>
      </x:c>
    </x:row>
    <x:row r="132" spans="1:6" x14ac:dyDescent="0.25">
      <x:c r="A132" s="1" t="n">
        <x:v>11477</x:v>
      </x:c>
      <x:c r="B132" s="1" t="str">
        <x:v>Induction Training for Construction Workers</x:v>
      </x:c>
      <x:c r="C132" s="1" t="str">
        <x:v>ext</x:v>
      </x:c>
      <x:c r="D132" s="1" t="str">
        <x:v>NT WorkSafe, ‘White Card’</x:v>
      </x:c>
      <x:c r="E132" t="str">
        <x:v>http://www.worksafe.nt.gov.au/LicensingAndRegistration/Pages/White-Card.aspx</x:v>
      </x:c>
      <x:c r="F132" s="11" t="n">
        <x:f>=HYPERLINK(E132)</x:f>
      </x:c>
    </x:row>
    <x:row r="133" spans="1:6" x14ac:dyDescent="0.25">
      <x:c r="A133" s="1" t="n">
        <x:v>11473</x:v>
      </x:c>
      <x:c r="B133" s="1" t="str">
        <x:v>Induction Training for Construction Workers</x:v>
      </x:c>
      <x:c r="C133" s="1" t="str">
        <x:v>ext</x:v>
      </x:c>
      <x:c r="D133" s="1" t="str">
        <x:v>WorkCover Queensland, ‘General Construction Induction’</x:v>
      </x:c>
      <x:c r="E133" t="str">
        <x:v>http://www.worksafe.qld.gov.au/licensing-and-registrations/work-health-and-safety-licences/what-licence-do-i-need/general-construction-induction</x:v>
      </x:c>
      <x:c r="F133" s="11" t="n">
        <x:f>=HYPERLINK(E133)</x:f>
      </x:c>
    </x:row>
    <x:row r="134" spans="1:6" x14ac:dyDescent="0.25">
      <x:c r="A134" s="1" t="n">
        <x:v>11475</x:v>
      </x:c>
      <x:c r="B134" s="1" t="str">
        <x:v>Induction Training for Construction Workers</x:v>
      </x:c>
      <x:c r="C134" s="1" t="str">
        <x:v>ext</x:v>
      </x:c>
      <x:c r="D134" s="1" t="str">
        <x:v>SafeWork Tasmania, ‘Construction’</x:v>
      </x:c>
      <x:c r="E134" t="str">
        <x:v>http://worksafe.tas.gov.au/licensing/construction_industry_licensing</x:v>
      </x:c>
      <x:c r="F134" s="11" t="n">
        <x:f>=HYPERLINK(E134)</x:f>
      </x:c>
    </x:row>
    <x:row r="135" spans="1:6" x14ac:dyDescent="0.25">
      <x:c r="A135" s="1" t="n">
        <x:v>11469</x:v>
      </x:c>
      <x:c r="B135" s="1" t="str">
        <x:v>Induction Training for Construction Workers</x:v>
      </x:c>
      <x:c r="C135" s="1" t="str">
        <x:v>ext</x:v>
      </x:c>
      <x:c r="D135" s="1" t="str">
        <x:v>Model code of practice – Construction work, November 2013 (Safe Work Australia)</x:v>
      </x:c>
      <x:c r="E135" t="str">
        <x:v>http://www.safeworkaustralia.gov.au/sites/swa/about/publications/pages/construction-work</x:v>
      </x:c>
      <x:c r="F135" s="11" t="n">
        <x:f>=HYPERLINK(E135)</x:f>
      </x:c>
    </x:row>
    <x:row r="136" spans="1:6" x14ac:dyDescent="0.25">
      <x:c r="A136" s="1" t="n">
        <x:v>11476</x:v>
      </x:c>
      <x:c r="B136" s="1" t="str">
        <x:v>Induction Training for Construction Workers</x:v>
      </x:c>
      <x:c r="C136" s="1" t="str">
        <x:v>ext</x:v>
      </x:c>
      <x:c r="D136" s="1" t="str">
        <x:v>SafeWork ACT, ‘General Construction Induction (White Card)’</x:v>
      </x:c>
      <x:c r="E136" t="str">
        <x:v>http://www.worksafe.act.gov.au/page/view/1239</x:v>
      </x:c>
      <x:c r="F136" s="11" t="n">
        <x:f>=HYPERLINK(E136)</x:f>
      </x:c>
    </x:row>
    <x:row r="137" spans="1:6" x14ac:dyDescent="0.25">
      <x:c r="A137" s="1" t="n">
        <x:v>11470</x:v>
      </x:c>
      <x:c r="B137" s="1" t="str">
        <x:v>Induction Training for Construction Workers</x:v>
      </x:c>
      <x:c r="C137" s="1" t="str">
        <x:v>ext</x:v>
      </x:c>
      <x:c r="D137" s="1" t="str">
        <x:v>Workplace induction for construction workplaces, November 2014 (Safe Work Australia information sheet)</x:v>
      </x:c>
      <x:c r="E137" t="str">
        <x:v>http://www.safeworkaustralia.gov.au/sites/swa/about/publications/pages/construction-information-sheets</x:v>
      </x:c>
      <x:c r="F137" s="11" t="n">
        <x:f>=HYPERLINK(E137)</x:f>
      </x:c>
    </x:row>
    <x:row r="138" spans="1:6" x14ac:dyDescent="0.25">
      <x:c r="A138" s="1" t="n">
        <x:v>11474</x:v>
      </x:c>
      <x:c r="B138" s="1" t="str">
        <x:v>Induction Training for Construction Workers</x:v>
      </x:c>
      <x:c r="C138" s="1" t="str">
        <x:v>ext</x:v>
      </x:c>
      <x:c r="D138" s="1" t="str">
        <x:v>SafeWork SA, ‘White Card’</x:v>
      </x:c>
      <x:c r="E138" t="str">
        <x:v>http://www.safework.sa.gov.au/show_page.jsp?id=111013#.VuZaAo9OJuk</x:v>
      </x:c>
      <x:c r="F138" s="11" t="n">
        <x:f>=HYPERLINK(E138)</x:f>
      </x:c>
    </x:row>
    <x:row r="139" spans="1:6" x14ac:dyDescent="0.25">
      <x:c r="A139" s="1" t="n">
        <x:v>11378</x:v>
      </x:c>
      <x:c r="B139" s="1" t="str">
        <x:v>Consultation with Designers</x:v>
      </x:c>
      <x:c r="C139" s="1" t="str">
        <x:v>ext</x:v>
      </x:c>
      <x:c r="D139" s="1" t="str">
        <x:v>Model code of practice – Safe design of structures, July 2012 (Safe Work Australia)</x:v>
      </x:c>
      <x:c r="E139" t="str">
        <x:v>http://www.safeworkaustralia.gov.au/sites/swa/about/publications/pages/safe-design-of-structures</x:v>
      </x:c>
      <x:c r="F139" s="11" t="n">
        <x:f>=HYPERLINK(E139)</x:f>
      </x:c>
    </x:row>
    <x:row r="140" spans="1:6" x14ac:dyDescent="0.25">
      <x:c r="A140" s="1" t="n">
        <x:v>11377</x:v>
      </x:c>
      <x:c r="B140" s="1" t="str">
        <x:v>Consultation with Designers</x:v>
      </x:c>
      <x:c r="C140" s="1" t="str">
        <x:v>ext</x:v>
      </x:c>
      <x:c r="D140" s="1" t="str">
        <x:v>Model code of practice – Construction Work, November 2013 (Safe Work Australia)</x:v>
      </x:c>
      <x:c r="E140" t="str">
        <x:v>http://www.safeworkaustralia.gov.au/sites/swa/about/publications/pages/construction-work</x:v>
      </x:c>
      <x:c r="F140" s="11" t="n">
        <x:f>=HYPERLINK(E140)</x:f>
      </x:c>
    </x:row>
    <x:row r="141" spans="1:6" x14ac:dyDescent="0.25">
      <x:c r="A141" s="1" t="n">
        <x:v>11379</x:v>
      </x:c>
      <x:c r="B141" s="1" t="str">
        <x:v>Consultation with Designers</x:v>
      </x:c>
      <x:c r="C141" s="1" t="str">
        <x:v>ext</x:v>
      </x:c>
      <x:c r="D141" s="1" t="str">
        <x:v>Formwork and falsework guidance material (Safe Work Australia, July 2014)</x:v>
      </x:c>
      <x:c r="E141" t="str">
        <x:v>http://www.safeworkaustralia.gov.au/sites/swa/about/publications/pages/guidance-formwork-falsework</x:v>
      </x:c>
      <x:c r="F141" s="11" t="n">
        <x:f>=HYPERLINK(E141)</x:f>
      </x:c>
    </x:row>
    <x:row r="142" spans="1:6" x14ac:dyDescent="0.25">
      <x:c r="A142" s="1" t="n">
        <x:v>11382</x:v>
      </x:c>
      <x:c r="B142" s="1" t="str">
        <x:v>Consultation with Designers</x:v>
      </x:c>
      <x:c r="C142" s="1" t="str">
        <x:v>ext</x:v>
      </x:c>
      <x:c r="D142" s="1" t="str">
        <x:v>Construction Work—Steel Erection, January 2016 (Safe Work Australia information sheet)</x:v>
      </x:c>
      <x:c r="E142" t="str">
        <x:v>http://www.safeworkaustralia.gov.au/sites/swa/about/publications/pages/construction-work-steel-erection-information-sheet</x:v>
      </x:c>
      <x:c r="F142" s="11" t="n">
        <x:f>=HYPERLINK(E142)</x:f>
      </x:c>
    </x:row>
    <x:row r="143" spans="1:6" x14ac:dyDescent="0.25">
      <x:c r="A143" s="1" t="n">
        <x:v>11380</x:v>
      </x:c>
      <x:c r="B143" s="1" t="str">
        <x:v>Consultation with Designers</x:v>
      </x:c>
      <x:c r="C143" s="1" t="str">
        <x:v>ext</x:v>
      </x:c>
      <x:c r="D143" s="1" t="str">
        <x:v>Scaffolds and scaffolding work guidance material (Safe Work Australia, July 2014)</x:v>
      </x:c>
      <x:c r="E143" t="str">
        <x:v>http://www.safeworkaustralia.gov.au/sites/swa/about/publications/pages/guidance-scaffolding</x:v>
      </x:c>
      <x:c r="F143" s="11" t="n">
        <x:f>=HYPERLINK(E143)</x:f>
      </x:c>
    </x:row>
    <x:row r="144" spans="1:6" x14ac:dyDescent="0.25">
      <x:c r="A144" s="1" t="n">
        <x:v>11381</x:v>
      </x:c>
      <x:c r="B144" s="1" t="str">
        <x:v>Consultation with Designers</x:v>
      </x:c>
      <x:c r="C144" s="1" t="str">
        <x:v>ext</x:v>
      </x:c>
      <x:c r="D144" s="1" t="str">
        <x:v>Guide for Tunnelling Work, November 2013 (Safe Work Australia)</x:v>
      </x:c>
      <x:c r="E144" t="str">
        <x:v>http://www.safeworkaustralia.gov.au/sites/swa/about/publications/pages/guide-tunnelling-work</x:v>
      </x:c>
      <x:c r="F144" s="11" t="n">
        <x:f>=HYPERLINK(E144)</x:f>
      </x:c>
    </x:row>
    <x:row r="145" spans="1:6" x14ac:dyDescent="0.25">
      <x:c r="A145" s="1" t="n">
        <x:v>11353</x:v>
      </x:c>
      <x:c r="B145" s="1" t="str">
        <x:v>Workplace Management—Construction Work</x:v>
      </x:c>
      <x:c r="C145" s="1" t="str">
        <x:v>ext</x:v>
      </x:c>
      <x:c r="D145" s="1" t="str">
        <x:v>Safe work on roofs (Safe Work Australia information sheet, January 2016)</x:v>
      </x:c>
      <x:c r="E145" t="str">
        <x:v>http://www.safeworkaustralia.gov.au/sites/swa/about/publications/pages/safe-work-on-roofs-information-sheet</x:v>
      </x:c>
      <x:c r="F145" s="11" t="n">
        <x:f>=HYPERLINK(E145)</x:f>
      </x:c>
    </x:row>
    <x:row r="146" spans="1:6" x14ac:dyDescent="0.25">
      <x:c r="A146" s="1" t="n">
        <x:v>11351</x:v>
      </x:c>
      <x:c r="B146" s="1" t="str">
        <x:v>Workplace Management—Construction Work</x:v>
      </x:c>
      <x:c r="C146" s="1" t="str">
        <x:v>ext</x:v>
      </x:c>
      <x:c r="D146" s="1" t="str">
        <x:v>Model code of practice – Demolition work, March 2015 (Safe Work Australia)</x:v>
      </x:c>
      <x:c r="E146" t="str">
        <x:v>http://www.safeworkaustralia.gov.au/sites/swa/about/publications/pages/demolition-work</x:v>
      </x:c>
      <x:c r="F146" s="11" t="n">
        <x:f>=HYPERLINK(E146)</x:f>
      </x:c>
    </x:row>
    <x:row r="147" spans="1:6" x14ac:dyDescent="0.25">
      <x:c r="A147" s="1" t="n">
        <x:v>11344</x:v>
      </x:c>
      <x:c r="B147" s="1" t="str">
        <x:v>Workplace Management—Construction Work</x:v>
      </x:c>
      <x:c r="C147" s="1" t="str">
        <x:v>ext</x:v>
      </x:c>
      <x:c r="D147" s="1" t="str">
        <x:v>Model code of practice – Safe design of structures, July 2012 (Safe Work Australia)</x:v>
      </x:c>
      <x:c r="E147" t="str">
        <x:v>http://www.safeworkaustralia.gov.au/sites/swa/about/publications/pages/safe-design-of-structures</x:v>
      </x:c>
      <x:c r="F147" s="11" t="n">
        <x:f>=HYPERLINK(E147)</x:f>
      </x:c>
    </x:row>
    <x:row r="148" spans="1:6" x14ac:dyDescent="0.25">
      <x:c r="A148" s="1" t="n">
        <x:v>11343</x:v>
      </x:c>
      <x:c r="B148" s="1" t="str">
        <x:v>Workplace Management—Construction Work</x:v>
      </x:c>
      <x:c r="C148" s="1" t="str">
        <x:v>ext</x:v>
      </x:c>
      <x:c r="D148" s="1" t="str">
        <x:v>Model code of practice – Construction Work, November 2013 (Safe Work Australia)</x:v>
      </x:c>
      <x:c r="E148" t="str">
        <x:v>http://www.safeworkaustralia.gov.au/sites/swa/about/publications/pages/construction-work</x:v>
      </x:c>
      <x:c r="F148" s="11" t="n">
        <x:f>=HYPERLINK(E148)</x:f>
      </x:c>
    </x:row>
    <x:row r="149" spans="1:6" x14ac:dyDescent="0.25">
      <x:c r="A149" s="1" t="n">
        <x:v>11350</x:v>
      </x:c>
      <x:c r="B149" s="1" t="str">
        <x:v>Workplace Management—Construction Work</x:v>
      </x:c>
      <x:c r="C149" s="1" t="str">
        <x:v>ext</x:v>
      </x:c>
      <x:c r="D149" s="1" t="str">
        <x:v>Model code of practice – Excavation work, March 2015 (Safe Work Australia)</x:v>
      </x:c>
      <x:c r="E149" t="str">
        <x:v>http://www.safeworkaustralia.gov.au/sites/swa/about/publications/pages/excavation-work</x:v>
      </x:c>
      <x:c r="F149" s="11" t="n">
        <x:f>=HYPERLINK(E149)</x:f>
      </x:c>
    </x:row>
    <x:row r="150" spans="1:6" x14ac:dyDescent="0.25">
      <x:c r="A150" s="1" t="n">
        <x:v>11345</x:v>
      </x:c>
      <x:c r="B150" s="1" t="str">
        <x:v>Workplace Management—Construction Work</x:v>
      </x:c>
      <x:c r="C150" s="1" t="str">
        <x:v>ext</x:v>
      </x:c>
      <x:c r="D150" s="1" t="str">
        <x:v>Formwork and falsework guidance material (Safe Work Australia, July 2014)</x:v>
      </x:c>
      <x:c r="E150" t="str">
        <x:v>http://www.safeworkaustralia.gov.au/sites/swa/about/publications/pages/guidance-formwork-falsework</x:v>
      </x:c>
      <x:c r="F150" s="11" t="n">
        <x:f>=HYPERLINK(E150)</x:f>
      </x:c>
    </x:row>
    <x:row r="151" spans="1:6" x14ac:dyDescent="0.25">
      <x:c r="A151" s="1" t="n">
        <x:v>11347</x:v>
      </x:c>
      <x:c r="B151" s="1" t="str">
        <x:v>Workplace Management—Construction Work</x:v>
      </x:c>
      <x:c r="C151" s="1" t="str">
        <x:v>ext</x:v>
      </x:c>
      <x:c r="D151" s="1" t="str">
        <x:v>Guide for Tunnelling Work, November 2013 (Safe Work Australia)</x:v>
      </x:c>
      <x:c r="E151" t="str">
        <x:v>http://www.safeworkaustralia.gov.au/sites/swa/about/publications/pages/guide-tunnelling-work</x:v>
      </x:c>
      <x:c r="F151" s="11" t="n">
        <x:f>=HYPERLINK(E151)</x:f>
      </x:c>
    </x:row>
    <x:row r="152" spans="1:6" x14ac:dyDescent="0.25">
      <x:c r="A152" s="1" t="n">
        <x:v>11352</x:v>
      </x:c>
      <x:c r="B152" s="1" t="str">
        <x:v>Workplace Management—Construction Work</x:v>
      </x:c>
      <x:c r="C152" s="1" t="str">
        <x:v>ext</x:v>
      </x:c>
      <x:c r="D152" s="1" t="str">
        <x:v>Australian code for the transport of dangerous goods by road and rail, version 7.4, December 2015 (National Transport Commission)</x:v>
      </x:c>
      <x:c r="E152" s="1" t="str">
        <x:v>http://www.ntc.gov.au/heavy-vehicles/safety/australian-dangerous-goods-code</x:v>
      </x:c>
      <x:c r="F152" s="11" t="n">
        <x:f>=HYPERLINK(E152)</x:f>
      </x:c>
    </x:row>
    <x:row r="153" spans="1:6" x14ac:dyDescent="0.25">
      <x:c r="A153" s="1" t="n">
        <x:v>11349</x:v>
      </x:c>
      <x:c r="B153" s="1" t="str">
        <x:v>Workplace Management—Construction Work</x:v>
      </x:c>
      <x:c r="C153" s="1" t="str">
        <x:v>ext</x:v>
      </x:c>
      <x:c r="D153" s="1" t="str">
        <x:v>Safe work method statement for high risk construction work, December 2014 (Safe Work Australia information sheet)</x:v>
      </x:c>
      <x:c r="E153" s="1" t="str">
        <x:v>http://www.safeworkaustralia.gov.au/sites/swa/about/publications/pages/construction-information-sheets</x:v>
      </x:c>
      <x:c r="F153" s="11" t="n">
        <x:f>=HYPERLINK(E153)</x:f>
      </x:c>
    </x:row>
    <x:row r="154" spans="1:6" x14ac:dyDescent="0.25">
      <x:c r="A154" s="1" t="n">
        <x:v>11346</x:v>
      </x:c>
      <x:c r="B154" s="1" t="str">
        <x:v>Workplace Management—Construction Work</x:v>
      </x:c>
      <x:c r="C154" s="1" t="str">
        <x:v>ext</x:v>
      </x:c>
      <x:c r="D154" s="1" t="str">
        <x:v>Scaffolds and scaffolding work guidance material (Safe Work Australia, July 2014)</x:v>
      </x:c>
      <x:c r="E154" s="1" t="str">
        <x:v>http://www.safeworkaustralia.gov.au/sites/swa/about/publications/pages/guidance-scaffolding</x:v>
      </x:c>
      <x:c r="F154" s="11" t="n">
        <x:f>=HYPERLINK(E154)</x:f>
      </x:c>
    </x:row>
    <x:row r="155" spans="1:6" x14ac:dyDescent="0.25">
      <x:c r="A155" s="1" t="n">
        <x:v>11348</x:v>
      </x:c>
      <x:c r="B155" s="1" t="str">
        <x:v>Workplace Management—Construction Work</x:v>
      </x:c>
      <x:c r="C155" s="1" t="str">
        <x:v>ext</x:v>
      </x:c>
      <x:c r="D155" s="1" t="str">
        <x:v>Construction Work—Steel Erection, January 2016 (Safe Work Australia information sheet)</x:v>
      </x:c>
      <x:c r="E155" s="1" t="str">
        <x:v>http://www.safeworkaustralia.gov.au/sites/swa/about/publications/pages/construction-work-steel-erection-information-sheet</x:v>
      </x:c>
      <x:c r="F155" s="11" t="n">
        <x:f>=HYPERLINK(E155)</x:f>
      </x:c>
    </x:row>
    <x:row r="156" spans="1:6" x14ac:dyDescent="0.25">
      <x:c r="A156" s="1" t="n">
        <x:v>11354</x:v>
      </x:c>
      <x:c r="B156" s="1" t="str">
        <x:v>Workplace Management—Construction Work</x:v>
      </x:c>
      <x:c r="C156" s="1" t="str">
        <x:v>ext</x:v>
      </x:c>
      <x:c r="D156" s="1" t="str">
        <x:v>Formwork and falsework guidance material (Safe Work Australia, July 2014)</x:v>
      </x:c>
      <x:c r="E156" s="1" t="str">
        <x:v>http://www.safeworkaustralia.gov.au/sites/swa/about/publications/pages/guidance-formwork-falsework</x:v>
      </x:c>
      <x:c r="F156" s="11" t="n">
        <x:f>=HYPERLINK(E156)</x:f>
      </x:c>
    </x:row>
    <x:row r="157" spans="1:6" x14ac:dyDescent="0.25">
      <x:c r="A157" s="1" t="n">
        <x:v>12042</x:v>
      </x:c>
      <x:c r="B157" s="1" t="str">
        <x:v>Safety Case</x:v>
      </x:c>
      <x:c r="C157" s="1" t="str">
        <x:v>ext</x:v>
      </x:c>
      <x:c r="D157" s="1" t="str">
        <x:v>Guide for major hazard facilities—safety case: demonstrating the adequacy of safety management and control measures (Safe Work Australia, March 2012)</x:v>
      </x:c>
      <x:c r="E157" s="1" t="str">
        <x:v>http://www.safeworkaustralia.gov.au/sites/swa/about/publications/pages/mhfsafetycasecontrolmeasures</x:v>
      </x:c>
      <x:c r="F157" s="11" t="n">
        <x:f>=HYPERLINK(E157)</x:f>
      </x:c>
    </x:row>
    <x:row r="158" spans="1:6" x14ac:dyDescent="0.25">
      <x:c r="A158" s="1" t="n">
        <x:v>12041</x:v>
      </x:c>
      <x:c r="B158" s="1" t="str">
        <x:v>Safety Case</x:v>
      </x:c>
      <x:c r="C158" s="1" t="str">
        <x:v>ext</x:v>
      </x:c>
      <x:c r="D158" s="1" t="str">
        <x:v>Guide for major hazard facilities—preparation of a safety case (Safe Work Australia, March 2012)</x:v>
      </x:c>
      <x:c r="E158" s="1" t="str">
        <x:v>http://www.safeworkaustralia.gov.au/sites/swa/about/publications/pages/mhfpreparationsafetycase</x:v>
      </x:c>
      <x:c r="F158" s="11" t="n">
        <x:f>=HYPERLINK(E158)</x:f>
      </x:c>
    </x:row>
    <x:row r="159" spans="1:6" x14ac:dyDescent="0.25">
      <x:c r="A159" s="1" t="n">
        <x:v>11875</x:v>
      </x:c>
      <x:c r="B159" s="1" t="str">
        <x:v>Notification and Determination of a Major Hazard Facility</x:v>
      </x:c>
      <x:c r="C159" s="1" t="str">
        <x:v>ext</x:v>
      </x:c>
      <x:c r="D159" s="1" t="str">
        <x:v>Comcare (Commonwealth regulator), ‘Major Hazard Facilities’</x:v>
      </x:c>
      <x:c r="E159" s="1" t="str">
        <x:v>http://www.comcare.gov.au/preventing/hazards/chemical_hazards/major_hazard_facilities</x:v>
      </x:c>
      <x:c r="F159" s="11" t="n">
        <x:f>=HYPERLINK(E159)</x:f>
      </x:c>
    </x:row>
    <x:row r="160" spans="1:6" x14ac:dyDescent="0.25">
      <x:c r="A160" s="1" t="n">
        <x:v>11880</x:v>
      </x:c>
      <x:c r="B160" s="1" t="str">
        <x:v>Notification and Determination of a Major Hazard Facility</x:v>
      </x:c>
      <x:c r="C160" s="1" t="str">
        <x:v>ext</x:v>
      </x:c>
      <x:c r="D160" s="1" t="str">
        <x:v>WorkSafe Tasmania, ‘Major Hazard Facilities’</x:v>
      </x:c>
      <x:c r="E160" s="1" t="str">
        <x:v>http://worksafe.tas.gov.au/licensing/dangerous_goods/hazardous_chemicals/major_hazard_facilities_mhf</x:v>
      </x:c>
      <x:c r="F160" s="11" t="n">
        <x:f>=HYPERLINK(E160)</x:f>
      </x:c>
    </x:row>
    <x:row r="161" spans="1:6" x14ac:dyDescent="0.25">
      <x:c r="A161" s="1" t="n">
        <x:v>11877</x:v>
      </x:c>
      <x:c r="B161" s="1" t="str">
        <x:v>Notification and Determination of a Major Hazard Facility</x:v>
      </x:c>
      <x:c r="C161" s="1" t="str">
        <x:v>ext</x:v>
      </x:c>
      <x:c r="D161" s="1" t="str">
        <x:v>NT WorkSafe, ‘Major Hazard Facilities’</x:v>
      </x:c>
      <x:c r="E161" s="1" t="str">
        <x:v>http://www.worksafe.nt.gov.au/SafetyAndPreventions/Pages/Major-Hazard-Facilities.aspx</x:v>
      </x:c>
      <x:c r="F161" s="11" t="n">
        <x:f>=HYPERLINK(E161)</x:f>
      </x:c>
    </x:row>
    <x:row r="162" spans="1:6" x14ac:dyDescent="0.25">
      <x:c r="A162" s="1" t="n">
        <x:v>11878</x:v>
      </x:c>
      <x:c r="B162" s="1" t="str">
        <x:v>Notification and Determination of a Major Hazard Facility</x:v>
      </x:c>
      <x:c r="C162" s="1" t="str">
        <x:v>ext</x:v>
      </x:c>
      <x:c r="D162" s="1" t="str">
        <x:v>WorkCover Queensland, ‘Are you a possible major hazard facility?’</x:v>
      </x:c>
      <x:c r="E162" s="1" t="str">
        <x:v>http://www.worksafe.qld.gov.au/injury-prevention-safety/hazardous-chemicals/specific-hazchem-workplaces/are-you-a-possible-major-hazard-facility</x:v>
      </x:c>
      <x:c r="F162" s="11" t="n">
        <x:f>=HYPERLINK(E162)</x:f>
      </x:c>
    </x:row>
    <x:row r="163" spans="1:6" x14ac:dyDescent="0.25">
      <x:c r="A163" s="1" t="n">
        <x:v>11876</x:v>
      </x:c>
      <x:c r="B163" s="1" t="str">
        <x:v>Notification and Determination of a Major Hazard Facility</x:v>
      </x:c>
      <x:c r="C163" s="1" t="str">
        <x:v>ext</x:v>
      </x:c>
      <x:c r="D163" s="1" t="str">
        <x:v>WorkCover NSW, ‘Major Hazard Facilities’</x:v>
      </x:c>
      <x:c r="E163" s="1" t="str">
        <x:v>http://www.workcover.nsw.gov.au/health-and-safety/safety-topics-a-z/hazardous-chemical/major-hazard-facilities</x:v>
      </x:c>
      <x:c r="F163" s="11" t="n">
        <x:f>=HYPERLINK(E163)</x:f>
      </x:c>
    </x:row>
    <x:row r="164" spans="1:6" x14ac:dyDescent="0.25">
      <x:c r="A164" s="1" t="n">
        <x:v>11874</x:v>
      </x:c>
      <x:c r="B164" s="1" t="str">
        <x:v>Notification and Determination of a Major Hazard Facility</x:v>
      </x:c>
      <x:c r="C164" s="1" t="str">
        <x:v>ext</x:v>
      </x:c>
      <x:c r="D164" s="1" t="str">
        <x:v>Guide for major hazard facilities—notification and determination (Safe Work Australia, March 2012)</x:v>
      </x:c>
      <x:c r="E164" s="1" t="str">
        <x:v>http://www.safeworkaustralia.gov.au/sites/swa/about/publications/pages/mhfnotificationdetermination</x:v>
      </x:c>
      <x:c r="F164" s="11" t="n">
        <x:f>=HYPERLINK(E164)</x:f>
      </x:c>
    </x:row>
    <x:row r="165" spans="1:6" x14ac:dyDescent="0.25">
      <x:c r="A165" s="1" t="n">
        <x:v>11879</x:v>
      </x:c>
      <x:c r="B165" s="1" t="str">
        <x:v>Notification and Determination of a Major Hazard Facility</x:v>
      </x:c>
      <x:c r="C165" s="1" t="str">
        <x:v>ext</x:v>
      </x:c>
      <x:c r="D165" s="1" t="str">
        <x:v>SafeWork SA, ‘Major Hazard Facilities’</x:v>
      </x:c>
      <x:c r="E165" s="1" t="str">
        <x:v>http://www.safework.sa.gov.au/show_page.jsp?id=112281#.Vpxc749OJZU</x:v>
      </x:c>
      <x:c r="F165" s="11" t="n">
        <x:f>=HYPERLINK(E165)</x:f>
      </x:c>
    </x:row>
    <x:row r="166" spans="1:6" x14ac:dyDescent="0.25">
      <x:c r="A166" s="1" t="n">
        <x:v>12054</x:v>
      </x:c>
      <x:c r="B166" s="1" t="str">
        <x:v>Risk Management and Safety Assessment</x:v>
      </x:c>
      <x:c r="C166" s="1" t="str">
        <x:v>ext</x:v>
      </x:c>
      <x:c r="D166" s="1" t="str">
        <x:v>Guide for major hazard facilities—safety case: demonstrating the adequacy of safety management and control measures (Safe Work Australia, March 2012)</x:v>
      </x:c>
      <x:c r="E166" s="1" t="str">
        <x:v>http://www.safeworkaustralia.gov.au/sites/swa/about/publications/pages/mhfsafetycasecontrolmeasures</x:v>
      </x:c>
      <x:c r="F166" s="11" t="n">
        <x:f>=HYPERLINK(E166)</x:f>
      </x:c>
    </x:row>
    <x:row r="167" spans="1:6" x14ac:dyDescent="0.25">
      <x:c r="A167" s="1" t="n">
        <x:v>12053</x:v>
      </x:c>
      <x:c r="B167" s="1" t="str">
        <x:v>Risk Management and Safety Assessment</x:v>
      </x:c>
      <x:c r="C167" s="1" t="str">
        <x:v>ext</x:v>
      </x:c>
      <x:c r="D167" s="1" t="str">
        <x:v>Guide for major hazard facilities—notification and determination (Safe Work Australia, March 2012)</x:v>
      </x:c>
      <x:c r="E167" s="1" t="str">
        <x:v>http://www.safeworkaustralia.gov.au/sites/swa/about/publications/pages/mhfnotificationdetermination</x:v>
      </x:c>
      <x:c r="F167" s="11" t="n">
        <x:f>=HYPERLINK(E167)</x:f>
      </x:c>
    </x:row>
    <x:row r="168" spans="1:6" x14ac:dyDescent="0.25">
      <x:c r="A168" s="1" t="n">
        <x:v>12060</x:v>
      </x:c>
      <x:c r="B168" s="1" t="str">
        <x:v>Applying for a Major Hazard Facility Licence</x:v>
      </x:c>
      <x:c r="C168" s="1" t="str">
        <x:v>ext</x:v>
      </x:c>
      <x:c r="D168" s="1" t="str">
        <x:v>Comcare (Commonwealth regulator), ‘Major Hazard Facilities’</x:v>
      </x:c>
      <x:c r="E168" s="1" t="str">
        <x:v>http://www.comcare.gov.au/preventing/hazards/chemical_hazards/major_hazard_facilities</x:v>
      </x:c>
      <x:c r="F168" s="11" t="n">
        <x:f>=HYPERLINK(E168)</x:f>
      </x:c>
    </x:row>
    <x:row r="169" spans="1:6" x14ac:dyDescent="0.25">
      <x:c r="A169" s="1" t="n">
        <x:v>12062</x:v>
      </x:c>
      <x:c r="B169" s="1" t="str">
        <x:v>Applying for a Major Hazard Facility Licence</x:v>
      </x:c>
      <x:c r="C169" s="1" t="str">
        <x:v>ext</x:v>
      </x:c>
      <x:c r="D169" s="1" t="str">
        <x:v>NT WorkSafe, ‘Major Hazard Facilities’</x:v>
      </x:c>
      <x:c r="E169" s="1" t="str">
        <x:v>http://www.worksafe.nt.gov.au/SafetyAndPreventions/Pages/Major-Hazard-Facilities.aspx</x:v>
      </x:c>
      <x:c r="F169" s="11" t="n">
        <x:f>=HYPERLINK(E169)</x:f>
      </x:c>
    </x:row>
    <x:row r="170" spans="1:6" x14ac:dyDescent="0.25">
      <x:c r="A170" s="1" t="n">
        <x:v>12065</x:v>
      </x:c>
      <x:c r="B170" s="1" t="str">
        <x:v>Applying for a Major Hazard Facility Licence</x:v>
      </x:c>
      <x:c r="C170" s="1" t="str">
        <x:v>ext</x:v>
      </x:c>
      <x:c r="D170" s="1" t="str">
        <x:v>WorkSafe Tasmania, ‘Major Hazard Facilities’</x:v>
      </x:c>
      <x:c r="E170" s="1" t="str">
        <x:v>http://worksafe.tas.gov.au/licensing/dangerous_goods/hazardous_chemicals/major_hazard_facilities_mhf</x:v>
      </x:c>
      <x:c r="F170" s="11" t="n">
        <x:f>=HYPERLINK(E170)</x:f>
      </x:c>
    </x:row>
    <x:row r="171" spans="1:6" x14ac:dyDescent="0.25">
      <x:c r="A171" s="1" t="n">
        <x:v>12061</x:v>
      </x:c>
      <x:c r="B171" s="1" t="str">
        <x:v>Applying for a Major Hazard Facility Licence</x:v>
      </x:c>
      <x:c r="C171" s="1" t="str">
        <x:v>ext</x:v>
      </x:c>
      <x:c r="D171" s="1" t="str">
        <x:v>WorkCover NSW, ‘Application for a Major Hazard Facility Licence’</x:v>
      </x:c>
      <x:c r="E171" s="1" t="str">
        <x:v>http://www.workcover.nsw.gov.au/__data/assets/pdf_file/0020/19352/application_registration_major_hazard_facility_3504.pdf</x:v>
      </x:c>
      <x:c r="F171" s="11" t="n">
        <x:f>=HYPERLINK(E171)</x:f>
      </x:c>
    </x:row>
    <x:row r="172" spans="1:6" x14ac:dyDescent="0.25">
      <x:c r="A172" s="1" t="n">
        <x:v>12063</x:v>
      </x:c>
      <x:c r="B172" s="1" t="str">
        <x:v>Applying for a Major Hazard Facility Licence</x:v>
      </x:c>
      <x:c r="C172" s="1" t="str">
        <x:v>ext</x:v>
      </x:c>
      <x:c r="D172" s="1" t="str">
        <x:v>WorkCover Queensland, ‘Major Hazard ‘Facilities’</x:v>
      </x:c>
      <x:c r="E172" s="1" t="str">
        <x:v>http://www.worksafe.qld.gov.au/injury-prevention-safety/workplace-hazards/major-hazard-facilities-mhf</x:v>
      </x:c>
      <x:c r="F172" s="11" t="n">
        <x:f>=HYPERLINK(E172)</x:f>
      </x:c>
    </x:row>
    <x:row r="173" spans="1:6" x14ac:dyDescent="0.25">
      <x:c r="A173" s="1" t="n">
        <x:v>12064</x:v>
      </x:c>
      <x:c r="B173" s="1" t="str">
        <x:v>Applying for a Major Hazard Facility Licence</x:v>
      </x:c>
      <x:c r="C173" s="1" t="str">
        <x:v>ext</x:v>
      </x:c>
      <x:c r="D173" s="1" t="str">
        <x:v>SafeWork SA, ‘Major Hazard Facilities’</x:v>
      </x:c>
      <x:c r="E173" s="1" t="str">
        <x:v>http://www.safework.sa.gov.au/show_page.jsp?id=112281#.Vpxdn49OJZU</x:v>
      </x:c>
      <x:c r="F173" s="11" t="n">
        <x:f>=HYPERLINK(E173)</x:f>
      </x:c>
    </x:row>
    <x:row r="174" spans="1:6" x14ac:dyDescent="0.25">
      <x:c r="A174" s="1" t="n">
        <x:v>12058</x:v>
      </x:c>
      <x:c r="B174" s="1" t="str">
        <x:v>Emergency Plan</x:v>
      </x:c>
      <x:c r="C174" s="1" t="str">
        <x:v>ext</x:v>
      </x:c>
      <x:c r="D174" s="1" t="str">
        <x:v>Guide for major hazard facilities—notification and determination (Safe Work Australia, March 2012)</x:v>
      </x:c>
      <x:c r="E174" s="1" t="str">
        <x:v>http://www.safeworkaustralia.gov.au/sites/swa/about/publications/pages/mhfnotificationdetermination</x:v>
      </x:c>
      <x:c r="F174" s="11" t="n">
        <x:f>=HYPERLINK(E174)</x:f>
      </x:c>
    </x:row>
    <x:row r="175" spans="1:6" x14ac:dyDescent="0.25">
      <x:c r="A175" s="1" t="n">
        <x:v>12059</x:v>
      </x:c>
      <x:c r="B175" s="1" t="str">
        <x:v>Emergency Plan</x:v>
      </x:c>
      <x:c r="C175" s="1" t="str">
        <x:v>ext</x:v>
      </x:c>
      <x:c r="D175" s="1" t="str">
        <x:v>Safe Work Australia’s Guide for Major Hazard Facilities—Emergency Plans</x:v>
      </x:c>
      <x:c r="E175" s="1" t="str">
        <x:v>http://www.safeworkaustralia.gov.au/sites/swa/about/publications/pages/mhfemergencyplans</x:v>
      </x:c>
      <x:c r="F175" s="11" t="n">
        <x:f>=HYPERLINK(E175)</x:f>
      </x:c>
    </x:row>
    <x:row r="176" spans="1:6" x14ac:dyDescent="0.25">
      <x:c r="A176" s="1" t="n">
        <x:v>12072</x:v>
      </x:c>
      <x:c r="B176" s="1" t="str">
        <x:v>Safety Management System</x:v>
      </x:c>
      <x:c r="C176" s="1" t="str">
        <x:v>ext</x:v>
      </x:c>
      <x:c r="D176" s="1" t="str">
        <x:v>Guide for major hazard facilities—safety management systems (Safe Work Australia, March 2012)</x:v>
      </x:c>
      <x:c r="E176" s="1" t="str">
        <x:v>http://www.safeworkaustralia.gov.au/sites/swa/about/publications/pages/mhfsafetymanagementsystems</x:v>
      </x:c>
      <x:c r="F176" s="11" t="n">
        <x:f>=HYPERLINK(E176)</x:f>
      </x:c>
    </x:row>
    <x:row r="177" spans="1:6" x14ac:dyDescent="0.25">
      <x:c r="A177" s="1" t="n">
        <x:v>12073</x:v>
      </x:c>
      <x:c r="B177" s="1" t="str">
        <x:v>Safety Management System</x:v>
      </x:c>
      <x:c r="C177" s="1" t="str">
        <x:v>ext</x:v>
      </x:c>
      <x:c r="D177" s="1" t="str">
        <x:v>Guide for major hazard facilities—safety case: demonstrating the adequacy of safety management and control measures (Safe Work Australia, March 2012)</x:v>
      </x:c>
      <x:c r="E177" s="1" t="str">
        <x:v>http://www.safeworkaustralia.gov.au/sites/swa/about/publications/pages/mhfsafetycasecontrolmeasures</x:v>
      </x:c>
      <x:c r="F177" s="11" t="n">
        <x:f>=HYPERLINK(E177)</x:f>
      </x:c>
    </x:row>
    <x:row r="178" spans="1:6" x14ac:dyDescent="0.25">
      <x:c r="A178" s="1" t="n">
        <x:v>12036</x:v>
      </x:c>
      <x:c r="B178" s="1" t="str">
        <x:v>Safety Case Outline</x:v>
      </x:c>
      <x:c r="C178" s="1" t="str">
        <x:v>ext</x:v>
      </x:c>
      <x:c r="D178" s="1" t="str">
        <x:v>Guide for major hazard facilities—notification and determination (Safe Work Australia, March 2012)</x:v>
      </x:c>
      <x:c r="E178" s="1" t="str">
        <x:v>http://www.safeworkaustralia.gov.au/sites/swa/about/publications/pages/mhfnotificationdetermination</x:v>
      </x:c>
      <x:c r="F178" s="11" t="n">
        <x:f>=HYPERLINK(E178)</x:f>
      </x:c>
    </x:row>
    <x:row r="179" spans="1:6" x14ac:dyDescent="0.25">
      <x:c r="A179" s="1" t="n">
        <x:v>12040</x:v>
      </x:c>
      <x:c r="B179" s="1" t="str">
        <x:v>Information for the Local Community and the Local Authority</x:v>
      </x:c>
      <x:c r="C179" s="1" t="str">
        <x:v>ext</x:v>
      </x:c>
      <x:c r="D179" s="1" t="str">
        <x:v>Guide for major hazard facilities—providing information to the community (Safe Work Australia, March 2012)</x:v>
      </x:c>
      <x:c r="E179" s="1" t="str">
        <x:v>http://www.safeworkaustralia.gov.au/sites/swa/about/publications/pages/mhfcommunityinformation</x:v>
      </x:c>
      <x:c r="F179" s="11" t="n">
        <x:f>=HYPERLINK(E179)</x:f>
      </x:c>
    </x:row>
    <x:row r="180" spans="1:6" x14ac:dyDescent="0.25">
      <x:c r="A180" s="1" t="n">
        <x:v>12046</x:v>
      </x:c>
      <x:c r="B180" s="1" t="str">
        <x:v>Consultation with Workers and Workers’ Safety Role</x:v>
      </x:c>
      <x:c r="C180" s="1" t="str">
        <x:v>ext</x:v>
      </x:c>
      <x:c r="D180" s="1" t="str">
        <x:v>Guide for major hazard facilities—information, training and instruction for workers and other persons at the facility (Safe Work Australia, March 2012)</x:v>
      </x:c>
      <x:c r="E180" s="1" t="str">
        <x:v>http://www.safeworkaustralia.gov.au/sites/swa/about/publications/pages/mhfcommunityinformation</x:v>
      </x:c>
      <x:c r="F180" s="11" t="n">
        <x:f>=HYPERLINK(E180)</x:f>
      </x:c>
    </x:row>
    <x:row r="181" spans="1:6" x14ac:dyDescent="0.25">
      <x:c r="A181" s="1" t="n">
        <x:v>12080</x:v>
      </x:c>
      <x:c r="B181" s="1" t="str">
        <x:v>Information for Visitors </x:v>
      </x:c>
      <x:c r="C181" s="1" t="str">
        <x:v>ext</x:v>
      </x:c>
      <x:c r="D181" s="1" t="str">
        <x:v>Guide for major hazard facilities—information, training and instruction for workers and other persons at the facility (Safe Work Australia, March 2012)</x:v>
      </x:c>
      <x:c r="E181" s="1" t="str">
        <x:v>http://www.safeworkaustralia.gov.au/sites/swa/about/publications/pages/mhftrainingworkersotherpersons</x:v>
      </x:c>
      <x:c r="F181" s="11" t="n">
        <x:f>=HYPERLINK(E181)</x:f>
      </x:c>
    </x:row>
    <x:row r="182" spans="1:6" x14ac:dyDescent="0.25">
      <x:c r="A182" s="1" t="n">
        <x:v>11870</x:v>
      </x:c>
      <x:c r="B182" s="1" t="str">
        <x:v>Major Hazard Facilities</x:v>
      </x:c>
      <x:c r="C182" s="1" t="str">
        <x:v>ext</x:v>
      </x:c>
      <x:c r="D182" s="1" t="str">
        <x:v>Major hazard facilities guidance material (Safe Work Australia, March 2012)</x:v>
      </x:c>
      <x:c r="E182" s="1" t="str">
        <x:v>http://www.safeworkaustralia.gov.au/sites/swa/whs-information/mhf/pages/mhf</x:v>
      </x:c>
      <x:c r="F182" s="11" t="n">
        <x:f>=HYPERLINK(E182)</x:f>
      </x:c>
    </x:row>
    <x:row r="183" spans="1:6" x14ac:dyDescent="0.25">
      <x:c r="A183" s="1" t="n">
        <x:v>11860</x:v>
      </x:c>
      <x:c r="B183" s="1" t="str">
        <x:v>Applying for an Asbestos Removal or Asbestos Assessor Licence</x:v>
      </x:c>
      <x:c r="C183" s="1" t="str">
        <x:v>ext</x:v>
      </x:c>
      <x:c r="D183" s="1" t="str">
        <x:v>Model code of practice - How to manage and control asbestos in the workplace, December 2011 (Safe Work Australia)</x:v>
      </x:c>
      <x:c r="E183" s="1" t="str">
        <x:v>http://www.safeworkaustralia.gov.au/sites/swa/about/publications/pages/manage-control-asbestos-cop</x:v>
      </x:c>
      <x:c r="F183" s="11" t="n">
        <x:f>=HYPERLINK(E183)</x:f>
      </x:c>
    </x:row>
    <x:row r="184" spans="1:6" x14ac:dyDescent="0.25">
      <x:c r="A184" s="1" t="n">
        <x:v>11854</x:v>
      </x:c>
      <x:c r="B184" s="1" t="str">
        <x:v>Applying for an Asbestos Removal or Asbestos Assessor Licence</x:v>
      </x:c>
      <x:c r="C184" s="1" t="str">
        <x:v>ext</x:v>
      </x:c>
      <x:c r="D184" s="1" t="str">
        <x:v>WorkCover NSW, ‘Asbestos Licences’</x:v>
      </x:c>
      <x:c r="E184" s="1" t="str">
        <x:v>http://www.workcover.nsw.gov.au/licences-and-registrations/licences/asbestos-licences</x:v>
      </x:c>
      <x:c r="F184" s="11" t="n">
        <x:f>=HYPERLINK(E184)</x:f>
      </x:c>
    </x:row>
    <x:row r="185" spans="1:6" x14ac:dyDescent="0.25">
      <x:c r="A185" s="1" t="n">
        <x:v>11856</x:v>
      </x:c>
      <x:c r="B185" s="1" t="str">
        <x:v>Applying for an Asbestos Removal or Asbestos Assessor Licence</x:v>
      </x:c>
      <x:c r="C185" s="1" t="str">
        <x:v>ext</x:v>
      </x:c>
      <x:c r="D185" s="1" t="str">
        <x:v>SafeWork SA, ‘Asbestos Removal and Monitoring’</x:v>
      </x:c>
      <x:c r="E185" s="1" t="str">
        <x:v>http://www.safework.sa.gov.au/show_page.jsp?id=2690#.Vtaceo9OI7M</x:v>
      </x:c>
      <x:c r="F185" s="11" t="n">
        <x:f>=HYPERLINK(E185)</x:f>
      </x:c>
    </x:row>
    <x:row r="186" spans="1:6" x14ac:dyDescent="0.25">
      <x:c r="A186" s="1" t="n">
        <x:v>11855</x:v>
      </x:c>
      <x:c r="B186" s="1" t="str">
        <x:v>Applying for an Asbestos Removal or Asbestos Assessor Licence</x:v>
      </x:c>
      <x:c r="C186" s="1" t="str">
        <x:v>ext</x:v>
      </x:c>
      <x:c r="D186" s="1" t="str">
        <x:v>WorkCover Queensland, ‘Asbestos Licences’</x:v>
      </x:c>
      <x:c r="E186" s="1" t="str">
        <x:v>http://www.worksafe.qld.gov.au/injury-prevention-safety/asbestos/asbestos-removal-and-licensing/asbestos</x:v>
      </x:c>
      <x:c r="F186" s="11" t="n">
        <x:f>=HYPERLINK(E186)</x:f>
      </x:c>
    </x:row>
    <x:row r="187" spans="1:6" x14ac:dyDescent="0.25">
      <x:c r="A187" s="1" t="n">
        <x:v>11859</x:v>
      </x:c>
      <x:c r="B187" s="1" t="str">
        <x:v>Applying for an Asbestos Removal or Asbestos Assessor Licence</x:v>
      </x:c>
      <x:c r="C187" s="1" t="str">
        <x:v>ext</x:v>
      </x:c>
      <x:c r="D187" s="1" t="str">
        <x:v>NT WorkSafe, ‘Asbestos’</x:v>
      </x:c>
      <x:c r="E187" s="1" t="str">
        <x:v>http://www.worksafe.nt.gov.au/LicensingAndRegistration/asbestos/Pages/default.aspx</x:v>
      </x:c>
      <x:c r="F187" s="11" t="n">
        <x:f>=HYPERLINK(E187)</x:f>
      </x:c>
    </x:row>
    <x:row r="188" spans="1:6" x14ac:dyDescent="0.25">
      <x:c r="A188" s="1" t="n">
        <x:v>11857</x:v>
      </x:c>
      <x:c r="B188" s="1" t="str">
        <x:v>Applying for an Asbestos Removal or Asbestos Assessor Licence</x:v>
      </x:c>
      <x:c r="C188" s="1" t="str">
        <x:v>ext</x:v>
      </x:c>
      <x:c r="D188" s="1" t="str">
        <x:v>SafeWork Tasmania, ‘Licensing Forms Listing’</x:v>
      </x:c>
      <x:c r="E188" s="1" t="str">
        <x:v>http://www.worksafe.tas.gov.au/licensing/licensing-forms</x:v>
      </x:c>
      <x:c r="F188" s="11" t="n">
        <x:f>=HYPERLINK(E188)</x:f>
      </x:c>
    </x:row>
    <x:row r="189" spans="1:6" x14ac:dyDescent="0.25">
      <x:c r="A189" s="1" t="n">
        <x:v>11861</x:v>
      </x:c>
      <x:c r="B189" s="1" t="str">
        <x:v>Applying for an Asbestos Removal or Asbestos Assessor Licence</x:v>
      </x:c>
      <x:c r="C189" s="1" t="str">
        <x:v>ext</x:v>
      </x:c>
      <x:c r="D189" s="1" t="str">
        <x:v>Model code of practice - How to Safely Remove Asbestos, December 2011 (Safe Work Australia)</x:v>
      </x:c>
      <x:c r="E189" s="1" t="str">
        <x:v>www.safeworkaustralia.gov.au\sites\swa\about\publications\pages\safely-remove-asbestos-cop</x:v>
      </x:c>
      <x:c r="F189" s="11" t="n">
        <x:f>=HYPERLINK("#F189","www.safeworkaustralia.gov.au\sites\swa\about\publications\pages\safely-remove-asbestos-cop")</x:f>
      </x:c>
    </x:row>
    <x:row r="190" spans="1:6" x14ac:dyDescent="0.25">
      <x:c r="A190" s="1" t="n">
        <x:v>11858</x:v>
      </x:c>
      <x:c r="B190" s="1" t="str">
        <x:v>Applying for an Asbestos Removal or Asbestos Assessor Licence</x:v>
      </x:c>
      <x:c r="C190" s="1" t="str">
        <x:v>ext</x:v>
      </x:c>
      <x:c r="D190" s="1" t="str">
        <x:v>WorkSafe ACT, ‘Asbestos’</x:v>
      </x:c>
      <x:c r="E190" s="1" t="str">
        <x:v>http://www.worksafe.act.gov.au/page/view/1207</x:v>
      </x:c>
      <x:c r="F190" s="11" t="n">
        <x:f>=HYPERLINK(E190)</x:f>
      </x:c>
    </x:row>
    <x:row r="191" spans="1:6" x14ac:dyDescent="0.25">
      <x:c r="A191" s="1" t="n">
        <x:v>11833</x:v>
      </x:c>
      <x:c r="B191" s="1" t="str">
        <x:v>Controls for Asbestos Removal Requiring a Class A Licence</x:v>
      </x:c>
      <x:c r="C191" s="1" t="str">
        <x:v>ext</x:v>
      </x:c>
      <x:c r="D191" s="1" t="str">
        <x:v>Model code of practice - How to manage and control asbestos in the workplace, December 2011 (Safe Work Australia)</x:v>
      </x:c>
      <x:c r="E191" s="1" t="str">
        <x:v>http://www.safeworkaustralia.gov.au/sites/swa/about/publications/pages/manage-control-asbestos-cop</x:v>
      </x:c>
      <x:c r="F191" s="11" t="n">
        <x:f>=HYPERLINK(E191)</x:f>
      </x:c>
    </x:row>
    <x:row r="192" spans="1:6" x14ac:dyDescent="0.25">
      <x:c r="A192" s="1" t="n">
        <x:v>11835</x:v>
      </x:c>
      <x:c r="B192" s="1" t="str">
        <x:v>Controls for Asbestos Removal Requiring a Class A Licence</x:v>
      </x:c>
      <x:c r="C192" s="1" t="str">
        <x:v>ext</x:v>
      </x:c>
      <x:c r="D192" s="1" t="str">
        <x:v>Safe removal of asbestos 2nd edition [NOHSC: 2002 (2005)], January 2005 (National Occupational Health and Safety Commission)</x:v>
      </x:c>
      <x:c r="E192" s="1" t="str">
        <x:v>http://www.safeworkaustralia.gov.au/sites/swa/about/publications/pages/cp2005saferemovalofasbestos2ndedition</x:v>
      </x:c>
      <x:c r="F192" s="11" t="n">
        <x:f>=HYPERLINK(E192)</x:f>
      </x:c>
    </x:row>
    <x:row r="193" spans="1:6" x14ac:dyDescent="0.25">
      <x:c r="A193" s="1" t="n">
        <x:v>11834</x:v>
      </x:c>
      <x:c r="B193" s="1" t="str">
        <x:v>Controls for Asbestos Removal Requiring a Class A Licence</x:v>
      </x:c>
      <x:c r="C193" s="1" t="str">
        <x:v>ext</x:v>
      </x:c>
      <x:c r="D193" s="1" t="str">
        <x:v>Model code of practice - How to Safely Remove Asbestos, December 2011 (Safe Work Australia)</x:v>
      </x:c>
      <x:c r="E193" s="1" t="str">
        <x:v>www.safeworkaustralia.gov.au\sites\swa\about\publications\pages\safely-remove-asbestos-cop</x:v>
      </x:c>
      <x:c r="F193" s="11" t="n">
        <x:f>=HYPERLINK("#F193","www.safeworkaustralia.gov.au\sites\swa\about\publications\pages\safely-remove-asbestos-cop")</x:f>
      </x:c>
    </x:row>
    <x:row r="194" spans="1:6" x14ac:dyDescent="0.25">
      <x:c r="A194" s="1" t="n">
        <x:v>11795</x:v>
      </x:c>
      <x:c r="B194" s="1" t="str">
        <x:v>Asbestos Removal Work—Supervision, Training and Other Requirements</x:v>
      </x:c>
      <x:c r="C194" s="1" t="str">
        <x:v>ext</x:v>
      </x:c>
      <x:c r="D194" s="1" t="str">
        <x:v>Model code of practice - Management and control of asbestos in the workplace, 1 January 2005 (Safe Work Australia)</x:v>
      </x:c>
      <x:c r="E194" s="1" t="str">
        <x:v>http://www.safeworkaustralia.gov.au/sites/swa/about/publications/pages/cp2005managementandcontrolofasbestos</x:v>
      </x:c>
      <x:c r="F194" s="11" t="n">
        <x:f>=HYPERLINK(E194)</x:f>
      </x:c>
    </x:row>
    <x:row r="195" spans="1:6" x14ac:dyDescent="0.25">
      <x:c r="A195" s="1" t="n">
        <x:v>11794</x:v>
      </x:c>
      <x:c r="B195" s="1" t="str">
        <x:v>Asbestos Removal Work—Supervision, Training and Other Requirements</x:v>
      </x:c>
      <x:c r="C195" s="1" t="str">
        <x:v>ext</x:v>
      </x:c>
      <x:c r="D195" s="1" t="str">
        <x:v>Minor Contamination of asbestos-containing dust or debris, June 2013 (Safe Work Australia fact sheet)</x:v>
      </x:c>
      <x:c r="E195" s="1" t="str">
        <x:v>http://www.safeworkaustralia.gov.au/sites/swa/about/publications/pages/minor-contamination-asbestos-factsheet</x:v>
      </x:c>
      <x:c r="F195" s="11" t="n">
        <x:f>=HYPERLINK(E195)</x:f>
      </x:c>
    </x:row>
    <x:row r="196" spans="1:6" x14ac:dyDescent="0.25">
      <x:c r="A196" s="1" t="n">
        <x:v>11784</x:v>
      </x:c>
      <x:c r="B196" s="1" t="str">
        <x:v>Asbestos Removal Work—Supervision, Training and Other Requirements</x:v>
      </x:c>
      <x:c r="C196" s="1" t="str">
        <x:v>ext</x:v>
      </x:c>
      <x:c r="D196" s="1" t="str">
        <x:v>WorkCover NSW, ‘Asbestos and Demolition Licence Holders’</x:v>
      </x:c>
      <x:c r="E196" s="1" t="str">
        <x:v>http://www.workcover.nsw.gov.au/information-searches/asbestos-demolition-licence-holders</x:v>
      </x:c>
      <x:c r="F196" s="11" t="n">
        <x:f>=HYPERLINK(E196)</x:f>
      </x:c>
    </x:row>
    <x:row r="197" spans="1:6" x14ac:dyDescent="0.25">
      <x:c r="A197" s="1" t="n">
        <x:v>11787</x:v>
      </x:c>
      <x:c r="B197" s="1" t="str">
        <x:v>Asbestos Removal Work—Supervision, Training and Other Requirements</x:v>
      </x:c>
      <x:c r="C197" s="1" t="str">
        <x:v>ext</x:v>
      </x:c>
      <x:c r="D197" s="1" t="str">
        <x:v>Worksafe Tasmania, ‘Asbestos Licences Search’</x:v>
      </x:c>
      <x:c r="E197" s="1" t="str">
        <x:v>http://worksafe.tas.gov.au/licensing/asbestos_removal_assessor/asbestos</x:v>
      </x:c>
      <x:c r="F197" s="11" t="n">
        <x:f>=HYPERLINK(E197)</x:f>
      </x:c>
    </x:row>
    <x:row r="198" spans="1:6" x14ac:dyDescent="0.25">
      <x:c r="A198" s="1" t="n">
        <x:v>11790</x:v>
      </x:c>
      <x:c r="B198" s="1" t="str">
        <x:v>Asbestos Removal Work—Supervision, Training and Other Requirements</x:v>
      </x:c>
      <x:c r="C198" s="1" t="str">
        <x:v>ext</x:v>
      </x:c>
      <x:c r="D198" s="1" t="str">
        <x:v>Model code of practice - How to manage and control asbestos in the workplace, December 2011 (Safe Work Australia)</x:v>
      </x:c>
      <x:c r="E198" s="1" t="str">
        <x:v>http://www.safeworkaustralia.gov.au/sites/swa/about/publications/pages/manage-control-asbestos-cop</x:v>
      </x:c>
      <x:c r="F198" s="11" t="n">
        <x:f>=HYPERLINK(E198)</x:f>
      </x:c>
    </x:row>
    <x:row r="199" spans="1:6" x14ac:dyDescent="0.25">
      <x:c r="A199" s="1" t="n">
        <x:v>11793</x:v>
      </x:c>
      <x:c r="B199" s="1" t="str">
        <x:v>Asbestos Removal Work—Supervision, Training and Other Requirements</x:v>
      </x:c>
      <x:c r="C199" s="1" t="str">
        <x:v>ext</x:v>
      </x:c>
      <x:c r="D199" s="1" t="str">
        <x:v>Guide to identifying and handling low-density asbestos fibre board, October 2015 (Safe Work Australia)</x:v>
      </x:c>
      <x:c r="E199" s="1" t="str">
        <x:v>http://www.safeworkaustralia.gov.au/sites/swa/about/publications/pages/guide-to-identifying-and-handling-ldb</x:v>
      </x:c>
      <x:c r="F199" s="11" t="n">
        <x:f>=HYPERLINK(E199)</x:f>
      </x:c>
    </x:row>
    <x:row r="200" spans="1:6" x14ac:dyDescent="0.25">
      <x:c r="A200" s="1" t="n">
        <x:v>11791</x:v>
      </x:c>
      <x:c r="B200" s="1" t="str">
        <x:v>Asbestos Removal Work—Supervision, Training and Other Requirements</x:v>
      </x:c>
      <x:c r="C200" s="1" t="str">
        <x:v>ext</x:v>
      </x:c>
      <x:c r="D200" s="1" t="str">
        <x:v>Model code of practice - How to Safely Remove Asbestos, December 2011 (Safe Work Australia)</x:v>
      </x:c>
      <x:c r="E200" s="1" t="str">
        <x:v>www.safeworkaustralia.gov.au\sites\swa\about\publications\pages\safely-remove-asbestos-cop</x:v>
      </x:c>
      <x:c r="F200" s="11" t="n">
        <x:f>=HYPERLINK("#F200","www.safeworkaustralia.gov.au\sites\swa\about\publications\pages\safely-remove-asbestos-cop")</x:f>
      </x:c>
    </x:row>
    <x:row r="201" spans="1:6" x14ac:dyDescent="0.25">
      <x:c r="A201" s="1" t="n">
        <x:v>11786</x:v>
      </x:c>
      <x:c r="B201" s="1" t="str">
        <x:v>Asbestos Removal Work—Supervision, Training and Other Requirements</x:v>
      </x:c>
      <x:c r="C201" s="1" t="str">
        <x:v>ext</x:v>
      </x:c>
      <x:c r="D201" s="1" t="str">
        <x:v>SafeWork SA, ‘Asbestos Removal and Monitoring’</x:v>
      </x:c>
      <x:c r="E201" s="1" t="str">
        <x:v>http://www.safework.sa.gov.au/show_page.jsp?id=2690#.Vtaceo9OI7M</x:v>
      </x:c>
      <x:c r="F201" s="11" t="n">
        <x:f>=HYPERLINK(E201)</x:f>
      </x:c>
    </x:row>
    <x:row r="202" spans="1:6" x14ac:dyDescent="0.25">
      <x:c r="A202" s="1" t="n">
        <x:v>11789</x:v>
      </x:c>
      <x:c r="B202" s="1" t="str">
        <x:v>Asbestos Removal Work—Supervision, Training and Other Requirements</x:v>
      </x:c>
      <x:c r="C202" s="1" t="str">
        <x:v>ext</x:v>
      </x:c>
      <x:c r="D202" s="1" t="str">
        <x:v>NT WorkSafe, ‘Asbestos Removalists’</x:v>
      </x:c>
      <x:c r="E202" s="1" t="str">
        <x:v>http://www.worksafe.nt.gov.au/SafetyAndPreventions/Asbestos/Pages/asbestos-removalists.aspx</x:v>
      </x:c>
      <x:c r="F202" s="11" t="n">
        <x:f>=HYPERLINK(E202)</x:f>
      </x:c>
    </x:row>
    <x:row r="203" spans="1:6" x14ac:dyDescent="0.25">
      <x:c r="A203" s="1" t="n">
        <x:v>11788</x:v>
      </x:c>
      <x:c r="B203" s="1" t="str">
        <x:v>Asbestos Removal Work—Supervision, Training and Other Requirements</x:v>
      </x:c>
      <x:c r="C203" s="1" t="str">
        <x:v>ext</x:v>
      </x:c>
      <x:c r="D203" s="1" t="str">
        <x:v>WorkSafe ACT, ‘Asbestos’</x:v>
      </x:c>
      <x:c r="E203" s="1" t="str">
        <x:v>http://www.worksafe.act.gov.au/page/view/1207</x:v>
      </x:c>
      <x:c r="F203" s="11" t="n">
        <x:f>=HYPERLINK(E203)</x:f>
      </x:c>
    </x:row>
    <x:row r="204" spans="1:6" x14ac:dyDescent="0.25">
      <x:c r="A204" s="1" t="n">
        <x:v>11792</x:v>
      </x:c>
      <x:c r="B204" s="1" t="str">
        <x:v>Asbestos Removal Work—Supervision, Training and Other Requirements</x:v>
      </x:c>
      <x:c r="C204" s="1" t="str">
        <x:v>ext</x:v>
      </x:c>
      <x:c r="D204" s="1" t="str">
        <x:v>National environment protection (assessment of site contamination) measure (National Environment Protection Council)</x:v>
      </x:c>
      <x:c r="E204" s="1" t="str">
        <x:v>http://www.nepc.gov.au/nepms/assessment-site-contamination</x:v>
      </x:c>
      <x:c r="F204" s="11" t="n">
        <x:f>=HYPERLINK(E204)</x:f>
      </x:c>
    </x:row>
    <x:row r="205" spans="1:6" x14ac:dyDescent="0.25">
      <x:c r="A205" s="1" t="n">
        <x:v>11796</x:v>
      </x:c>
      <x:c r="B205" s="1" t="str">
        <x:v>Asbestos Removal Work—Supervision, Training and Other Requirements</x:v>
      </x:c>
      <x:c r="C205" s="1" t="str">
        <x:v>ext</x:v>
      </x:c>
      <x:c r="D205" s="1" t="str">
        <x:v>Safe removal of asbestos 2nd Edition [NOHSC: 2002 (2005)], January 2005 (National Occupational Health and Safety Commission)</x:v>
      </x:c>
      <x:c r="E205" s="1" t="str">
        <x:v>http://www.safeworkaustralia.gov.au/sites/swa/about/publications/pages/cp2005saferemovalofasbestos2ndedition</x:v>
      </x:c>
      <x:c r="F205" s="11" t="n">
        <x:f>=HYPERLINK(E205)</x:f>
      </x:c>
    </x:row>
    <x:row r="206" spans="1:6" x14ac:dyDescent="0.25">
      <x:c r="A206" s="1" t="n">
        <x:v>11785</x:v>
      </x:c>
      <x:c r="B206" s="1" t="str">
        <x:v>Asbestos Removal Work—Supervision, Training and Other Requirements</x:v>
      </x:c>
      <x:c r="C206" s="1" t="str">
        <x:v>ext</x:v>
      </x:c>
      <x:c r="D206" s="1" t="str">
        <x:v>WorkCover Queensland, ‘Which Businesses Are Licensed to Remove Asbestos in Queensland?’</x:v>
      </x:c>
      <x:c r="E206" s="1" t="str">
        <x:v>http://www.worksafe.qld.gov.au/injury-prevention-safety/asbestos/asbestos-removal-and-licensing/which-businesses-are-licensed-to-remove-asbestos-in-queensland</x:v>
      </x:c>
      <x:c r="F206" s="11" t="n">
        <x:f>=HYPERLINK(E206)</x:f>
      </x:c>
    </x:row>
    <x:row r="207" spans="1:6" x14ac:dyDescent="0.25">
      <x:c r="A207" s="1" t="n">
        <x:v>11760</x:v>
      </x:c>
      <x:c r="B207" s="1" t="str">
        <x:v>Asbestos—Demolition and Refurbishment</x:v>
      </x:c>
      <x:c r="C207" s="1" t="str">
        <x:v>ext</x:v>
      </x:c>
      <x:c r="D207" s="1" t="str">
        <x:v>Guide to identifying and handling low-density asbestos fibre board, October 2015 (Safe Work Australia)</x:v>
      </x:c>
      <x:c r="E207" s="1" t="str">
        <x:v>http://www.safeworkaustralia.gov.au/sites/swa/about/publications/pages/guide-to-identifying-and-handling-ldb</x:v>
      </x:c>
      <x:c r="F207" s="11" t="n">
        <x:f>=HYPERLINK(E207)</x:f>
      </x:c>
    </x:row>
    <x:row r="208" spans="1:6" x14ac:dyDescent="0.25">
      <x:c r="A208" s="1" t="n">
        <x:v>11758</x:v>
      </x:c>
      <x:c r="B208" s="1" t="str">
        <x:v>Asbestos—Demolition and Refurbishment</x:v>
      </x:c>
      <x:c r="C208" s="1" t="str">
        <x:v>ext</x:v>
      </x:c>
      <x:c r="D208" s="1" t="str">
        <x:v>Model code of practice - How to manage and control asbestos in the workplace, December 2011 (Safe Work Australia)</x:v>
      </x:c>
      <x:c r="E208" s="1" t="str">
        <x:v>http://www.safeworkaustralia.gov.au/sites/swa/about/publications/pages/manage-control-asbestos-cop</x:v>
      </x:c>
      <x:c r="F208" s="11" t="n">
        <x:f>=HYPERLINK(E208)</x:f>
      </x:c>
    </x:row>
    <x:row r="209" spans="1:6" x14ac:dyDescent="0.25">
      <x:c r="A209" s="1" t="n">
        <x:v>11761</x:v>
      </x:c>
      <x:c r="B209" s="1" t="str">
        <x:v>Asbestos—Demolition and Refurbishment</x:v>
      </x:c>
      <x:c r="C209" s="1" t="str">
        <x:v>ext</x:v>
      </x:c>
      <x:c r="D209" s="1" t="str">
        <x:v>‘Minor Contamination’ of asbestos-containing dust or debris, June 2013 (Safe Work Australia fact sheet)</x:v>
      </x:c>
      <x:c r="E209" s="1" t="str">
        <x:v>http://www.safeworkaustralia.gov.au/sites/swa/about/publications/pages/minor-contamination-asbestos-factsheet</x:v>
      </x:c>
      <x:c r="F209" s="11" t="n">
        <x:f>=HYPERLINK(E209)</x:f>
      </x:c>
    </x:row>
    <x:row r="210" spans="1:6" x14ac:dyDescent="0.25">
      <x:c r="A210" s="1" t="n">
        <x:v>11759</x:v>
      </x:c>
      <x:c r="B210" s="1" t="str">
        <x:v>Asbestos—Demolition and Refurbishment</x:v>
      </x:c>
      <x:c r="C210" s="1" t="str">
        <x:v>ext</x:v>
      </x:c>
      <x:c r="D210" s="1" t="str">
        <x:v>Model code of practice - How to Safely Remove Asbestos, December 2011 (Safe Work Australia)</x:v>
      </x:c>
      <x:c r="E210" s="1" t="str">
        <x:v>www.safeworkaustralia.gov.au\sites\swa\about\publications\pages\safely-remove-asbestos-cop</x:v>
      </x:c>
      <x:c r="F210" s="11" t="n">
        <x:f>=HYPERLINK("#F210","www.safeworkaustralia.gov.au\sites\swa\about\publications\pages\safely-remove-asbestos-cop")</x:f>
      </x:c>
    </x:row>
    <x:row r="211" spans="1:6" x14ac:dyDescent="0.25">
      <x:c r="A211" s="1" t="n">
        <x:v>11865</x:v>
      </x:c>
      <x:c r="B211" s="1" t="str">
        <x:v>Renewal, Suspension or Cancellation of a Licence</x:v>
      </x:c>
      <x:c r="C211" s="1" t="str">
        <x:v>ext</x:v>
      </x:c>
      <x:c r="D211" s="1" t="str">
        <x:v>Model code of practice - How to manage and control asbestos in the workplace, December 2011 (Safe Work Australia)</x:v>
      </x:c>
      <x:c r="E211" s="1" t="str">
        <x:v>http://www.safeworkaustralia.gov.au/sites/swa/about/publications/pages/manage-control-asbestos-cop</x:v>
      </x:c>
      <x:c r="F211" s="11" t="n">
        <x:f>=HYPERLINK(E211)</x:f>
      </x:c>
    </x:row>
    <x:row r="212" spans="1:6" x14ac:dyDescent="0.25">
      <x:c r="A212" s="1" t="n">
        <x:v>11866</x:v>
      </x:c>
      <x:c r="B212" s="1" t="str">
        <x:v>Renewal, Suspension or Cancellation of a Licence</x:v>
      </x:c>
      <x:c r="C212" s="1" t="str">
        <x:v>ext</x:v>
      </x:c>
      <x:c r="D212" s="1" t="str">
        <x:v>Model code of practice - How to Safely Remove Asbestos, December 2011 (Safe Work Australia)</x:v>
      </x:c>
      <x:c r="E212" s="1" t="str">
        <x:v>www.safeworkaustralia.gov.au\sites\swa\about\publications\pages\safely-remove-asbestos-cop</x:v>
      </x:c>
      <x:c r="F212" s="11" t="n">
        <x:f>=HYPERLINK("#F212","www.safeworkaustralia.gov.au\sites\swa\about\publications\pages\safely-remove-asbestos-cop")</x:f>
      </x:c>
    </x:row>
    <x:row r="213" spans="1:6" x14ac:dyDescent="0.25">
      <x:c r="A213" s="1" t="n">
        <x:v>11741</x:v>
      </x:c>
      <x:c r="B213" s="1" t="str">
        <x:v>Asbestos Removal Work—Clearance Inspections and Certificates</x:v>
      </x:c>
      <x:c r="C213" s="1" t="str">
        <x:v>ext</x:v>
      </x:c>
      <x:c r="D213" s="1" t="str">
        <x:v>Model code of practice - How to manage and control asbestos in the workplace, December 2011 (Safe Work Australia)</x:v>
      </x:c>
      <x:c r="E213" s="1" t="str">
        <x:v>http://www.safeworkaustralia.gov.au/sites/swa/about/publications/pages/manage-control-asbestos-cop</x:v>
      </x:c>
      <x:c r="F213" s="11" t="n">
        <x:f>=HYPERLINK(E213)</x:f>
      </x:c>
    </x:row>
    <x:row r="214" spans="1:6" x14ac:dyDescent="0.25">
      <x:c r="A214" s="1" t="n">
        <x:v>11743</x:v>
      </x:c>
      <x:c r="B214" s="1" t="str">
        <x:v>Asbestos Removal Work—Clearance Inspections and Certificates</x:v>
      </x:c>
      <x:c r="C214" s="1" t="str">
        <x:v>ext</x:v>
      </x:c>
      <x:c r="D214" s="1" t="str">
        <x:v>Safe removal of asbestos 2nd edition [NOHSC: 2002 (2005)], January 2005 (National Occupational Health and Safety Commission)</x:v>
      </x:c>
      <x:c r="E214" s="1" t="str">
        <x:v>http://www.safeworkaustralia.gov.au/sites/swa/about/publications/pages/cp2005saferemovalofasbestos2ndedition</x:v>
      </x:c>
      <x:c r="F214" s="11" t="n">
        <x:f>=HYPERLINK(E214)</x:f>
      </x:c>
    </x:row>
    <x:row r="215" spans="1:6" x14ac:dyDescent="0.25">
      <x:c r="A215" s="1" t="n">
        <x:v>11742</x:v>
      </x:c>
      <x:c r="B215" s="1" t="str">
        <x:v>Asbestos Removal Work—Clearance Inspections and Certificates</x:v>
      </x:c>
      <x:c r="C215" s="1" t="str">
        <x:v>ext</x:v>
      </x:c>
      <x:c r="D215" s="1" t="str">
        <x:v>Model code of practice - How to Safely Remove Asbestos, December 2011 (Safe Work Australia)</x:v>
      </x:c>
      <x:c r="E215" s="1" t="str">
        <x:v>www.safeworkaustralia.gov.au\sites\swa\about\publications\pages\safely-remove-asbestos-cop</x:v>
      </x:c>
      <x:c r="F215" s="11" t="n">
        <x:f>=HYPERLINK("#F215","www.safeworkaustralia.gov.au\sites\swa\about\publications\pages\safely-remove-asbestos-cop")</x:f>
      </x:c>
    </x:row>
    <x:row r="216" spans="1:6" x14ac:dyDescent="0.25">
      <x:c r="A216" s="1" t="n">
        <x:v>11735</x:v>
      </x:c>
      <x:c r="B216" s="1" t="str">
        <x:v>Asbestos Removal Work—Clearance Inspections and Certificates</x:v>
      </x:c>
      <x:c r="C216" s="1" t="str">
        <x:v>ext</x:v>
      </x:c>
      <x:c r="D216" s="1" t="str">
        <x:v>WorkCover NSW, ‘Asbestos and Demolition Licence Holders’</x:v>
      </x:c>
      <x:c r="E216" s="1" t="str">
        <x:v>http://www.workcover.nsw.gov.au/information-searches/asbestos-demolition-licence-holders</x:v>
      </x:c>
      <x:c r="F216" s="11" t="n">
        <x:f>=HYPERLINK(E216)</x:f>
      </x:c>
    </x:row>
    <x:row r="217" spans="1:6" x14ac:dyDescent="0.25">
      <x:c r="A217" s="1" t="n">
        <x:v>11737</x:v>
      </x:c>
      <x:c r="B217" s="1" t="str">
        <x:v>Asbestos Removal Work—Clearance Inspections and Certificates</x:v>
      </x:c>
      <x:c r="C217" s="1" t="str">
        <x:v>ext</x:v>
      </x:c>
      <x:c r="D217" s="1" t="str">
        <x:v>SafeWork SA, ‘Asbestos Removal and Monitoring’</x:v>
      </x:c>
      <x:c r="E217" s="1" t="str">
        <x:v>http://www.safework.sa.gov.au/show_page.jsp?id=2690#.Vtaceo9OI7M</x:v>
      </x:c>
      <x:c r="F217" s="11" t="n">
        <x:f>=HYPERLINK(E217)</x:f>
      </x:c>
    </x:row>
    <x:row r="218" spans="1:6" x14ac:dyDescent="0.25">
      <x:c r="A218" s="1" t="n">
        <x:v>11740</x:v>
      </x:c>
      <x:c r="B218" s="1" t="str">
        <x:v>Asbestos Removal Work—Clearance Inspections and Certificates</x:v>
      </x:c>
      <x:c r="C218" s="1" t="str">
        <x:v>ext</x:v>
      </x:c>
      <x:c r="D218" s="1" t="str">
        <x:v>NT WorkSafe, ‘Asbestos Assessors’</x:v>
      </x:c>
      <x:c r="E218" s="1" t="str">
        <x:v>http://www.worksafe.nt.gov.au/SafetyAndPreventions/Asbestos/Pages/asbestos-assessors.aspx</x:v>
      </x:c>
      <x:c r="F218" s="11" t="n">
        <x:f>=HYPERLINK(E218)</x:f>
      </x:c>
    </x:row>
    <x:row r="219" spans="1:6" x14ac:dyDescent="0.25">
      <x:c r="A219" s="1" t="n">
        <x:v>11736</x:v>
      </x:c>
      <x:c r="B219" s="1" t="str">
        <x:v>Asbestos Removal Work—Clearance Inspections and Certificates</x:v>
      </x:c>
      <x:c r="C219" s="1" t="str">
        <x:v>ext</x:v>
      </x:c>
      <x:c r="D219" s="1" t="str">
        <x:v>WorkCover Queensland, ‘Which Businesses Are Licensed to Remove Asbestos in Queensland?’</x:v>
      </x:c>
      <x:c r="E219" s="1" t="str">
        <x:v>http://www.worksafe.qld.gov.au/injury-prevention-safety/asbestos/asbestos-removal-and-licensing/which-businesses-are-licensed-to-remove-asbestos-in-queensland</x:v>
      </x:c>
      <x:c r="F219" s="11" t="n">
        <x:f>=HYPERLINK(E219)</x:f>
      </x:c>
    </x:row>
    <x:row r="220" spans="1:6" x14ac:dyDescent="0.25">
      <x:c r="A220" s="1" t="n">
        <x:v>11738</x:v>
      </x:c>
      <x:c r="B220" s="1" t="str">
        <x:v>Asbestos Removal Work—Clearance Inspections and Certificates</x:v>
      </x:c>
      <x:c r="C220" s="1" t="str">
        <x:v>ext</x:v>
      </x:c>
      <x:c r="D220" s="1" t="str">
        <x:v>Worksafe Tasmania, ‘Asbestos Licences Search’</x:v>
      </x:c>
      <x:c r="E220" s="1" t="str">
        <x:v>http://worksafe.tas.gov.au/licensing/asbestos_removal_assessor/asbestos</x:v>
      </x:c>
      <x:c r="F220" s="11" t="n">
        <x:f>=HYPERLINK(E220)</x:f>
      </x:c>
    </x:row>
    <x:row r="221" spans="1:6" x14ac:dyDescent="0.25">
      <x:c r="A221" s="1" t="n">
        <x:v>11739</x:v>
      </x:c>
      <x:c r="B221" s="1" t="str">
        <x:v>Asbestos Removal Work—Clearance Inspections and Certificates</x:v>
      </x:c>
      <x:c r="C221" s="1" t="str">
        <x:v>ext</x:v>
      </x:c>
      <x:c r="D221" s="1" t="str">
        <x:v>WorkSafe ACT, ‘Asbestos’</x:v>
      </x:c>
      <x:c r="E221" s="1" t="str">
        <x:v>http://www.worksafe.act.gov.au/page/view/1207</x:v>
      </x:c>
      <x:c r="F221" s="11" t="n">
        <x:f>=HYPERLINK(E221)</x:f>
      </x:c>
    </x:row>
    <x:row r="222" spans="1:6" x14ac:dyDescent="0.25">
      <x:c r="A222" s="1" t="n">
        <x:v>11841</x:v>
      </x:c>
      <x:c r="B222" s="1" t="str">
        <x:v>Asbestos-Related Work—General Requirements</x:v>
      </x:c>
      <x:c r="C222" s="1" t="str">
        <x:v>ext</x:v>
      </x:c>
      <x:c r="D222" s="1" t="str">
        <x:v>Safe removal of asbestos 2nd edition [NOHSC: 2002 (2005)], January 2005 (National Occupational Health and Safety Commission)</x:v>
      </x:c>
      <x:c r="E222" s="1" t="str">
        <x:v>http://www.safeworkaustralia.gov.au/sites/swa/about/publications/pages/cp2005saferemovalofasbestos2ndedition</x:v>
      </x:c>
      <x:c r="F222" s="11" t="n">
        <x:f>=HYPERLINK(E222)</x:f>
      </x:c>
    </x:row>
    <x:row r="223" spans="1:6" x14ac:dyDescent="0.25">
      <x:c r="A223" s="1" t="n">
        <x:v>11840</x:v>
      </x:c>
      <x:c r="B223" s="1" t="str">
        <x:v>Asbestos-Related Work—General Requirements</x:v>
      </x:c>
      <x:c r="C223" s="1" t="str">
        <x:v>ext</x:v>
      </x:c>
      <x:c r="D223" s="1" t="str">
        <x:v>Model code of practice - How to Safely Remove Asbestos, December 2011 (Safe Work Australia)</x:v>
      </x:c>
      <x:c r="E223" s="1" t="str">
        <x:v>www.safeworkaustralia.gov.au\sites\swa\about\publications\pages\safely-remove-asbestos-cop</x:v>
      </x:c>
      <x:c r="F223" s="11" t="n">
        <x:f>=HYPERLINK("#F223","www.safeworkaustralia.gov.au\sites\swa\about\publications\pages\safely-remove-asbestos-cop")</x:f>
      </x:c>
    </x:row>
    <x:row r="224" spans="1:6" x14ac:dyDescent="0.25">
      <x:c r="A224" s="1" t="n">
        <x:v>11839</x:v>
      </x:c>
      <x:c r="B224" s="1" t="str">
        <x:v>Asbestos-Related Work—General Requirements</x:v>
      </x:c>
      <x:c r="C224" s="1" t="str">
        <x:v>ext</x:v>
      </x:c>
      <x:c r="D224" s="1" t="str">
        <x:v>Model code of practice - How to manage and control asbestos in the workplace, December 2011 (Safe Work Australia)</x:v>
      </x:c>
      <x:c r="E224" s="1" t="str">
        <x:v>http://www.safeworkaustralia.gov.au/sites/swa/about/publications/pages/manage-control-asbestos-cop</x:v>
      </x:c>
      <x:c r="F224" s="11" t="n">
        <x:f>=HYPERLINK(E224)</x:f>
      </x:c>
    </x:row>
    <x:row r="225" spans="1:6" x14ac:dyDescent="0.25">
      <x:c r="A225" s="1" t="n">
        <x:v>11809</x:v>
      </x:c>
      <x:c r="B225" s="1" t="str">
        <x:v>Asbestos Removal Work—Notifying the Regulator and Informing Others</x:v>
      </x:c>
      <x:c r="C225" s="1" t="str">
        <x:v>ext</x:v>
      </x:c>
      <x:c r="D225" s="1" t="str">
        <x:v>SafeWork SA, ‘Notifications Portal’</x:v>
      </x:c>
      <x:c r="E225" s="1" t="str">
        <x:v>http://www.safework.sa.gov.au/show_page.jsp?id=113141#.VtaliI9OI7N</x:v>
      </x:c>
      <x:c r="F225" s="11" t="n">
        <x:f>=HYPERLINK(E225)</x:f>
      </x:c>
    </x:row>
    <x:row r="226" spans="1:6" x14ac:dyDescent="0.25">
      <x:c r="A226" s="1" t="n">
        <x:v>11814</x:v>
      </x:c>
      <x:c r="B226" s="1" t="str">
        <x:v>Asbestos Removal Work—Notifying the Regulator and Informing Others</x:v>
      </x:c>
      <x:c r="C226" s="1" t="str">
        <x:v>ext</x:v>
      </x:c>
      <x:c r="D226" s="1" t="str">
        <x:v>Model code of practice - How to Safely Remove Asbestos, December 2011 (Safe Work Australia)</x:v>
      </x:c>
      <x:c r="E226" s="1" t="str">
        <x:v>www.safeworkaustralia.gov.au\sites\swa\about\publications\pages\safely-remove-asbestos-cop</x:v>
      </x:c>
      <x:c r="F226" s="11" t="n">
        <x:f>=HYPERLINK("#F226","www.safeworkaustralia.gov.au\sites\swa\about\publications\pages\safely-remove-asbestos-cop")</x:f>
      </x:c>
    </x:row>
    <x:row r="227" spans="1:6" x14ac:dyDescent="0.25">
      <x:c r="A227" s="1" t="n">
        <x:v>11812</x:v>
      </x:c>
      <x:c r="B227" s="1" t="str">
        <x:v>Asbestos Removal Work—Notifying the Regulator and Informing Others</x:v>
      </x:c>
      <x:c r="C227" s="1" t="str">
        <x:v>ext</x:v>
      </x:c>
      <x:c r="D227" s="1" t="str">
        <x:v>NT WorkSafe, ‘Asbestos’</x:v>
      </x:c>
      <x:c r="E227" s="1" t="str">
        <x:v>http://www.worksafe.nt.gov.au/LicensingAndRegistration/asbestos/Pages/default.aspx</x:v>
      </x:c>
      <x:c r="F227" s="11" t="n">
        <x:f>=HYPERLINK(E227)</x:f>
      </x:c>
    </x:row>
    <x:row r="228" spans="1:6" x14ac:dyDescent="0.25">
      <x:c r="A228" s="1" t="n">
        <x:v>11813</x:v>
      </x:c>
      <x:c r="B228" s="1" t="str">
        <x:v>Asbestos Removal Work—Notifying the Regulator and Informing Others</x:v>
      </x:c>
      <x:c r="C228" s="1" t="str">
        <x:v>ext</x:v>
      </x:c>
      <x:c r="D228" s="1" t="str">
        <x:v>Model code of practice - How to manage and control asbestos in the workplace, December 2011 (Safe Work Australia)</x:v>
      </x:c>
      <x:c r="E228" s="1" t="str">
        <x:v>http://www.safeworkaustralia.gov.au/sites/swa/about/publications/pages/manage-control-asbestos-cop</x:v>
      </x:c>
      <x:c r="F228" s="11" t="n">
        <x:f>=HYPERLINK(E228)</x:f>
      </x:c>
    </x:row>
    <x:row r="229" spans="1:6" x14ac:dyDescent="0.25">
      <x:c r="A229" s="1" t="n">
        <x:v>11808</x:v>
      </x:c>
      <x:c r="B229" s="1" t="str">
        <x:v>Asbestos Removal Work—Notifying the Regulator and Informing Others</x:v>
      </x:c>
      <x:c r="C229" s="1" t="str">
        <x:v>ext</x:v>
      </x:c>
      <x:c r="D229" s="1" t="str">
        <x:v>WorkCover Queensland, ‘Asbestos and Demolition Notifications’</x:v>
      </x:c>
      <x:c r="E229" s="1" t="str">
        <x:v>http://www.worksafe.qld.gov.au/injury-prevention-safety/asbestos/asbestos-demolition-notifications</x:v>
      </x:c>
      <x:c r="F229" s="11" t="n">
        <x:f>=HYPERLINK(E229)</x:f>
      </x:c>
    </x:row>
    <x:row r="230" spans="1:6" x14ac:dyDescent="0.25">
      <x:c r="A230" s="1" t="n">
        <x:v>11806</x:v>
      </x:c>
      <x:c r="B230" s="1" t="str">
        <x:v>Asbestos Removal Work—Notifying the Regulator and Informing Others</x:v>
      </x:c>
      <x:c r="C230" s="1" t="str">
        <x:v>ext</x:v>
      </x:c>
      <x:c r="D230" s="1" t="str">
        <x:v>Comcare (Commonwealth regulator), ‘Asbestos Notifications’</x:v>
      </x:c>
      <x:c r="E230" s="1" t="str">
        <x:v>http://www.comcare.gov.au/preventing/hazards/chemical_hazards/asbestos/asbestos_notifications</x:v>
      </x:c>
      <x:c r="F230" s="11" t="n">
        <x:f>=HYPERLINK(E230)</x:f>
      </x:c>
    </x:row>
    <x:row r="231" spans="1:6" x14ac:dyDescent="0.25">
      <x:c r="A231" s="1" t="n">
        <x:v>11811</x:v>
      </x:c>
      <x:c r="B231" s="1" t="str">
        <x:v>Asbestos Removal Work—Notifying the Regulator and Informing Others</x:v>
      </x:c>
      <x:c r="C231" s="1" t="str">
        <x:v>ext</x:v>
      </x:c>
      <x:c r="D231" s="1" t="str">
        <x:v>WorkSafe ACT, ‘Asbestos’</x:v>
      </x:c>
      <x:c r="E231" s="1" t="str">
        <x:v>http://www.worksafe.act.gov.au/page/view/1207</x:v>
      </x:c>
      <x:c r="F231" s="11" t="n">
        <x:f>=HYPERLINK(E231)</x:f>
      </x:c>
    </x:row>
    <x:row r="232" spans="1:6" x14ac:dyDescent="0.25">
      <x:c r="A232" s="1" t="n">
        <x:v>11810</x:v>
      </x:c>
      <x:c r="B232" s="1" t="str">
        <x:v>Asbestos Removal Work—Notifying the Regulator and Informing Others</x:v>
      </x:c>
      <x:c r="C232" s="1" t="str">
        <x:v>ext</x:v>
      </x:c>
      <x:c r="D232" s="1" t="str">
        <x:v>SafeWork Tasmania, ‘Licensing Forms Listing’</x:v>
      </x:c>
      <x:c r="E232" s="1" t="str">
        <x:v>http://www.worksafe.tas.gov.au/licensing/licensing-forms</x:v>
      </x:c>
      <x:c r="F232" s="11" t="n">
        <x:f>=HYPERLINK(E232)</x:f>
      </x:c>
    </x:row>
    <x:row r="233" spans="1:6" x14ac:dyDescent="0.25">
      <x:c r="A233" s="1" t="n">
        <x:v>11807</x:v>
      </x:c>
      <x:c r="B233" s="1" t="str">
        <x:v>Asbestos Removal Work—Notifying the Regulator and Informing Others</x:v>
      </x:c>
      <x:c r="C233" s="1" t="str">
        <x:v>ext</x:v>
      </x:c>
      <x:c r="D233" s="1" t="str">
        <x:v>WorkCover NSW, ‘Asbestos Notifications’</x:v>
      </x:c>
      <x:c r="E233" s="1" t="str">
        <x:v>http://www.workcover.nsw.gov.au/licences-and-registrations/notifications-and-permits/asbestos-notifications</x:v>
      </x:c>
      <x:c r="F233" s="11" t="n">
        <x:f>=HYPERLINK(E233)</x:f>
      </x:c>
    </x:row>
    <x:row r="234" spans="1:6" x14ac:dyDescent="0.25">
      <x:c r="A234" s="1" t="n">
        <x:v>11780</x:v>
      </x:c>
      <x:c r="B234" s="1" t="str">
        <x:v>Licensing of Asbestos Removalists and Asbestos Assessors</x:v>
      </x:c>
      <x:c r="C234" s="1" t="str">
        <x:v>ext</x:v>
      </x:c>
      <x:c r="D234" s="1" t="str">
        <x:v>‘Minor Contamination’ of asbestos-containing dust or debris, June 2013 (Safe Work Australia fact sheet)</x:v>
      </x:c>
      <x:c r="E234" s="1" t="str">
        <x:v>http://www.safeworkaustralia.gov.au/sites/swa/about/publications/pages/minor-contamination-asbestos-factsheet</x:v>
      </x:c>
      <x:c r="F234" s="11" t="n">
        <x:f>=HYPERLINK(E234)</x:f>
      </x:c>
    </x:row>
    <x:row r="235" spans="1:6" x14ac:dyDescent="0.25">
      <x:c r="A235" s="1" t="n">
        <x:v>11770</x:v>
      </x:c>
      <x:c r="B235" s="1" t="str">
        <x:v>Licensing of Asbestos Removalists and Asbestos Assessors</x:v>
      </x:c>
      <x:c r="C235" s="1" t="str">
        <x:v>ext</x:v>
      </x:c>
      <x:c r="D235" s="1" t="str">
        <x:v>SafeWork Tasmania, ‘Licensing Forms Listing’</x:v>
      </x:c>
      <x:c r="E235" s="1" t="str">
        <x:v>http://www.worksafe.tas.gov.au/licensing/licensing-forms</x:v>
      </x:c>
      <x:c r="F235" s="11" t="n">
        <x:f>=HYPERLINK(E235)</x:f>
      </x:c>
    </x:row>
    <x:row r="236" spans="1:6" x14ac:dyDescent="0.25">
      <x:c r="A236" s="1" t="n">
        <x:v>11765</x:v>
      </x:c>
      <x:c r="B236" s="1" t="str">
        <x:v>Licensing of Asbestos Removalists and Asbestos Assessors</x:v>
      </x:c>
      <x:c r="C236" s="1" t="str">
        <x:v>ext</x:v>
      </x:c>
      <x:c r="D236" s="1" t="str">
        <x:v>WorkCover NSW, ‘Asbestos Licences’</x:v>
      </x:c>
      <x:c r="E236" s="1" t="str">
        <x:v>http://www.workcover.nsw.gov.au/licences-and-registrations/licences/asbestos-licences</x:v>
      </x:c>
      <x:c r="F236" s="11" t="n">
        <x:f>=HYPERLINK(E236)</x:f>
      </x:c>
    </x:row>
    <x:row r="237" spans="1:6" x14ac:dyDescent="0.25">
      <x:c r="A237" s="1" t="n">
        <x:v>11774</x:v>
      </x:c>
      <x:c r="B237" s="1" t="str">
        <x:v>Licensing of Asbestos Removalists and Asbestos Assessors</x:v>
      </x:c>
      <x:c r="C237" s="1" t="str">
        <x:v>ext</x:v>
      </x:c>
      <x:c r="D237" s="1" t="str">
        <x:v>NT WorkSafe, ‘Asbestos Removalists’</x:v>
      </x:c>
      <x:c r="E237" s="1" t="str">
        <x:v>http://www.worksafe.nt.gov.au/SafetyAndPreventions/Asbestos/Pages/asbestos-removalists.aspx</x:v>
      </x:c>
      <x:c r="F237" s="11" t="n">
        <x:f>=HYPERLINK(E237)</x:f>
      </x:c>
    </x:row>
    <x:row r="238" spans="1:6" x14ac:dyDescent="0.25">
      <x:c r="A238" s="1" t="n">
        <x:v>11778</x:v>
      </x:c>
      <x:c r="B238" s="1" t="str">
        <x:v>Licensing of Asbestos Removalists and Asbestos Assessors</x:v>
      </x:c>
      <x:c r="C238" s="1" t="str">
        <x:v>ext</x:v>
      </x:c>
      <x:c r="D238" s="1" t="str">
        <x:v>Model code of practice - Management and control of asbestos in the workplace, 1 January 2005 (Safe Work Australia)</x:v>
      </x:c>
      <x:c r="E238" s="1" t="str">
        <x:v>http://www.safeworkaustralia.gov.au/sites/swa/about/publications/pages/cp2005managementandcontrolofasbestos</x:v>
      </x:c>
      <x:c r="F238" s="11" t="n">
        <x:f>=HYPERLINK(E238)</x:f>
      </x:c>
    </x:row>
    <x:row r="239" spans="1:6" x14ac:dyDescent="0.25">
      <x:c r="A239" s="1" t="n">
        <x:v>11777</x:v>
      </x:c>
      <x:c r="B239" s="1" t="str">
        <x:v>Licensing of Asbestos Removalists and Asbestos Assessors</x:v>
      </x:c>
      <x:c r="C239" s="1" t="str">
        <x:v>ext</x:v>
      </x:c>
      <x:c r="D239" s="1" t="str">
        <x:v>Model code of practice - How to Safely Remove Asbestos, December 2011 (Safe Work Australia)</x:v>
      </x:c>
      <x:c r="E239" s="1" t="str">
        <x:v>www.safeworkaustralia.gov.au\sites\swa\about\publications\pages\safely-remove-asbestos-cop</x:v>
      </x:c>
      <x:c r="F239" s="11" t="n">
        <x:f>=HYPERLINK("#F239","www.safeworkaustralia.gov.au\sites\swa\about\publications\pages\safely-remove-asbestos-cop")</x:f>
      </x:c>
    </x:row>
    <x:row r="240" spans="1:6" x14ac:dyDescent="0.25">
      <x:c r="A240" s="1" t="n">
        <x:v>11766</x:v>
      </x:c>
      <x:c r="B240" s="1" t="str">
        <x:v>Licensing of Asbestos Removalists and Asbestos Assessors</x:v>
      </x:c>
      <x:c r="C240" s="1" t="str">
        <x:v>ext</x:v>
      </x:c>
      <x:c r="D240" s="1" t="str">
        <x:v>WorkCover NSW, ‘Asbestos and Demolition Licence Holders’</x:v>
      </x:c>
      <x:c r="E240" s="1" t="str">
        <x:v>http://www.workcover.nsw.gov.au/information-searches/asbestos-demolition-licence-holders</x:v>
      </x:c>
      <x:c r="F240" s="11" t="n">
        <x:f>=HYPERLINK(E240)</x:f>
      </x:c>
    </x:row>
    <x:row r="241" spans="1:6" x14ac:dyDescent="0.25">
      <x:c r="A241" s="1" t="n">
        <x:v>11772</x:v>
      </x:c>
      <x:c r="B241" s="1" t="str">
        <x:v>Licensing of Asbestos Removalists and Asbestos Assessors</x:v>
      </x:c>
      <x:c r="C241" s="1" t="str">
        <x:v>ext</x:v>
      </x:c>
      <x:c r="D241" s="1" t="str">
        <x:v>WorkSafe ACT, ‘Asbestos’</x:v>
      </x:c>
      <x:c r="E241" s="1" t="str">
        <x:v>http://www.worksafe.act.gov.au/page/view/1207</x:v>
      </x:c>
      <x:c r="F241" s="11" t="n">
        <x:f>=HYPERLINK(E241)</x:f>
      </x:c>
    </x:row>
    <x:row r="242" spans="1:6" x14ac:dyDescent="0.25">
      <x:c r="A242" s="1" t="n">
        <x:v>11779</x:v>
      </x:c>
      <x:c r="B242" s="1" t="str">
        <x:v>Licensing of Asbestos Removalists and Asbestos Assessors</x:v>
      </x:c>
      <x:c r="C242" s="1" t="str">
        <x:v>ext</x:v>
      </x:c>
      <x:c r="D242" s="1" t="str">
        <x:v>Guide to identifying and handling low-density asbestos fibre board, October 2015 (Safe Work Australia)</x:v>
      </x:c>
      <x:c r="E242" s="1" t="str">
        <x:v>http://www.safeworkaustralia.gov.au/sites/swa/about/publications/pages/guide-to-identifying-and-handling-ldb</x:v>
      </x:c>
      <x:c r="F242" s="11" t="n">
        <x:f>=HYPERLINK(E242)</x:f>
      </x:c>
    </x:row>
    <x:row r="243" spans="1:6" x14ac:dyDescent="0.25">
      <x:c r="A243" s="1" t="n">
        <x:v>11768</x:v>
      </x:c>
      <x:c r="B243" s="1" t="str">
        <x:v>Licensing of Asbestos Removalists and Asbestos Assessors</x:v>
      </x:c>
      <x:c r="C243" s="1" t="str">
        <x:v>ext</x:v>
      </x:c>
      <x:c r="D243" s="1" t="str">
        <x:v>WorkCover Queensland, ‘Which Businesses Are Licensed to Remove Asbestos in Queensland?’</x:v>
      </x:c>
      <x:c r="E243" s="1" t="str">
        <x:v>http://www.worksafe.qld.gov.au/injury-prevention-safety/asbestos/asbestos-removal-and-licensing/which-businesses-are-licensed-to-remove-asbestos-in-queensland</x:v>
      </x:c>
      <x:c r="F243" s="11" t="n">
        <x:f>=HYPERLINK(E243)</x:f>
      </x:c>
    </x:row>
    <x:row r="244" spans="1:6" x14ac:dyDescent="0.25">
      <x:c r="A244" s="1" t="n">
        <x:v>11776</x:v>
      </x:c>
      <x:c r="B244" s="1" t="str">
        <x:v>Licensing of Asbestos Removalists and Asbestos Assessors</x:v>
      </x:c>
      <x:c r="C244" s="1" t="str">
        <x:v>ext</x:v>
      </x:c>
      <x:c r="D244" s="1" t="str">
        <x:v>Model code of practice - How to manage and control asbestos in the workplace, December 2011 (Safe Work Australia)</x:v>
      </x:c>
      <x:c r="E244" s="1" t="str">
        <x:v>http://www.safeworkaustralia.gov.au/sites/swa/about/publications/pages/manage-control-asbestos-cop</x:v>
      </x:c>
      <x:c r="F244" s="11" t="n">
        <x:f>=HYPERLINK(E244)</x:f>
      </x:c>
    </x:row>
    <x:row r="245" spans="1:6" x14ac:dyDescent="0.25">
      <x:c r="A245" s="1" t="n">
        <x:v>11775</x:v>
      </x:c>
      <x:c r="B245" s="1" t="str">
        <x:v>Licensing of Asbestos Removalists and Asbestos Assessors</x:v>
      </x:c>
      <x:c r="C245" s="1" t="str">
        <x:v>ext</x:v>
      </x:c>
      <x:c r="D245" s="1" t="str">
        <x:v>NT WorkSafe, ‘Asbestos Assessors’</x:v>
      </x:c>
      <x:c r="E245" s="1" t="str">
        <x:v>http://www.worksafe.nt.gov.au/SafetyAndPreventions/Asbestos/Pages/asbestos-assessors.aspx</x:v>
      </x:c>
      <x:c r="F245" s="11" t="n">
        <x:f>=HYPERLINK(E245)</x:f>
      </x:c>
    </x:row>
    <x:row r="246" spans="1:6" x14ac:dyDescent="0.25">
      <x:c r="A246" s="1" t="n">
        <x:v>11767</x:v>
      </x:c>
      <x:c r="B246" s="1" t="str">
        <x:v>Licensing of Asbestos Removalists and Asbestos Assessors</x:v>
      </x:c>
      <x:c r="C246" s="1" t="str">
        <x:v>ext</x:v>
      </x:c>
      <x:c r="D246" s="1" t="str">
        <x:v>WorkCover Queensland, ‘Asbestos Licences’</x:v>
      </x:c>
      <x:c r="E246" s="1" t="str">
        <x:v>http://www.worksafe.qld.gov.au/injury-prevention-safety/asbestos/asbestos-removal-and-licensing/asbestos</x:v>
      </x:c>
      <x:c r="F246" s="11" t="n">
        <x:f>=HYPERLINK(E246)</x:f>
      </x:c>
    </x:row>
    <x:row r="247" spans="1:6" x14ac:dyDescent="0.25">
      <x:c r="A247" s="1" t="n">
        <x:v>11769</x:v>
      </x:c>
      <x:c r="B247" s="1" t="str">
        <x:v>Licensing of Asbestos Removalists and Asbestos Assessors</x:v>
      </x:c>
      <x:c r="C247" s="1" t="str">
        <x:v>ext</x:v>
      </x:c>
      <x:c r="D247" s="1" t="str">
        <x:v>SafeWork SA, ‘Asbestos Removal and Monitoring’</x:v>
      </x:c>
      <x:c r="E247" s="1" t="str">
        <x:v>http://www.safework.sa.gov.au/show_page.jsp?id=2690#.Vtaceo9OI7M</x:v>
      </x:c>
      <x:c r="F247" s="11" t="n">
        <x:f>=HYPERLINK(E247)</x:f>
      </x:c>
    </x:row>
    <x:row r="248" spans="1:6" x14ac:dyDescent="0.25">
      <x:c r="A248" s="1" t="n">
        <x:v>11771</x:v>
      </x:c>
      <x:c r="B248" s="1" t="str">
        <x:v>Licensing of Asbestos Removalists and Asbestos Assessors</x:v>
      </x:c>
      <x:c r="C248" s="1" t="str">
        <x:v>ext</x:v>
      </x:c>
      <x:c r="D248" s="1" t="str">
        <x:v>Worksafe Tasmania, ‘Asbestos Licences Search’</x:v>
      </x:c>
      <x:c r="E248" s="1" t="str">
        <x:v>http://worksafe.tas.gov.au/licensing/asbestos_removal_assessor/asbestos</x:v>
      </x:c>
      <x:c r="F248" s="11" t="n">
        <x:f>=HYPERLINK(E248)</x:f>
      </x:c>
    </x:row>
    <x:row r="249" spans="1:6" x14ac:dyDescent="0.25">
      <x:c r="A249" s="1" t="n">
        <x:v>11773</x:v>
      </x:c>
      <x:c r="B249" s="1" t="str">
        <x:v>Licensing of Asbestos Removalists and Asbestos Assessors</x:v>
      </x:c>
      <x:c r="C249" s="1" t="str">
        <x:v>ext</x:v>
      </x:c>
      <x:c r="D249" s="1" t="str">
        <x:v>NT WorkSafe, ‘Asbestos’</x:v>
      </x:c>
      <x:c r="E249" s="1" t="str">
        <x:v>http://www.worksafe.nt.gov.au/LicensingAndRegistration/asbestos/Pages/default.aspx</x:v>
      </x:c>
      <x:c r="F249" s="11" t="n">
        <x:f>=HYPERLINK(E249)</x:f>
      </x:c>
    </x:row>
    <x:row r="250" spans="1:6" x14ac:dyDescent="0.25">
      <x:c r="A250" s="1" t="n">
        <x:v>11800</x:v>
      </x:c>
      <x:c r="B250" s="1" t="str">
        <x:v>Asbestos Removal Control Plans</x:v>
      </x:c>
      <x:c r="C250" s="1" t="str">
        <x:v>ext</x:v>
      </x:c>
      <x:c r="D250" s="1" t="str">
        <x:v>Model code of practice - How to manage and control asbestos in the workplace, December 2011 (Safe Work Australia)</x:v>
      </x:c>
      <x:c r="E250" s="1" t="str">
        <x:v>http://www.safeworkaustralia.gov.au/sites/swa/about/publications/pages/manage-control-asbestos-cop</x:v>
      </x:c>
      <x:c r="F250" s="11" t="n">
        <x:f>=HYPERLINK(E250)</x:f>
      </x:c>
    </x:row>
    <x:row r="251" spans="1:6" x14ac:dyDescent="0.25">
      <x:c r="A251" s="1" t="n">
        <x:v>11802</x:v>
      </x:c>
      <x:c r="B251" s="1" t="str">
        <x:v>Asbestos Removal Control Plans</x:v>
      </x:c>
      <x:c r="C251" s="1" t="str">
        <x:v>ext</x:v>
      </x:c>
      <x:c r="D251" s="1" t="str">
        <x:v>Safe removal of asbestos 2nd edition [NOHSC: 2002 (2005)], January 2005 (National Occupational Health and Safety Commission)</x:v>
      </x:c>
      <x:c r="E251" s="1" t="str">
        <x:v>http://www.safeworkaustralia.gov.au/sites/swa/about/publications/pages/cp2005saferemovalofasbestos2ndedition</x:v>
      </x:c>
      <x:c r="F251" s="11" t="n">
        <x:f>=HYPERLINK(E251)</x:f>
      </x:c>
    </x:row>
    <x:row r="252" spans="1:6" x14ac:dyDescent="0.25">
      <x:c r="A252" s="1" t="n">
        <x:v>11801</x:v>
      </x:c>
      <x:c r="B252" s="1" t="str">
        <x:v>Asbestos Removal Control Plans</x:v>
      </x:c>
      <x:c r="C252" s="1" t="str">
        <x:v>ext</x:v>
      </x:c>
      <x:c r="D252" s="1" t="str">
        <x:v>Model code of practice - How to Safely Remove Asbestos, December 2011 (Safe Work Australia)</x:v>
      </x:c>
      <x:c r="E252" s="1" t="str">
        <x:v>www.safeworkaustralia.gov.au\sites\swa\about\publications\pages\safely-remove-asbestos-cop</x:v>
      </x:c>
      <x:c r="F252" s="11" t="n">
        <x:f>=HYPERLINK("#F252","www.safeworkaustralia.gov.au\sites\swa\about\publications\pages\safely-remove-asbestos-cop")</x:f>
      </x:c>
    </x:row>
    <x:row r="253" spans="1:6" x14ac:dyDescent="0.25">
      <x:c r="A253" s="1" t="n">
        <x:v>11717</x:v>
      </x:c>
      <x:c r="B253" s="1" t="str">
        <x:v>Identifying Asbestos and Indicating Its Presence and Location</x:v>
      </x:c>
      <x:c r="C253" s="1" t="str">
        <x:v>ext</x:v>
      </x:c>
      <x:c r="D253" s="1" t="str">
        <x:v>Model code of practice - How to manage and control asbestos in the workplace, December 2011 (Safe Work Australia)</x:v>
      </x:c>
      <x:c r="E253" s="1" t="str">
        <x:v>http://www.safeworkaustralia.gov.au/sites/swa/about/publications/pages/manage-control-asbestos-cop</x:v>
      </x:c>
      <x:c r="F253" s="11" t="n">
        <x:f>=HYPERLINK(E253)</x:f>
      </x:c>
    </x:row>
    <x:row r="254" spans="1:6" x14ac:dyDescent="0.25">
      <x:c r="A254" s="1" t="n">
        <x:v>11718</x:v>
      </x:c>
      <x:c r="B254" s="1" t="str">
        <x:v>Identifying Asbestos and Indicating Its Presence and Location</x:v>
      </x:c>
      <x:c r="C254" s="1" t="str">
        <x:v>ext</x:v>
      </x:c>
      <x:c r="D254" s="1" t="str">
        <x:v>Guide to identifying and handling low-density asbestos fibre board, October 2015 (Safe Work Australia)</x:v>
      </x:c>
      <x:c r="E254" s="1" t="str">
        <x:v>http://www.safeworkaustralia.gov.au/sites/swa/about/publications/pages/guide-to-identifying-and-handling-ldb</x:v>
      </x:c>
      <x:c r="F254" s="11" t="n">
        <x:f>=HYPERLINK(E254)</x:f>
      </x:c>
    </x:row>
    <x:row r="255" spans="1:6" x14ac:dyDescent="0.25">
      <x:c r="A255" s="1" t="n">
        <x:v>11719</x:v>
      </x:c>
      <x:c r="B255" s="1" t="str">
        <x:v>Identifying Asbestos and Indicating Its Presence and Location</x:v>
      </x:c>
      <x:c r="C255" s="1" t="str">
        <x:v>ext</x:v>
      </x:c>
      <x:c r="D255" s="1" t="str">
        <x:v>Model code of practice - Management and control of asbestos in the workplace, 1 January 2005 (Safe Work Australia)</x:v>
      </x:c>
      <x:c r="E255" s="1" t="str">
        <x:v>http://www.safeworkaustralia.gov.au/sites/swa/about/publications/pages/cp2005managementandcontrolofasbestos</x:v>
      </x:c>
      <x:c r="F255" s="11" t="n">
        <x:f>=HYPERLINK(E255)</x:f>
      </x:c>
    </x:row>
    <x:row r="256" spans="1:6" x14ac:dyDescent="0.25">
      <x:c r="A256" s="1" t="n">
        <x:v>11850</x:v>
      </x:c>
      <x:c r="B256" s="1" t="str">
        <x:v>Asbestos-Related Work—Decontamination and Waste Disposal</x:v>
      </x:c>
      <x:c r="C256" s="1" t="str">
        <x:v>ext</x:v>
      </x:c>
      <x:c r="D256" s="1" t="str">
        <x:v>‘Minor Contamination’ of asbestos-containing dust or debris, June 2013 (Safe Work Australia fact sheet)</x:v>
      </x:c>
      <x:c r="E256" s="1" t="str">
        <x:v>http://www.safeworkaustralia.gov.au/sites/swa/about/publications/pages/minor-contamination-asbestos-factsheet</x:v>
      </x:c>
      <x:c r="F256" s="11" t="n">
        <x:f>=HYPERLINK(E256)</x:f>
      </x:c>
    </x:row>
    <x:row r="257" spans="1:6" x14ac:dyDescent="0.25">
      <x:c r="A257" s="1" t="n">
        <x:v>11849</x:v>
      </x:c>
      <x:c r="B257" s="1" t="str">
        <x:v>Asbestos-Related Work—Decontamination and Waste Disposal</x:v>
      </x:c>
      <x:c r="C257" s="1" t="str">
        <x:v>ext</x:v>
      </x:c>
      <x:c r="D257" s="1" t="str">
        <x:v>Guide to identifying and handling low-density asbestos fibre board, October 2015 (Safe Work Australia)</x:v>
      </x:c>
      <x:c r="E257" s="1" t="str">
        <x:v>http://www.safeworkaustralia.gov.au/sites/swa/about/publications/pages/guide-to-identifying-and-handling-ldb</x:v>
      </x:c>
      <x:c r="F257" s="11" t="n">
        <x:f>=HYPERLINK(E257)</x:f>
      </x:c>
    </x:row>
    <x:row r="258" spans="1:6" x14ac:dyDescent="0.25">
      <x:c r="A258" s="1" t="n">
        <x:v>11846</x:v>
      </x:c>
      <x:c r="B258" s="1" t="str">
        <x:v>Asbestos-Related Work—Decontamination and Waste Disposal</x:v>
      </x:c>
      <x:c r="C258" s="1" t="str">
        <x:v>ext</x:v>
      </x:c>
      <x:c r="D258" s="1" t="str">
        <x:v>Model code of practice - How to Safely Remove Asbestos, December 2011 (Safe Work Australia)</x:v>
      </x:c>
      <x:c r="E258" s="1" t="str">
        <x:v>www.safeworkaustralia.gov.au\sites\swa\about\publications\pages\safely-remove-asbestos-cop</x:v>
      </x:c>
      <x:c r="F258" s="11" t="n">
        <x:f>=HYPERLINK("#F258","www.safeworkaustralia.gov.au\sites\swa\about\publications\pages\safely-remove-asbestos-cop")</x:f>
      </x:c>
    </x:row>
    <x:row r="259" spans="1:6" x14ac:dyDescent="0.25">
      <x:c r="A259" s="1" t="n">
        <x:v>11848</x:v>
      </x:c>
      <x:c r="B259" s="1" t="str">
        <x:v>Asbestos-Related Work—Decontamination and Waste Disposal</x:v>
      </x:c>
      <x:c r="C259" s="1" t="str">
        <x:v>ext</x:v>
      </x:c>
      <x:c r="D259" s="1" t="str">
        <x:v>National environment protection (assessment of site contamination) measure (National Environment Protection Council)</x:v>
      </x:c>
      <x:c r="E259" s="1" t="str">
        <x:v>http://www.nepc.gov.au/nepms/assessment-site-contamination</x:v>
      </x:c>
      <x:c r="F259" s="11" t="n">
        <x:f>=HYPERLINK(E259)</x:f>
      </x:c>
    </x:row>
    <x:row r="260" spans="1:6" x14ac:dyDescent="0.25">
      <x:c r="A260" s="1" t="n">
        <x:v>11845</x:v>
      </x:c>
      <x:c r="B260" s="1" t="str">
        <x:v>Asbestos-Related Work—Decontamination and Waste Disposal</x:v>
      </x:c>
      <x:c r="C260" s="1" t="str">
        <x:v>ext</x:v>
      </x:c>
      <x:c r="D260" s="1" t="str">
        <x:v>Model code of practice - How to manage and control asbestos in the workplace, December 2011 (Safe Work Australia)</x:v>
      </x:c>
      <x:c r="E260" s="1" t="str">
        <x:v>http://www.safeworkaustralia.gov.au/sites/swa/about/publications/pages/manage-control-asbestos-cop</x:v>
      </x:c>
      <x:c r="F260" s="11" t="n">
        <x:f>=HYPERLINK(E260)</x:f>
      </x:c>
    </x:row>
    <x:row r="261" spans="1:6" x14ac:dyDescent="0.25">
      <x:c r="A261" s="1" t="n">
        <x:v>11847</x:v>
      </x:c>
      <x:c r="B261" s="1" t="str">
        <x:v>Asbestos-Related Work—Decontamination and Waste Disposal</x:v>
      </x:c>
      <x:c r="C261" s="1" t="str">
        <x:v>ext</x:v>
      </x:c>
      <x:c r="D261" s="1" t="str">
        <x:v>Safe removal of asbestos 2nd edition [NOHSC: 2002 (2005)], January 2005 (National Occupational Health and Safety Commission)</x:v>
      </x:c>
      <x:c r="E261" s="1" t="str">
        <x:v>http://www.safeworkaustralia.gov.au/sites/swa/about/publications/pages/cp2005saferemovalofasbestos2ndedition</x:v>
      </x:c>
      <x:c r="F261" s="11" t="n">
        <x:f>=HYPERLINK(E261)</x:f>
      </x:c>
    </x:row>
    <x:row r="262" spans="1:6" x14ac:dyDescent="0.25">
      <x:c r="A262" s="1" t="n">
        <x:v>11829</x:v>
      </x:c>
      <x:c r="B262" s="1" t="str">
        <x:v>Asbestos Removal Work—Decontamination and Waste Disposal</x:v>
      </x:c>
      <x:c r="C262" s="1" t="str">
        <x:v>ext</x:v>
      </x:c>
      <x:c r="D262" s="1" t="str">
        <x:v>‘Minor Contamination’ of asbestos-containing dust or debris, June 2013 (Safe Work Australia fact sheet)</x:v>
      </x:c>
      <x:c r="E262" s="1" t="str">
        <x:v>http://www.safeworkaustralia.gov.au/sites/swa/about/publications/pages/minor-contamination-asbestos-factsheet</x:v>
      </x:c>
      <x:c r="F262" s="11" t="n">
        <x:f>=HYPERLINK(E262)</x:f>
      </x:c>
    </x:row>
    <x:row r="263" spans="1:6" x14ac:dyDescent="0.25">
      <x:c r="A263" s="1" t="n">
        <x:v>11827</x:v>
      </x:c>
      <x:c r="B263" s="1" t="str">
        <x:v>Asbestos Removal Work—Decontamination and Waste Disposal</x:v>
      </x:c>
      <x:c r="C263" s="1" t="str">
        <x:v>ext</x:v>
      </x:c>
      <x:c r="D263" s="1" t="str">
        <x:v>National environment protection (assessment of site contamination) measure (National Environment Protection Council)</x:v>
      </x:c>
      <x:c r="E263" s="1" t="str">
        <x:v>http://www.nepc.gov.au/nepms/assessment-site-contamination</x:v>
      </x:c>
      <x:c r="F263" s="11" t="n">
        <x:f>=HYPERLINK(E263)</x:f>
      </x:c>
    </x:row>
    <x:row r="264" spans="1:6" x14ac:dyDescent="0.25">
      <x:c r="A264" s="1" t="n">
        <x:v>11828</x:v>
      </x:c>
      <x:c r="B264" s="1" t="str">
        <x:v>Asbestos Removal Work—Decontamination and Waste Disposal</x:v>
      </x:c>
      <x:c r="C264" s="1" t="str">
        <x:v>ext</x:v>
      </x:c>
      <x:c r="D264" s="1" t="str">
        <x:v>Guide to identifying and handling low-density asbestos fibre board, October 2015 (Safe Work Australia)</x:v>
      </x:c>
      <x:c r="E264" s="1" t="str">
        <x:v>http://www.safeworkaustralia.gov.au/sites/swa/about/publications/pages/guide-to-identifying-and-handling-ldb</x:v>
      </x:c>
      <x:c r="F264" s="11" t="n">
        <x:f>=HYPERLINK(E264)</x:f>
      </x:c>
    </x:row>
    <x:row r="265" spans="1:6" x14ac:dyDescent="0.25">
      <x:c r="A265" s="1" t="n">
        <x:v>11825</x:v>
      </x:c>
      <x:c r="B265" s="1" t="str">
        <x:v>Asbestos Removal Work—Decontamination and Waste Disposal</x:v>
      </x:c>
      <x:c r="C265" s="1" t="str">
        <x:v>ext</x:v>
      </x:c>
      <x:c r="D265" s="1" t="str">
        <x:v>Model code of practice - How to Safely Remove Asbestos, December 2011 (Safe Work Australia)</x:v>
      </x:c>
      <x:c r="E265" s="1" t="str">
        <x:v>www.safeworkaustralia.gov.au\sites\swa\about\publications\pages\safely-remove-asbestos-cop</x:v>
      </x:c>
      <x:c r="F265" s="11" t="n">
        <x:f>=HYPERLINK("#F265","www.safeworkaustralia.gov.au\sites\swa\about\publications\pages\safely-remove-asbestos-cop")</x:f>
      </x:c>
    </x:row>
    <x:row r="266" spans="1:6" x14ac:dyDescent="0.25">
      <x:c r="A266" s="1" t="n">
        <x:v>11826</x:v>
      </x:c>
      <x:c r="B266" s="1" t="str">
        <x:v>Asbestos Removal Work—Decontamination and Waste Disposal</x:v>
      </x:c>
      <x:c r="C266" s="1" t="str">
        <x:v>ext</x:v>
      </x:c>
      <x:c r="D266" s="1" t="str">
        <x:v>Safe removal of asbestos 2nd edition [NOHSC: 2002 (2005)], January 2005 (National Occupational Health and Safety Commission)</x:v>
      </x:c>
      <x:c r="E266" s="1" t="str">
        <x:v>http://www.safeworkaustralia.gov.au/sites/swa/about/publications/pages/cp2005saferemovalofasbestos2ndedition</x:v>
      </x:c>
      <x:c r="F266" s="11" t="n">
        <x:f>=HYPERLINK(E266)</x:f>
      </x:c>
    </x:row>
    <x:row r="267" spans="1:6" x14ac:dyDescent="0.25">
      <x:c r="A267" s="1" t="n">
        <x:v>11824</x:v>
      </x:c>
      <x:c r="B267" s="1" t="str">
        <x:v>Asbestos Removal Work—Decontamination and Waste Disposal</x:v>
      </x:c>
      <x:c r="C267" s="1" t="str">
        <x:v>ext</x:v>
      </x:c>
      <x:c r="D267" s="1" t="str">
        <x:v>Model code of practice - How to manage and control asbestos in the workplace, December 2011 (Safe Work Australia)</x:v>
      </x:c>
      <x:c r="E267" s="1" t="str">
        <x:v>http://www.safeworkaustralia.gov.au/sites/swa/about/publications/pages/manage-control-asbestos-cop</x:v>
      </x:c>
      <x:c r="F267" s="11" t="n">
        <x:f>=HYPERLINK(E267)</x:f>
      </x:c>
    </x:row>
    <x:row r="268" spans="1:6" x14ac:dyDescent="0.25">
      <x:c r="A268" s="1" t="n">
        <x:v>11723</x:v>
      </x:c>
      <x:c r="B268" s="1" t="str">
        <x:v>Asbestos Registers</x:v>
      </x:c>
      <x:c r="C268" s="1" t="str">
        <x:v>ext</x:v>
      </x:c>
      <x:c r="D268" s="1" t="str">
        <x:v>Model code of practice - How to manage and control asbestos in the workplace, December 2011 (Safe Work Australia)</x:v>
      </x:c>
      <x:c r="E268" s="1" t="str">
        <x:v>http://www.safeworkaustralia.gov.au/sites/swa/about/publications/pages/manage-control-asbestos-cop</x:v>
      </x:c>
      <x:c r="F268" s="11" t="n">
        <x:f>=HYPERLINK(E268)</x:f>
      </x:c>
    </x:row>
    <x:row r="269" spans="1:6" x14ac:dyDescent="0.25">
      <x:c r="A269" s="1" t="n">
        <x:v>11731</x:v>
      </x:c>
      <x:c r="B269" s="1" t="str">
        <x:v>Management of Naturally Occurring Asbestos</x:v>
      </x:c>
      <x:c r="C269" s="1" t="str">
        <x:v>ext</x:v>
      </x:c>
      <x:c r="D269" s="1" t="str">
        <x:v>Model code of practice - How to manage and control asbestos in the workplace, December 2011 (Safe Work Australia)</x:v>
      </x:c>
      <x:c r="E269" s="1" t="str">
        <x:v>http://www.safeworkaustralia.gov.au/sites/swa/about/publications/pages/manage-control-asbestos-cop</x:v>
      </x:c>
      <x:c r="F269" s="11" t="n">
        <x:f>=HYPERLINK(E269)</x:f>
      </x:c>
    </x:row>
    <x:row r="270" spans="1:6" x14ac:dyDescent="0.25">
      <x:c r="A270" s="1" t="n">
        <x:v>11818</x:v>
      </x:c>
      <x:c r="B270" s="1" t="str">
        <x:v>Asbestos Removal Areas—Signage, Barricades and Limiting Access</x:v>
      </x:c>
      <x:c r="C270" s="1" t="str">
        <x:v>ext</x:v>
      </x:c>
      <x:c r="D270" s="1" t="str">
        <x:v>Model code of practice - How to manage and control asbestos in the workplace, December 2011 (Safe Work Australia)</x:v>
      </x:c>
      <x:c r="E270" s="1" t="str">
        <x:v>http://www.safeworkaustralia.gov.au/sites/swa/about/publications/pages/manage-control-asbestos-cop</x:v>
      </x:c>
      <x:c r="F270" s="11" t="n">
        <x:f>=HYPERLINK(E270)</x:f>
      </x:c>
    </x:row>
    <x:row r="271" spans="1:6" x14ac:dyDescent="0.25">
      <x:c r="A271" s="1" t="n">
        <x:v>11820</x:v>
      </x:c>
      <x:c r="B271" s="1" t="str">
        <x:v>Asbestos Removal Areas—Signage, Barricades and Limiting Access</x:v>
      </x:c>
      <x:c r="C271" s="1" t="str">
        <x:v>ext</x:v>
      </x:c>
      <x:c r="D271" s="1" t="str">
        <x:v>Safe removal of asbestos 2nd edition [NOHSC: 2002 (2005)], January 2005 (National Occupational Health and Safety Commission)</x:v>
      </x:c>
      <x:c r="E271" s="1" t="str">
        <x:v>http://www.safeworkaustralia.gov.au/sites/swa/about/publications/pages/cp2005saferemovalofasbestos2ndedition</x:v>
      </x:c>
      <x:c r="F271" s="11" t="n">
        <x:f>=HYPERLINK(E271)</x:f>
      </x:c>
    </x:row>
    <x:row r="272" spans="1:6" x14ac:dyDescent="0.25">
      <x:c r="A272" s="1" t="n">
        <x:v>11819</x:v>
      </x:c>
      <x:c r="B272" s="1" t="str">
        <x:v>Asbestos Removal Areas—Signage, Barricades and Limiting Access</x:v>
      </x:c>
      <x:c r="C272" s="1" t="str">
        <x:v>ext</x:v>
      </x:c>
      <x:c r="D272" s="1" t="str">
        <x:v>Model code of practice - How to Safely Remove Asbestos, December 2011 (Safe Work Australia)</x:v>
      </x:c>
      <x:c r="E272" s="1" t="str">
        <x:v>www.safeworkaustralia.gov.au\sites\swa\about\publications\pages\safely-remove-asbestos-cop</x:v>
      </x:c>
      <x:c r="F272" s="11" t="n">
        <x:f>=HYPERLINK("#F272","www.safeworkaustralia.gov.au\sites\swa\about\publications\pages\safely-remove-asbestos-cop")</x:f>
      </x:c>
    </x:row>
    <x:row r="273" spans="1:6" x14ac:dyDescent="0.25">
      <x:c r="A273" s="1" t="n">
        <x:v>11747</x:v>
      </x:c>
      <x:c r="B273" s="1" t="str">
        <x:v>Training Workers about Asbestos</x:v>
      </x:c>
      <x:c r="C273" s="1" t="str">
        <x:v>ext</x:v>
      </x:c>
      <x:c r="D273" s="1" t="str">
        <x:v>Model code of practice - How to manage and control asbestos in the workplace, December 2011 (Safe Work Australia)</x:v>
      </x:c>
      <x:c r="E273" s="1" t="str">
        <x:v>http://www.safeworkaustralia.gov.au/sites/swa/about/publications/pages/manage-control-asbestos-cop</x:v>
      </x:c>
      <x:c r="F273" s="11" t="n">
        <x:f>=HYPERLINK(E273)</x:f>
      </x:c>
    </x:row>
    <x:row r="274" spans="1:6" x14ac:dyDescent="0.25">
      <x:c r="A274" s="1" t="n">
        <x:v>11749</x:v>
      </x:c>
      <x:c r="B274" s="1" t="str">
        <x:v>Training Workers about Asbestos</x:v>
      </x:c>
      <x:c r="C274" s="1" t="str">
        <x:v>ext</x:v>
      </x:c>
      <x:c r="D274" s="1" t="str">
        <x:v>Safe Removal of Asbestos 2nd Edition [NOHSC: 2002 (2005)], January 2005 (National Occupational Health and Safety Commission)</x:v>
      </x:c>
      <x:c r="E274" s="1" t="str">
        <x:v>http://www.safeworkaustralia.gov.au/sites/swa/about/publications/pages/cp2005saferemovalofasbestos2ndedition</x:v>
      </x:c>
      <x:c r="F274" s="11" t="n">
        <x:f>=HYPERLINK(E274)</x:f>
      </x:c>
    </x:row>
    <x:row r="275" spans="1:6" x14ac:dyDescent="0.25">
      <x:c r="A275" s="1" t="n">
        <x:v>11748</x:v>
      </x:c>
      <x:c r="B275" s="1" t="str">
        <x:v>Training Workers about Asbestos</x:v>
      </x:c>
      <x:c r="C275" s="1" t="str">
        <x:v>ext</x:v>
      </x:c>
      <x:c r="D275" s="1" t="str">
        <x:v>Model code of practice - How to Safely Remove Asbestos, December 2011 (Safe Work Australia)</x:v>
      </x:c>
      <x:c r="E275" s="1" t="str">
        <x:v>C:\Users\T0166020\AppData\Local\Temp\Temp1_files-Sub Obligations (to be approved) - Harmonised.zip\at www.safeworkaustralia.gov.au\sites\swa\about\publications\pages\safely-remove-asbestos-cop</x:v>
      </x:c>
      <x:c r="F275" s="11" t="n">
        <x:f>=HYPERLINK("#F275","C:\Users\T0166020\AppData\Local\Temp\Temp1_files-Sub Obligations (to be approved) - Harmonised.zip\at www.safeworkaustralia.gov.au\sites\swa\about\publications\pages\safely-remove-asbestos-cop")</x:f>
      </x:c>
    </x:row>
    <x:row r="276" spans="1:6" x14ac:dyDescent="0.25">
      <x:c r="A276" s="1" t="n">
        <x:v>11727</x:v>
      </x:c>
      <x:c r="B276" s="1" t="str">
        <x:v>Asbestos Management Plans</x:v>
      </x:c>
      <x:c r="C276" s="1" t="str">
        <x:v>ext</x:v>
      </x:c>
      <x:c r="D276" s="1" t="str">
        <x:v>Model code of practice - How to manage and control asbestos in the workplace, December 2011 (Safe Work Australia)</x:v>
      </x:c>
      <x:c r="E276" s="1" t="str">
        <x:v>http://www.safeworkaustralia.gov.au/sites/swa/about/publications/pages/manage-control-asbestos-cop</x:v>
      </x:c>
      <x:c r="F276" s="11" t="n">
        <x:f>=HYPERLINK(E276)</x:f>
      </x:c>
    </x:row>
    <x:row r="277" spans="1:6" x14ac:dyDescent="0.25">
      <x:c r="A277" s="1" t="n">
        <x:v>11709</x:v>
      </x:c>
      <x:c r="B277" s="1" t="str">
        <x:v>Managing Exposure to Airborne Asbestos</x:v>
      </x:c>
      <x:c r="C277" s="1" t="str">
        <x:v>ext</x:v>
      </x:c>
      <x:c r="D277" s="1" t="str">
        <x:v>Model code of practice - How to manage and control asbestos in the workplace, December 2011 (Safe Work Australia)</x:v>
      </x:c>
      <x:c r="E277" s="1" t="str">
        <x:v>http://www.safeworkaustralia.gov.au/sites/swa/about/publications/pages/manage-control-asbestos-cop</x:v>
      </x:c>
      <x:c r="F277" s="11" t="n">
        <x:f>=HYPERLINK(E277)</x:f>
      </x:c>
    </x:row>
    <x:row r="278" spans="1:6" x14ac:dyDescent="0.25">
      <x:c r="A278" s="1" t="n">
        <x:v>11711</x:v>
      </x:c>
      <x:c r="B278" s="1" t="str">
        <x:v>Managing Exposure to Airborne Asbestos</x:v>
      </x:c>
      <x:c r="C278" s="1" t="str">
        <x:v>ext</x:v>
      </x:c>
      <x:c r="D278" s="1" t="str">
        <x:v>Workplace exposure standards for airborne contaminants, April 2013 (Safe Work Australia)</x:v>
      </x:c>
      <x:c r="E278" s="1" t="str">
        <x:v>http://www.safeworkaustralia.gov.au/sites/swa/about/publications/pages/workplace-exposure-standards-airborne-contaminants</x:v>
      </x:c>
      <x:c r="F278" s="11" t="n">
        <x:f>=HYPERLINK(E278)</x:f>
      </x:c>
    </x:row>
    <x:row r="279" spans="1:6" x14ac:dyDescent="0.25">
      <x:c r="A279" s="1" t="n">
        <x:v>11713</x:v>
      </x:c>
      <x:c r="B279" s="1" t="str">
        <x:v>Managing Exposure to Airborne Asbestos</x:v>
      </x:c>
      <x:c r="C279" s="1" t="str">
        <x:v>ext</x:v>
      </x:c>
      <x:c r="D279" s="1" t="str">
        <x:v>Model code of practice - Management and control of asbestos in the workplace, 1 January 2005 (Safe Work Australia)</x:v>
      </x:c>
      <x:c r="E279" s="1" t="str">
        <x:v>http://www.safeworkaustralia.gov.au/sites/swa/about/publications/pages/cp2005managementandcontrolofasbestos</x:v>
      </x:c>
      <x:c r="F279" s="11" t="n">
        <x:f>=HYPERLINK(E279)</x:f>
      </x:c>
    </x:row>
    <x:row r="280" spans="1:6" x14ac:dyDescent="0.25">
      <x:c r="A280" s="1" t="n">
        <x:v>11712</x:v>
      </x:c>
      <x:c r="B280" s="1" t="str">
        <x:v>Managing Exposure to Airborne Asbestos</x:v>
      </x:c>
      <x:c r="C280" s="1" t="str">
        <x:v>ext</x:v>
      </x:c>
      <x:c r="D280" s="1" t="str">
        <x:v>Guidance on the interpretation of workplace exposure standards for airborne contaminants, April 2013 (Safe Work Australia)</x:v>
      </x:c>
      <x:c r="E280" s="1" t="str">
        <x:v>http://www.safeworkaustralia.gov.au/sites/swa/about/publications/pages/workplace-exposure-standards-airborne-contaminants</x:v>
      </x:c>
      <x:c r="F280" s="11" t="n">
        <x:f>=HYPERLINK(E280)</x:f>
      </x:c>
    </x:row>
    <x:row r="281" spans="1:6" x14ac:dyDescent="0.25">
      <x:c r="A281" s="1" t="n">
        <x:v>11710</x:v>
      </x:c>
      <x:c r="B281" s="1" t="str">
        <x:v>Managing Exposure to Airborne Asbestos</x:v>
      </x:c>
      <x:c r="C281" s="1" t="str">
        <x:v>ext</x:v>
      </x:c>
      <x:c r="D281" s="1" t="str">
        <x:v>Model code of practice - How to safely remove asbestos, December 2011 (Safe Work Australia)</x:v>
      </x:c>
      <x:c r="E281" s="1" t="str">
        <x:v>www.safeworkaustralia.gov.au\sites\swa\about\publications\pages\safely-remove-asbestos-cop</x:v>
      </x:c>
      <x:c r="F281" s="11" t="n">
        <x:f>=HYPERLINK("#F281","www.safeworkaustralia.gov.au\sites\swa\about\publications\pages\safely-remove-asbestos-cop")</x:f>
      </x:c>
    </x:row>
    <x:row r="282" spans="1:6" x14ac:dyDescent="0.25">
      <x:c r="A282" s="1" t="n">
        <x:v>11753</x:v>
      </x:c>
      <x:c r="B282" s="1" t="str">
        <x:v>Controls on Use of Certain Equipment on Asbestos</x:v>
      </x:c>
      <x:c r="C282" s="1" t="str">
        <x:v>ext</x:v>
      </x:c>
      <x:c r="D282" s="1" t="str">
        <x:v>Model code of practice - How to manage and control asbestos in the workplace, December 2011 (Safe Work Australia)</x:v>
      </x:c>
      <x:c r="E282" s="1" t="str">
        <x:v>http://www.safeworkaustralia.gov.au/sites/swa/about/publications/pages/manage-control-asbestos-cop</x:v>
      </x:c>
      <x:c r="F282" s="11" t="n">
        <x:f>=HYPERLINK(E282)</x:f>
      </x:c>
    </x:row>
    <x:row r="283" spans="1:6" x14ac:dyDescent="0.25">
      <x:c r="A283" s="1" t="n">
        <x:v>11754</x:v>
      </x:c>
      <x:c r="B283" s="1" t="str">
        <x:v>Controls on Use of Certain Equipment on Asbestos</x:v>
      </x:c>
      <x:c r="C283" s="1" t="str">
        <x:v>ext</x:v>
      </x:c>
      <x:c r="D283" s="1" t="str">
        <x:v>Model code of practice - How to Safely Remove Asbestos, December 2011 (Safe Work Australia)</x:v>
      </x:c>
      <x:c r="E283" s="1" t="str">
        <x:v>www.safeworkaustralia.gov.au\sites\swa\about\publications\pages\safely-remove-asbestos-cop</x:v>
      </x:c>
      <x:c r="F283" s="11" t="n">
        <x:f>=HYPERLINK("#F283","www.safeworkaustralia.gov.au\sites\swa\about\publications\pages\safely-remove-asbestos-cop")</x:f>
      </x:c>
    </x:row>
    <x:row r="284" spans="1:6" x14ac:dyDescent="0.25">
      <x:c r="A284" s="1" t="n">
        <x:v>11704</x:v>
      </x:c>
      <x:c r="B284" s="1" t="str">
        <x:v>Workplace Management—Asbestos</x:v>
      </x:c>
      <x:c r="C284" s="1" t="str">
        <x:v>ext</x:v>
      </x:c>
      <x:c r="D284" s="1" t="str">
        <x:v>Model code of practice - How to manage and control asbestos in the workplace, December 2011 (Safe Work Australia)</x:v>
      </x:c>
      <x:c r="E284" s="1" t="str">
        <x:v>http://www.safeworkaustralia.gov.au/sites/swa/about/publications/pages/manage-control-asbestos-cop</x:v>
      </x:c>
      <x:c r="F284" s="11" t="n">
        <x:f>=HYPERLINK(E284)</x:f>
      </x:c>
    </x:row>
    <x:row r="285" spans="1:6" x14ac:dyDescent="0.25">
      <x:c r="A285" s="1" t="n">
        <x:v>11705</x:v>
      </x:c>
      <x:c r="B285" s="1" t="str">
        <x:v>Workplace Management—Asbestos</x:v>
      </x:c>
      <x:c r="C285" s="1" t="str">
        <x:v>ext</x:v>
      </x:c>
      <x:c r="D285" s="1" t="str">
        <x:v>Model code of practice - How to safely remove asbestos, December 2011 (Safe Work Australia)</x:v>
      </x:c>
      <x:c r="E285" s="1" t="str">
        <x:v>C:\Users\T0166020\AppData\Local\Temp\Temp1_files-Sub Obligations (to be approved) - Harmonised.zip\at www.safeworkaustralia.gov.au\sites\swa\about\publications\pages\safely-remove-asbestos-cop</x:v>
      </x:c>
      <x:c r="F285" s="11" t="n">
        <x:f>=HYPERLINK("#F285","C:\Users\T0166020\AppData\Local\Temp\Temp1_files-Sub Obligations (to be approved) - Harmonised.zip\at www.safeworkaustralia.gov.au\sites\swa\about\publications\pages\safely-remove-asbestos-cop")</x:f>
      </x:c>
    </x:row>
    <x:row r="286" spans="1:6" x14ac:dyDescent="0.25">
      <x:c r="A286" s="1" t="n">
        <x:v>11934</x:v>
      </x:c>
      <x:c r="B286" s="1" t="str">
        <x:v>Risk Controls for Permitted Work on Energised Electrical Equipment</x:v>
      </x:c>
      <x:c r="C286" s="1" t="str">
        <x:v>ext</x:v>
      </x:c>
      <x:c r="D286" s="1" t="str">
        <x:v>Model Code of Practice – Managing electrical risks in the workplace, March 2015 (Safe Work Australia)</x:v>
      </x:c>
      <x:c r="E286" s="1" t="str">
        <x:v>http://www.safeworkaustralia.gov.au/sites/swa/about/publications/pages/managing-electrical-risks-in-the-workplace</x:v>
      </x:c>
      <x:c r="F286" s="11" t="n">
        <x:f>=HYPERLINK(E286)</x:f>
      </x:c>
    </x:row>
    <x:row r="287" spans="1:6" x14ac:dyDescent="0.25">
      <x:c r="A287" s="1" t="n">
        <x:v>11946</x:v>
      </x:c>
      <x:c r="B287" s="1" t="str">
        <x:v>Working Near Overhead and Underground Electric Lines</x:v>
      </x:c>
      <x:c r="C287" s="1" t="str">
        <x:v>ext</x:v>
      </x:c>
      <x:c r="D287" s="1" t="str">
        <x:v>Working in the vicinity of overhead and underground electric lines guidance material (Safe Work Australia, July 2014)</x:v>
      </x:c>
      <x:c r="E287" s="1" t="str">
        <x:v>http://www.safeworkaustralia.gov.au/sites/swa/about/publications/pages/guidance-overhead-underground-electric-lines</x:v>
      </x:c>
      <x:c r="F287" s="11" t="n">
        <x:f>=HYPERLINK(E287)</x:f>
      </x:c>
    </x:row>
    <x:row r="288" spans="1:6" x14ac:dyDescent="0.25">
      <x:c r="A288" s="1" t="n">
        <x:v>11945</x:v>
      </x:c>
      <x:c r="B288" s="1" t="str">
        <x:v>Working Near Overhead and Underground Electric Lines</x:v>
      </x:c>
      <x:c r="C288" s="1" t="str">
        <x:v>ext</x:v>
      </x:c>
      <x:c r="D288" s="1" t="str">
        <x:v>Model Code of Practice – Managing electrical risks in the workplace, March 2015 (Safe Work Australia)</x:v>
      </x:c>
      <x:c r="E288" s="1" t="str">
        <x:v>http://www.safeworkaustralia.gov.au/sites/swa/about/publications/pages/managing-electrical-risks-in-the-workplace</x:v>
      </x:c>
      <x:c r="F288" s="11" t="n">
        <x:f>=HYPERLINK(E288)</x:f>
      </x:c>
    </x:row>
    <x:row r="289" spans="1:6" x14ac:dyDescent="0.25">
      <x:c r="A289" s="1" t="n">
        <x:v>11931</x:v>
      </x:c>
      <x:c r="B289" s="1" t="str">
        <x:v>Inspection and Testing of Electrical Equipment—Higher-Risk Workplaces</x:v>
      </x:c>
      <x:c r="C289" s="1" t="str">
        <x:v>ext</x:v>
      </x:c>
      <x:c r="D289" s="1" t="str">
        <x:v>Electrical risks at the workplace (Safe Work Australia fact sheet, August 2012)</x:v>
      </x:c>
      <x:c r="E289" s="1" t="str">
        <x:v>http://www.safeworkaustralia.gov.au/sites/swa/about/publications/pages/electrical-risks-at-the-workplace</x:v>
      </x:c>
      <x:c r="F289" s="11" t="n">
        <x:f>=HYPERLINK(E289)</x:f>
      </x:c>
    </x:row>
    <x:row r="290" spans="1:6" x14ac:dyDescent="0.25">
      <x:c r="A290" s="1" t="n">
        <x:v>11930</x:v>
      </x:c>
      <x:c r="B290" s="1" t="str">
        <x:v>Inspection and Testing of Electrical Equipment—Higher-Risk Workplaces</x:v>
      </x:c>
      <x:c r="C290" s="1" t="str">
        <x:v>ext</x:v>
      </x:c>
      <x:c r="D290" s="1" t="str">
        <x:v>Model Code of Practice – Managing electrical risks in the workplace, March 2015 (Safe Work Australia)</x:v>
      </x:c>
      <x:c r="E290" s="1" t="str">
        <x:v>http://www.safeworkaustralia.gov.au/sites/swa/about/publications/pages/managing-electrical-risks-in-the-workplace</x:v>
      </x:c>
      <x:c r="F290" s="11" t="n">
        <x:f>=HYPERLINK(E290)</x:f>
      </x:c>
    </x:row>
    <x:row r="291" spans="1:6" x14ac:dyDescent="0.25">
      <x:c r="A291" s="1" t="n">
        <x:v>11938</x:v>
      </x:c>
      <x:c r="B291" s="1" t="str">
        <x:v>Use of Residual Current Devices</x:v>
      </x:c>
      <x:c r="C291" s="1" t="str">
        <x:v>ext</x:v>
      </x:c>
      <x:c r="D291" s="1" t="str">
        <x:v>Model Code of Practice – Managing electrical risks in the workplace, March 2015 (Safe Work Australia)</x:v>
      </x:c>
      <x:c r="E291" s="1" t="str">
        <x:v>http://www.safeworkaustralia.gov.au/sites/swa/about/publications/pages/managing-electrical-risks-in-the-workplace</x:v>
      </x:c>
      <x:c r="F291" s="11" t="n">
        <x:f>=HYPERLINK(E291)</x:f>
      </x:c>
    </x:row>
    <x:row r="292" spans="1:6" x14ac:dyDescent="0.25">
      <x:c r="A292" s="1" t="n">
        <x:v>11939</x:v>
      </x:c>
      <x:c r="B292" s="1" t="str">
        <x:v>Use of Residual Current Devices</x:v>
      </x:c>
      <x:c r="C292" s="1" t="str">
        <x:v>ext</x:v>
      </x:c>
      <x:c r="D292" s="1" t="str">
        <x:v>Electrical risks at the workplace (Safe Work Australia fact sheet, August 2012)</x:v>
      </x:c>
      <x:c r="E292" s="1" t="str">
        <x:v>http://www.safeworkaustralia.gov.au/sites/swa/about/publications/pages/electrical-risks-at-the-workplace</x:v>
      </x:c>
      <x:c r="F292" s="11" t="n">
        <x:f>=HYPERLINK(E292)</x:f>
      </x:c>
    </x:row>
    <x:row r="293" spans="1:6" x14ac:dyDescent="0.25">
      <x:c r="A293" s="1" t="n">
        <x:v>11932</x:v>
      </x:c>
      <x:c r="B293" s="1" t="str">
        <x:v>Electrical Work on De-energised Electrical Equipment</x:v>
      </x:c>
      <x:c r="C293" s="1" t="str">
        <x:v>ext</x:v>
      </x:c>
      <x:c r="D293" s="1" t="str">
        <x:v>Model Code of Practice – Managing electrical risks in the workplace, March 2015 (Safe Work Australia)</x:v>
      </x:c>
      <x:c r="E293" s="1" t="str">
        <x:v>http://www.safeworkaustralia.gov.au/sites/swa/about/publications/pages/managing-electrical-risks-in-the-workplace</x:v>
      </x:c>
      <x:c r="F293" s="11" t="n">
        <x:f>=HYPERLINK(E293)</x:f>
      </x:c>
    </x:row>
    <x:row r="294" spans="1:6" x14ac:dyDescent="0.25">
      <x:c r="A294" s="1" t="n">
        <x:v>11936</x:v>
      </x:c>
      <x:c r="B294" s="1" t="str">
        <x:v>Working Near Energised Electrical Parts</x:v>
      </x:c>
      <x:c r="C294" s="1" t="str">
        <x:v>ext</x:v>
      </x:c>
      <x:c r="D294" s="1" t="str">
        <x:v>Model Code of Practice – Managing electrical risks in the workplace, March 2015 (Safe Work Australia)</x:v>
      </x:c>
      <x:c r="E294" s="1" t="str">
        <x:v>http://www.safeworkaustralia.gov.au/sites/swa/about/publications/pages/managing-electrical-risks-in-the-workplace</x:v>
      </x:c>
      <x:c r="F294" s="11" t="n">
        <x:f>=HYPERLINK(E294)</x:f>
      </x:c>
    </x:row>
    <x:row r="295" spans="1:6" x14ac:dyDescent="0.25">
      <x:c r="A295" s="1" t="n">
        <x:v>11944</x:v>
      </x:c>
      <x:c r="B295" s="1" t="str">
        <x:v>Tagging Electrical Equipment</x:v>
      </x:c>
      <x:c r="C295" s="1" t="str">
        <x:v>ext</x:v>
      </x:c>
      <x:c r="D295" s="1" t="str">
        <x:v>Model Code of Practice – Managing electrical risks in the workplace, March 2015 (Safe Work Australia)</x:v>
      </x:c>
      <x:c r="E295" s="1" t="str">
        <x:v>http://www.safeworkaustralia.gov.au/sites/swa/about/publications/pages/managing-electrical-risks-in-the-workplace</x:v>
      </x:c>
      <x:c r="F295" s="11" t="n">
        <x:f>=HYPERLINK(E295)</x:f>
      </x:c>
    </x:row>
    <x:row r="296" spans="1:6" x14ac:dyDescent="0.25">
      <x:c r="A296" s="1" t="n">
        <x:v>11940</x:v>
      </x:c>
      <x:c r="B296" s="1" t="str">
        <x:v>Testing of Residual Current Devices</x:v>
      </x:c>
      <x:c r="C296" s="1" t="str">
        <x:v>ext</x:v>
      </x:c>
      <x:c r="D296" s="1" t="str">
        <x:v>Model Code of Practice – Managing electrical risks in the workplace, March 2015 (Safe Work Australia)</x:v>
      </x:c>
      <x:c r="E296" s="1" t="str">
        <x:v>http://www.safeworkaustralia.gov.au/sites/swa/about/publications/pages/managing-electrical-risks-in-the-workplace</x:v>
      </x:c>
      <x:c r="F296" s="11" t="n">
        <x:f>=HYPERLINK(E296)</x:f>
      </x:c>
    </x:row>
    <x:row r="297" spans="1:6" x14ac:dyDescent="0.25">
      <x:c r="A297" s="1" t="n">
        <x:v>11941</x:v>
      </x:c>
      <x:c r="B297" s="1" t="str">
        <x:v>Testing of Residual Current Devices</x:v>
      </x:c>
      <x:c r="C297" s="1" t="str">
        <x:v>ext</x:v>
      </x:c>
      <x:c r="D297" s="1" t="str">
        <x:v>Electrical risks at the workplace (Safe Work Australia fact sheet, August 2012)</x:v>
      </x:c>
      <x:c r="E297" s="1" t="str">
        <x:v>http://www.safeworkaustralia.gov.au/sites/swa/about/publications/pages/electrical-risks-at-the-workplace</x:v>
      </x:c>
      <x:c r="F297" s="11" t="n">
        <x:f>=HYPERLINK(E297)</x:f>
      </x:c>
    </x:row>
    <x:row r="298" spans="1:6" x14ac:dyDescent="0.25">
      <x:c r="A298" s="1" t="n">
        <x:v>11942</x:v>
      </x:c>
      <x:c r="B298" s="1" t="str">
        <x:v>Fuses and Circuit-Breakers</x:v>
      </x:c>
      <x:c r="C298" s="1" t="str">
        <x:v>ext</x:v>
      </x:c>
      <x:c r="D298" s="1" t="str">
        <x:v>Model Code of Practice – Managing electrical risks in the workplace, March 2015 (Safe Work Australia)</x:v>
      </x:c>
      <x:c r="E298" s="1" t="str">
        <x:v>http://www.safeworkaustralia.gov.au/sites/swa/about/publications/pages/managing-electrical-risks-in-the-workplace</x:v>
      </x:c>
      <x:c r="F298" s="11" t="n">
        <x:f>=HYPERLINK(E298)</x:f>
      </x:c>
    </x:row>
    <x:row r="299" spans="1:6" x14ac:dyDescent="0.25">
      <x:c r="A299" s="1" t="n">
        <x:v>11929</x:v>
      </x:c>
      <x:c r="B299" s="1" t="str">
        <x:v>Inspection and Testing of Electrical Equipment—Lower-Risk Workplaces</x:v>
      </x:c>
      <x:c r="C299" s="1" t="str">
        <x:v>ext</x:v>
      </x:c>
      <x:c r="D299" s="1" t="str">
        <x:v>Electrical risks at the workplace (Safe Work Australia fact sheet, August 2012)</x:v>
      </x:c>
      <x:c r="E299" s="1" t="str">
        <x:v>http://www.safeworkaustralia.gov.au/sites/swa/about/publications/pages/electrical-risks-at-the-workplace</x:v>
      </x:c>
      <x:c r="F299" s="11" t="n">
        <x:f>=HYPERLINK(E299)</x:f>
      </x:c>
    </x:row>
    <x:row r="300" spans="1:6" x14ac:dyDescent="0.25">
      <x:c r="A300" s="1" t="n">
        <x:v>11928</x:v>
      </x:c>
      <x:c r="B300" s="1" t="str">
        <x:v>Inspection and Testing of Electrical Equipment—Lower-Risk Workplaces</x:v>
      </x:c>
      <x:c r="C300" s="1" t="str">
        <x:v>ext</x:v>
      </x:c>
      <x:c r="D300" s="1" t="str">
        <x:v>Model Code of Practice – Managing electrical risks in the workplace, March 2015 (Safe Work Australia)</x:v>
      </x:c>
      <x:c r="E300" s="1" t="str">
        <x:v>http://www.safeworkaustralia.gov.au/sites/swa/about/publications/pages/managing-electrical-risks-in-the-workplace</x:v>
      </x:c>
      <x:c r="F300" s="11" t="n">
        <x:f>=HYPERLINK(E300)</x:f>
      </x:c>
    </x:row>
    <x:row r="301" spans="1:6" x14ac:dyDescent="0.25">
      <x:c r="A301" s="1" t="n">
        <x:v>11937</x:v>
      </x:c>
      <x:c r="B301" s="1" t="str">
        <x:v>High-Voltage Electrical Work</x:v>
      </x:c>
      <x:c r="C301" s="1" t="str">
        <x:v>ext</x:v>
      </x:c>
      <x:c r="D301" s="1" t="str">
        <x:v>Model Code of Practice – Managing electrical risks in the workplace, March 2015 (Safe Work Australia)</x:v>
      </x:c>
      <x:c r="E301" s="1" t="str">
        <x:v>http://www.safeworkaustralia.gov.au/sites/swa/about/publications/pages/managing-electrical-risks-in-the-workplace</x:v>
      </x:c>
      <x:c r="F301" s="11" t="n">
        <x:f>=HYPERLINK(E301)</x:f>
      </x:c>
    </x:row>
    <x:row r="302" spans="1:6" x14ac:dyDescent="0.25">
      <x:c r="A302" s="1" t="n">
        <x:v>11943</x:v>
      </x:c>
      <x:c r="B302" s="1" t="str">
        <x:v>Damp and Wet Work Conditions</x:v>
      </x:c>
      <x:c r="C302" s="1" t="str">
        <x:v>ext</x:v>
      </x:c>
      <x:c r="D302" s="1" t="str">
        <x:v>Model Code of Practice – Managing electrical risks in the workplace, March 2015 (Safe Work Australia)</x:v>
      </x:c>
      <x:c r="E302" s="1" t="str">
        <x:v>http://www.safeworkaustralia.gov.au/sites/swa/about/publications/pages/managing-electrical-risks-in-the-workplace</x:v>
      </x:c>
      <x:c r="F302" s="11" t="n">
        <x:f>=HYPERLINK(E302)</x:f>
      </x:c>
    </x:row>
    <x:row r="303" spans="1:6" x14ac:dyDescent="0.25">
      <x:c r="A303" s="1" t="n">
        <x:v>11935</x:v>
      </x:c>
      <x:c r="B303" s="1" t="str">
        <x:v>Permitted Work on Energised Electrical Equipment—Record Keeping</x:v>
      </x:c>
      <x:c r="C303" s="1" t="str">
        <x:v>ext</x:v>
      </x:c>
      <x:c r="D303" s="1" t="str">
        <x:v>Model Code of Practice – Managing electrical risks in the workplace, March 2015 (Safe Work Australia)</x:v>
      </x:c>
      <x:c r="E303" s="1" t="str">
        <x:v>http://www.safeworkaustralia.gov.au/sites/swa/about/publications/pages/managing-electrical-risks-in-the-workplace</x:v>
      </x:c>
      <x:c r="F303" s="11" t="n">
        <x:f>=HYPERLINK(E303)</x:f>
      </x:c>
    </x:row>
    <x:row r="304" spans="1:6" x14ac:dyDescent="0.25">
      <x:c r="A304" s="1" t="n">
        <x:v>11933</x:v>
      </x:c>
      <x:c r="B304" s="1" t="str">
        <x:v>Permitted Electrical Work on Energised Electrical Equipment</x:v>
      </x:c>
      <x:c r="C304" s="1" t="str">
        <x:v>ext</x:v>
      </x:c>
      <x:c r="D304" s="1" t="str">
        <x:v>Model Code of Practice – Managing electrical risks in the workplace, March 2015 (Safe Work Australia)</x:v>
      </x:c>
      <x:c r="E304" s="1" t="str">
        <x:v>http://www.safeworkaustralia.gov.au/sites/swa/about/publications/pages/managing-electrical-risks-in-the-workplace</x:v>
      </x:c>
      <x:c r="F304" s="11" t="n">
        <x:f>=HYPERLINK(E304)</x:f>
      </x:c>
    </x:row>
    <x:row r="305" spans="1:6" x14ac:dyDescent="0.25">
      <x:c r="A305" s="1" t="n">
        <x:v>11926</x:v>
      </x:c>
      <x:c r="B305" s="1" t="str">
        <x:v>Unsafe Electrical Equipment</x:v>
      </x:c>
      <x:c r="C305" s="1" t="str">
        <x:v>ext</x:v>
      </x:c>
      <x:c r="D305" s="1" t="str">
        <x:v>Model Code of Practice – Managing electrical risks in the workplace, March 2015 (Safe Work Australia)</x:v>
      </x:c>
      <x:c r="E305" s="1" t="str">
        <x:v>http://www.safeworkaustralia.gov.au/sites/swa/about/publications/pages/managing-electrical-risks-in-the-workplace</x:v>
      </x:c>
      <x:c r="F305" s="11" t="n">
        <x:f>=HYPERLINK(E305)</x:f>
      </x:c>
    </x:row>
    <x:row r="306" spans="1:6" x14ac:dyDescent="0.25">
      <x:c r="A306" s="1" t="n">
        <x:v>11927</x:v>
      </x:c>
      <x:c r="B306" s="1" t="str">
        <x:v>Unsafe Electrical Equipment</x:v>
      </x:c>
      <x:c r="C306" s="1" t="str">
        <x:v>ext</x:v>
      </x:c>
      <x:c r="D306" s="1" t="str">
        <x:v>Electrical risks at the workplace (Safe Work Australia fact sheet, August 2012)</x:v>
      </x:c>
      <x:c r="E306" s="1" t="str">
        <x:v>http://www.safeworkaustralia.gov.au/sites/swa/about/publications/pages/electrical-risks-at-the-workplace</x:v>
      </x:c>
      <x:c r="F306" s="11" t="n">
        <x:f>=HYPERLINK(E306)</x:f>
      </x:c>
    </x:row>
    <x:row r="307" spans="1:6" x14ac:dyDescent="0.25">
      <x:c r="A307" s="1" t="n">
        <x:v>11526</x:v>
      </x:c>
      <x:c r="B307" s="1" t="str">
        <x:v>Workplace Management—Electrical Risks</x:v>
      </x:c>
      <x:c r="C307" s="1" t="str">
        <x:v>ext</x:v>
      </x:c>
      <x:c r="D307" s="1" t="str">
        <x:v>Model Code of Practice – Managing electrical risks in the workplace, March 2015 (Safe Work Australia)</x:v>
      </x:c>
      <x:c r="E307" s="1" t="str">
        <x:v>http://www.safeworkaustralia.gov.au/sites/swa/about/publications/pages/managing-electrical-risks-in-the-workplace</x:v>
      </x:c>
      <x:c r="F307" s="11" t="n">
        <x:f>=HYPERLINK(E307)</x:f>
      </x:c>
    </x:row>
    <x:row r="308" spans="1:6" x14ac:dyDescent="0.25">
      <x:c r="A308" s="1" t="n">
        <x:v>11528</x:v>
      </x:c>
      <x:c r="B308" s="1" t="str">
        <x:v>Workplace Management—Electrical Risks</x:v>
      </x:c>
      <x:c r="C308" s="1" t="str">
        <x:v>ext</x:v>
      </x:c>
      <x:c r="D308" s="1" t="str">
        <x:v>Working in the vicinity of overhead and underground electric lines guidance material (Safe Work Australia, July 2014)</x:v>
      </x:c>
      <x:c r="E308" s="1" t="str">
        <x:v>http://www.safeworkaustralia.gov.au/sites/swa/about/publications/pages/guidance-overhead-underground-electric-lines</x:v>
      </x:c>
      <x:c r="F308" s="11" t="n">
        <x:f>=HYPERLINK(E308)</x:f>
      </x:c>
    </x:row>
    <x:row r="309" spans="1:6" x14ac:dyDescent="0.25">
      <x:c r="A309" s="1" t="n">
        <x:v>11527</x:v>
      </x:c>
      <x:c r="B309" s="1" t="str">
        <x:v>Workplace Management—Electrical Risks</x:v>
      </x:c>
      <x:c r="C309" s="1" t="str">
        <x:v>ext</x:v>
      </x:c>
      <x:c r="D309" s="1" t="str">
        <x:v>Electrical risks at the workplace (Safe Work Australia fact sheet, August 2012)</x:v>
      </x:c>
      <x:c r="E309" s="1" t="str">
        <x:v>http://www.safeworkaustralia.gov.au/sites/swa/about/publications/pages/electrical-risks-at-the-workplace</x:v>
      </x:c>
      <x:c r="F309" s="11" t="n">
        <x:f>=HYPERLINK(E309)</x:f>
      </x:c>
    </x:row>
    <x:row r="310" spans="1:6" x14ac:dyDescent="0.25">
      <x:c r="A310" s="1" t="n">
        <x:v>13713</x:v>
      </x:c>
      <x:c r="B310" s="1" t="str">
        <x:v>Preserving an Incident Site</x:v>
      </x:c>
      <x:c r="C310" s="1" t="str">
        <x:v>doc</x:v>
      </x:c>
      <x:c r="D310" s="1" t="str">
        <x:v>18.22 WHS incident notification - incident notification checklist.docx</x:v>
      </x:c>
      <x:c r="E310" s="1" t="str">
        <x:v>https://compliance.store.lexisnexis.com.au/rest/api/v1.1/?a=13713</x:v>
      </x:c>
      <x:c r="F310" s="11" t="n">
        <x:f>=HYPERLINK(E310)</x:f>
      </x:c>
    </x:row>
    <x:row r="311" spans="1:6" x14ac:dyDescent="0.25">
      <x:c r="A311" s="1" t="n">
        <x:v>11507</x:v>
      </x:c>
      <x:c r="B311" s="1" t="str">
        <x:v>Preserving an Incident Site</x:v>
      </x:c>
      <x:c r="C311" s="1" t="str">
        <x:v>ext</x:v>
      </x:c>
      <x:c r="D311" s="1" t="str">
        <x:v>Incident notification (Safe Work Australia information sheet, November 2015)</x:v>
      </x:c>
      <x:c r="E311" s="1" t="str">
        <x:v>http://www.safeworkaustralia.gov.au/sites/swa/about/publications/pages/incident-notification-fact-sheet</x:v>
      </x:c>
      <x:c r="F311" s="11" t="n">
        <x:f>=HYPERLINK(E311)</x:f>
      </x:c>
    </x:row>
    <x:row r="312" spans="1:6" x14ac:dyDescent="0.25">
      <x:c r="A312" s="1" t="n">
        <x:v>13712</x:v>
      </x:c>
      <x:c r="B312" s="1" t="str">
        <x:v>Incident Notification</x:v>
      </x:c>
      <x:c r="C312" s="1" t="str">
        <x:v>doc</x:v>
      </x:c>
      <x:c r="D312" s="1" t="str">
        <x:v>18.22 WHS incident notification - incident notification checklist.docx</x:v>
      </x:c>
      <x:c r="E312" s="1" t="str">
        <x:v>https://compliance.store.lexisnexis.com.au/rest/api/v1.1/?a=13712</x:v>
      </x:c>
      <x:c r="F312" s="11" t="n">
        <x:f>=HYPERLINK(E312)</x:f>
      </x:c>
    </x:row>
    <x:row r="313" spans="1:6" x14ac:dyDescent="0.25">
      <x:c r="A313" s="1" t="n">
        <x:v>11483</x:v>
      </x:c>
      <x:c r="B313" s="1" t="str">
        <x:v>Incident Notification</x:v>
      </x:c>
      <x:c r="C313" s="1" t="str">
        <x:v>ext</x:v>
      </x:c>
      <x:c r="D313" s="1" t="str">
        <x:v>WorkSafe Tasmania, ‘Report an incident’</x:v>
      </x:c>
      <x:c r="E313" s="1" t="str">
        <x:v>http://worksafe.tas.gov.au/safety/safety_subjects/subject/incident_notification</x:v>
      </x:c>
      <x:c r="F313" s="11" t="n">
        <x:f>=HYPERLINK(E313)</x:f>
      </x:c>
    </x:row>
    <x:row r="314" spans="1:6" x14ac:dyDescent="0.25">
      <x:c r="A314" s="1" t="n">
        <x:v>11482</x:v>
      </x:c>
      <x:c r="B314" s="1" t="str">
        <x:v>Incident Notification</x:v>
      </x:c>
      <x:c r="C314" s="1" t="str">
        <x:v>ext</x:v>
      </x:c>
      <x:c r="D314" s="1" t="str">
        <x:v>SafeWork SA, ‘Incident notification’</x:v>
      </x:c>
      <x:c r="E314" s="1" t="str">
        <x:v>http://www.safework.sa.gov.au/show_page.jsp?id=2542#.Vm5QRK9ukcQ</x:v>
      </x:c>
      <x:c r="F314" s="11" t="n">
        <x:f>=HYPERLINK(E314)</x:f>
      </x:c>
    </x:row>
    <x:row r="315" spans="1:6" x14ac:dyDescent="0.25">
      <x:c r="A315" s="1" t="n">
        <x:v>11484</x:v>
      </x:c>
      <x:c r="B315" s="1" t="str">
        <x:v>Incident Notification</x:v>
      </x:c>
      <x:c r="C315" s="1" t="str">
        <x:v>ext</x:v>
      </x:c>
      <x:c r="D315" s="1" t="str">
        <x:v>WorkSafe ACT, ‘Notifying an incident or dangerous occurrence’</x:v>
      </x:c>
      <x:c r="E315" s="1" t="str">
        <x:v>http://www.worksafe.act.gov.au/page/view/1034</x:v>
      </x:c>
      <x:c r="F315" s="11" t="n">
        <x:f>=HYPERLINK(E315)</x:f>
      </x:c>
    </x:row>
    <x:row r="316" spans="1:6" x14ac:dyDescent="0.25">
      <x:c r="A316" s="1" t="n">
        <x:v>11480</x:v>
      </x:c>
      <x:c r="B316" s="1" t="str">
        <x:v>Incident Notification</x:v>
      </x:c>
      <x:c r="C316" s="1" t="str">
        <x:v>ext</x:v>
      </x:c>
      <x:c r="D316" s="1" t="str">
        <x:v>WorkCover NSW, ‘Report an incident or injury’</x:v>
      </x:c>
      <x:c r="E316" s="1" t="str">
        <x:v>http://www.workcover.nsw.gov.au/workers-compensation-claims/report-an-incident-or-injury</x:v>
      </x:c>
      <x:c r="F316" s="11" t="n">
        <x:f>=HYPERLINK(E316)</x:f>
      </x:c>
    </x:row>
    <x:row r="317" spans="1:6" x14ac:dyDescent="0.25">
      <x:c r="A317" s="1" t="n">
        <x:v>11485</x:v>
      </x:c>
      <x:c r="B317" s="1" t="str">
        <x:v>Incident Notification</x:v>
      </x:c>
      <x:c r="C317" s="1" t="str">
        <x:v>ext</x:v>
      </x:c>
      <x:c r="D317" s="1" t="str">
        <x:v>NT WorkSafe, ‘Incident reporting’</x:v>
      </x:c>
      <x:c r="E317" s="1" t="str">
        <x:v>http://www.worksafe.nt.gov.au/Business/Pages/Incident Reporting.aspx</x:v>
      </x:c>
      <x:c r="F317" s="11" t="n">
        <x:f>=HYPERLINK(E317)</x:f>
      </x:c>
    </x:row>
    <x:row r="318" spans="1:6" x14ac:dyDescent="0.25">
      <x:c r="A318" s="1" t="n">
        <x:v>11488</x:v>
      </x:c>
      <x:c r="B318" s="1" t="str">
        <x:v>Incident Notification</x:v>
      </x:c>
      <x:c r="C318" s="1" t="str">
        <x:v>ext</x:v>
      </x:c>
      <x:c r="D318" s="1" t="str">
        <x:v>Notify us about a workplace injury or disease</x:v>
      </x:c>
      <x:c r="E318" s="1" t="str">
        <x:v>http://www.commerce.wa.gov.au/worksafe/notify-us-about-workplace-injury-or-disease</x:v>
      </x:c>
      <x:c r="F318" s="11" t="n">
        <x:f>=HYPERLINK(E318)</x:f>
      </x:c>
    </x:row>
    <x:row r="319" spans="1:6" x14ac:dyDescent="0.25">
      <x:c r="A319" s="1" t="n">
        <x:v>11487</x:v>
      </x:c>
      <x:c r="B319" s="1" t="str">
        <x:v>Incident Notification</x:v>
      </x:c>
      <x:c r="C319" s="1" t="str">
        <x:v>ext</x:v>
      </x:c>
      <x:c r="D319" s="1" t="str">
        <x:v>Report a death, serious or life threatening incident</x:v>
      </x:c>
      <x:c r="E319" s="1" t="str">
        <x:v>http://www.commerce.wa.gov.au/worksafe/report-death-serious-or-life-threatening-incident</x:v>
      </x:c>
      <x:c r="F319" s="11" t="n">
        <x:f>=HYPERLINK(E319)</x:f>
      </x:c>
    </x:row>
    <x:row r="320" spans="1:6" x14ac:dyDescent="0.25">
      <x:c r="A320" s="1" t="n">
        <x:v>11486</x:v>
      </x:c>
      <x:c r="B320" s="1" t="str">
        <x:v>Incident Notification</x:v>
      </x:c>
      <x:c r="C320" s="1" t="str">
        <x:v>ext</x:v>
      </x:c>
      <x:c r="D320" s="1" t="str">
        <x:v>Guide to Incident Notification (WorkSafe Victoria, January 2008, 3rd edition)</x:v>
      </x:c>
      <x:c r="E320" s="1" t="str">
        <x:v>http://www.worksafe.vic.gov.au/__data/assets/pdf_file/0016/11266/IncidentNotification.pdf</x:v>
      </x:c>
      <x:c r="F320" s="11" t="n">
        <x:f>=HYPERLINK(E320)</x:f>
      </x:c>
    </x:row>
    <x:row r="321" spans="1:6" x14ac:dyDescent="0.25">
      <x:c r="A321" s="1" t="n">
        <x:v>11478</x:v>
      </x:c>
      <x:c r="B321" s="1" t="str">
        <x:v>Incident Notification</x:v>
      </x:c>
      <x:c r="C321" s="1" t="str">
        <x:v>ext</x:v>
      </x:c>
      <x:c r="D321" s="1" t="str">
        <x:v>Incident Notification (Safe Work Australia information sheet, November 2015)</x:v>
      </x:c>
      <x:c r="E321" s="1" t="str">
        <x:v>http://www.safeworkaustralia.gov.au/sites/swa/about/publications/pages/incident-notification-fact-sheet</x:v>
      </x:c>
      <x:c r="F321" s="11" t="n">
        <x:f>=HYPERLINK(E321)</x:f>
      </x:c>
    </x:row>
    <x:row r="322" spans="1:6" x14ac:dyDescent="0.25">
      <x:c r="A322" s="1" t="n">
        <x:v>11481</x:v>
      </x:c>
      <x:c r="B322" s="1" t="str">
        <x:v>Incident Notification</x:v>
      </x:c>
      <x:c r="C322" s="1" t="str">
        <x:v>ext</x:v>
      </x:c>
      <x:c r="D322" s="1" t="str">
        <x:v>WorkCover Queensland, ‘Notify of an incident’</x:v>
      </x:c>
      <x:c r="E322" s="1" t="str">
        <x:v>http://www.worksafe.qld.gov.au/injury-prevention-safety/incidents-and-notifications/notify-of-an-incident</x:v>
      </x:c>
      <x:c r="F322" s="11" t="n">
        <x:f>=HYPERLINK(E322)</x:f>
      </x:c>
    </x:row>
    <x:row r="323" spans="1:6" x14ac:dyDescent="0.25">
      <x:c r="A323" s="1" t="n">
        <x:v>11479</x:v>
      </x:c>
      <x:c r="B323" s="1" t="str">
        <x:v>Incident Notification</x:v>
      </x:c>
      <x:c r="C323" s="1" t="str">
        <x:v>ext</x:v>
      </x:c>
      <x:c r="D323" s="1" t="str">
        <x:v>Comcare (Commonwealth), ‘Incident notification’</x:v>
      </x:c>
      <x:c r="E323" s="1" t="str">
        <x:v>http://www.comcare.gov.au/preventing/response/incident_notification</x:v>
      </x:c>
      <x:c r="F323" s="11" t="n">
        <x:f>=HYPERLINK(E323)</x:f>
      </x:c>
    </x:row>
    <x:row r="324" spans="1:6" x14ac:dyDescent="0.25">
      <x:c r="A324" s="1" t="n">
        <x:v>11082</x:v>
      </x:c>
      <x:c r="B324" s="1" t="str">
        <x:v>Primary Duty of Care</x:v>
      </x:c>
      <x:c r="C324" s="1" t="str">
        <x:v>ext</x:v>
      </x:c>
      <x:c r="D324" s="1" t="str">
        <x:v>Interpretive guideline—model Work Health and Safety Act—The meaning of ‘person conducting a business or undertaking’, September 2011 (Safe Work Australia)</x:v>
      </x:c>
      <x:c r="E324" s="1" t="str">
        <x:v>http://www.safeworkaustralia.gov.au/sites/swa/about/publications/pages/interpretive%20-guideline-pcbu</x:v>
      </x:c>
      <x:c r="F324" s="11" t="n">
        <x:f>=HYPERLINK(E324)</x:f>
      </x:c>
    </x:row>
    <x:row r="325" spans="1:6" x14ac:dyDescent="0.25">
      <x:c r="A325" s="1" t="n">
        <x:v>11087</x:v>
      </x:c>
      <x:c r="B325" s="1" t="str">
        <x:v>Primary Duty of Care</x:v>
      </x:c>
      <x:c r="C325" s="1" t="str">
        <x:v>ext</x:v>
      </x:c>
      <x:c r="D325" s="1" t="str">
        <x:v>Preventing psychological injury under work health and safety laws (Safe Work Australia fact sheet, May 2014)</x:v>
      </x:c>
      <x:c r="E325" s="1" t="str">
        <x:v>http://www.safeworkaustralia.gov.au/sites/swa/about/publications/pages/preventing-psychological-injury-fact-sheet</x:v>
      </x:c>
      <x:c r="F325" s="11" t="n">
        <x:f>=HYPERLINK(E325)</x:f>
      </x:c>
    </x:row>
    <x:row r="326" spans="1:6" x14ac:dyDescent="0.25">
      <x:c r="A326" s="1" t="n">
        <x:v>13643</x:v>
      </x:c>
      <x:c r="B326" s="1" t="str">
        <x:v>Primary Duty of Care</x:v>
      </x:c>
      <x:c r="C326" s="1" t="str">
        <x:v>doc</x:v>
      </x:c>
      <x:c r="D326" s="1" t="str">
        <x:v>18.16 WHS duties - person conducting business or undertaking checklist.docx</x:v>
      </x:c>
      <x:c r="E326" s="1" t="str">
        <x:v>https://compliance.store.lexisnexis.com.au/rest/api/v1.1/?a=13643</x:v>
      </x:c>
      <x:c r="F326" s="11" t="n">
        <x:f>=HYPERLINK(E326)</x:f>
      </x:c>
    </x:row>
    <x:row r="327" spans="1:6" x14ac:dyDescent="0.25">
      <x:c r="A327" s="1" t="n">
        <x:v>11085</x:v>
      </x:c>
      <x:c r="B327" s="1" t="str">
        <x:v>Primary Duty of Care</x:v>
      </x:c>
      <x:c r="C327" s="1" t="str">
        <x:v>ext</x:v>
      </x:c>
      <x:c r="D327" s="1" t="str">
        <x:v>Guide for preventing and responding to workplace bullying, November 2013 (Safe Work Australia)</x:v>
      </x:c>
      <x:c r="E327" s="1" t="str">
        <x:v>http://www.safeworkaustralia.gov.au/sites/swa/about/publications/pages/guide-workplace-bullying</x:v>
      </x:c>
      <x:c r="F327" s="11" t="n">
        <x:f>=HYPERLINK(E327)</x:f>
      </x:c>
    </x:row>
    <x:row r="328" spans="1:6" x14ac:dyDescent="0.25">
      <x:c r="A328" s="1" t="n">
        <x:v>13645</x:v>
      </x:c>
      <x:c r="B328" s="1" t="str">
        <x:v>Primary Duty of Care</x:v>
      </x:c>
      <x:c r="C328" s="1" t="str">
        <x:v>doc</x:v>
      </x:c>
      <x:c r="D328" s="1" t="str">
        <x:v>18.18 WHS duties - supervisors checklist.docx</x:v>
      </x:c>
      <x:c r="E328" s="1" t="str">
        <x:v>https://compliance.store.lexisnexis.com.au/rest/api/v1.1/?a=13645</x:v>
      </x:c>
      <x:c r="F328" s="11" t="n">
        <x:f>=HYPERLINK(E328)</x:f>
      </x:c>
    </x:row>
    <x:row r="329" spans="1:6" x14ac:dyDescent="0.25">
      <x:c r="A329" s="1" t="n">
        <x:v>11081</x:v>
      </x:c>
      <x:c r="B329" s="1" t="str">
        <x:v>Primary Duty of Care</x:v>
      </x:c>
      <x:c r="C329" s="1" t="str">
        <x:v>ext</x:v>
      </x:c>
      <x:c r="D329" s="1" t="str">
        <x:v>Model code of practice – How to manage work health and safety risks, December 2011 (Safe Work Australia)</x:v>
      </x:c>
      <x:c r="E329" s="1" t="str">
        <x:v>http://www.safeworkaustralia.gov.au/sites/swa/about/publications/pages/manage-whs-risks-cop</x:v>
      </x:c>
      <x:c r="F329" s="11" t="n">
        <x:f>=HYPERLINK(E329)</x:f>
      </x:c>
    </x:row>
    <x:row r="330" spans="1:6" x14ac:dyDescent="0.25">
      <x:c r="A330" s="1" t="n">
        <x:v>11083</x:v>
      </x:c>
      <x:c r="B330" s="1" t="str">
        <x:v>Primary Duty of Care</x:v>
      </x:c>
      <x:c r="C330" s="1" t="str">
        <x:v>ext</x:v>
      </x:c>
      <x:c r="D330" s="1" t="str">
        <x:v>Guide—How to determine what is reasonably practicable to meet a health and safety duty, May 2013 (Safe Work Australia)</x:v>
      </x:c>
      <x:c r="E330" s="1" t="str">
        <x:v>http://www.safeworkaustralia.gov.au/sites/swa/about/publications/pages/guide-reasonably-practicable</x:v>
      </x:c>
      <x:c r="F330" s="11" t="n">
        <x:f>=HYPERLINK(E330)</x:f>
      </x:c>
    </x:row>
    <x:row r="331" spans="1:6" x14ac:dyDescent="0.25">
      <x:c r="A331" s="1" t="n">
        <x:v>13647</x:v>
      </x:c>
      <x:c r="B331" s="1" t="str">
        <x:v>Primary Duty of Care</x:v>
      </x:c>
      <x:c r="C331" s="1" t="str">
        <x:v>doc</x:v>
      </x:c>
      <x:c r="D331" s="1" t="str">
        <x:v>18.15 WHS duties - human resources checklist.docx</x:v>
      </x:c>
      <x:c r="E331" s="1" t="str">
        <x:v>https://compliance.store.lexisnexis.com.au/rest/api/v1.1/?a=13647</x:v>
      </x:c>
      <x:c r="F331" s="11" t="n">
        <x:f>=HYPERLINK(E331)</x:f>
      </x:c>
    </x:row>
    <x:row r="332" spans="1:6" x14ac:dyDescent="0.25">
      <x:c r="A332" s="1" t="n">
        <x:v>11084</x:v>
      </x:c>
      <x:c r="B332" s="1" t="str">
        <x:v>Primary Duty of Care</x:v>
      </x:c>
      <x:c r="C332" s="1" t="str">
        <x:v>ext</x:v>
      </x:c>
      <x:c r="D332" s="1" t="str">
        <x:v>Interpretive guideline—model Work Health and Safety Act—The meaning of ‘reasonably practicable’, September 2011 (Safe Work Australia)</x:v>
      </x:c>
      <x:c r="E332" s="1" t="str">
        <x:v>http://www.safeworkaustralia.gov.au/sites/swa/about/publications/pages/interpretive-guideline-reasonably-practicable</x:v>
      </x:c>
      <x:c r="F332" s="11" t="n">
        <x:f>=HYPERLINK(E332)</x:f>
      </x:c>
    </x:row>
    <x:row r="333" spans="1:6" x14ac:dyDescent="0.25">
      <x:c r="A333" s="1" t="n">
        <x:v>13646</x:v>
      </x:c>
      <x:c r="B333" s="1" t="str">
        <x:v>Primary Duty of Care</x:v>
      </x:c>
      <x:c r="C333" s="1" t="str">
        <x:v>doc</x:v>
      </x:c>
      <x:c r="D333" s="1" t="str">
        <x:v>18.13 WHS duties - contractors checklist.docx</x:v>
      </x:c>
      <x:c r="E333" s="1" t="str">
        <x:v>https://compliance.store.lexisnexis.com.au/rest/api/v1.1/?a=13646</x:v>
      </x:c>
      <x:c r="F333" s="11" t="n">
        <x:f>=HYPERLINK(E333)</x:f>
      </x:c>
    </x:row>
    <x:row r="334" spans="1:6" x14ac:dyDescent="0.25">
      <x:c r="A334" s="1" t="n">
        <x:v>11086</x:v>
      </x:c>
      <x:c r="B334" s="1" t="str">
        <x:v>Primary Duty of Care</x:v>
      </x:c>
      <x:c r="C334" s="1" t="str">
        <x:v>ext</x:v>
      </x:c>
      <x:c r="D334" s="1" t="str">
        <x:v>Guide for managing the risk of fatigue at work, November 2013 (Safe Work Australia)</x:v>
      </x:c>
      <x:c r="E334" s="1" t="str">
        <x:v>http://www.safeworkaustralia.gov.au/sites/swa/about/publications/pages/guide-fatigue-at-work</x:v>
      </x:c>
      <x:c r="F334" s="11" t="n">
        <x:f>=HYPERLINK(E334)</x:f>
      </x:c>
    </x:row>
    <x:row r="335" spans="1:6" x14ac:dyDescent="0.25">
      <x:c r="A335" s="1" t="n">
        <x:v>13644</x:v>
      </x:c>
      <x:c r="B335" s="1" t="str">
        <x:v>Primary Duty of Care</x:v>
      </x:c>
      <x:c r="C335" s="1" t="str">
        <x:v>doc</x:v>
      </x:c>
      <x:c r="D335" s="1" t="str">
        <x:v>18.17 WHS duties - primary duty of care checklist.docx</x:v>
      </x:c>
      <x:c r="E335" s="1" t="str">
        <x:v>https://compliance.store.lexisnexis.com.au/rest/api/v1.1/?a=13644</x:v>
      </x:c>
      <x:c r="F335" s="11" t="n">
        <x:f>=HYPERLINK(E335)</x:f>
      </x:c>
    </x:row>
    <x:row r="336" spans="1:6" x14ac:dyDescent="0.25">
      <x:c r="A336" s="1" t="n">
        <x:v>13648</x:v>
      </x:c>
      <x:c r="B336" s="1" t="str">
        <x:v>Officer’s Duties</x:v>
      </x:c>
      <x:c r="C336" s="1" t="str">
        <x:v>doc</x:v>
      </x:c>
      <x:c r="D336" s="1" t="str">
        <x:v>18.20 WHS duties - who is an officer checklist.docx</x:v>
      </x:c>
      <x:c r="E336" s="1" t="str">
        <x:v>https://compliance.store.lexisnexis.com.au/rest/api/v1.1/?a=13648</x:v>
      </x:c>
      <x:c r="F336" s="11" t="n">
        <x:f>=HYPERLINK(E336)</x:f>
      </x:c>
    </x:row>
    <x:row r="337" spans="1:6" x14ac:dyDescent="0.25">
      <x:c r="A337" s="1" t="n">
        <x:v>11099</x:v>
      </x:c>
      <x:c r="B337" s="1" t="str">
        <x:v>Officer’s Duties</x:v>
      </x:c>
      <x:c r="C337" s="1" t="str">
        <x:v>ext</x:v>
      </x:c>
      <x:c r="D337" s="1" t="str">
        <x:v>Interpretive guideline—model Work Health and Safety Act—The meaning of ‘person conducting a business or undertaking’, September 2011 (Safe Work Australia)</x:v>
      </x:c>
      <x:c r="E337" s="1" t="str">
        <x:v>http://www.safeworkaustralia.gov.au/sites/swa/about/publications/pages/interpretive%20-guideline-pcbu</x:v>
      </x:c>
      <x:c r="F337" s="11" t="n">
        <x:f>=HYPERLINK(E337)</x:f>
      </x:c>
    </x:row>
    <x:row r="338" spans="1:6" x14ac:dyDescent="0.25">
      <x:c r="A338" s="1" t="n">
        <x:v>13649</x:v>
      </x:c>
      <x:c r="B338" s="1" t="str">
        <x:v>Officer’s Duties</x:v>
      </x:c>
      <x:c r="C338" s="1" t="str">
        <x:v>doc</x:v>
      </x:c>
      <x:c r="D338" s="1" t="str">
        <x:v>18.14 WHS duties - due diligence checklist.docx</x:v>
      </x:c>
      <x:c r="E338" s="1" t="str">
        <x:v>https://compliance.store.lexisnexis.com.au/rest/api/v1.1/?a=13649</x:v>
      </x:c>
      <x:c r="F338" s="11" t="n">
        <x:f>=HYPERLINK(E338)</x:f>
      </x:c>
    </x:row>
    <x:row r="339" spans="1:6" x14ac:dyDescent="0.25">
      <x:c r="A339" s="1" t="n">
        <x:v>11098</x:v>
      </x:c>
      <x:c r="B339" s="1" t="str">
        <x:v>Officer’s Duties</x:v>
      </x:c>
      <x:c r="C339" s="1" t="str">
        <x:v>ext</x:v>
      </x:c>
      <x:c r="D339" s="1" t="str">
        <x:v>Model code of practice – How to manage work health and safety risks, December 2011 (Safe Work Australia)</x:v>
      </x:c>
      <x:c r="E339" s="1" t="str">
        <x:v>http://www.safeworkaustralia.gov.au/sites/swa/about/publications/pages/manage-whs-risks-cop</x:v>
      </x:c>
      <x:c r="F339" s="11" t="n">
        <x:f>=HYPERLINK(E339)</x:f>
      </x:c>
    </x:row>
    <x:row r="340" spans="1:6" x14ac:dyDescent="0.25">
      <x:c r="A340" s="1" t="n">
        <x:v>13626</x:v>
      </x:c>
      <x:c r="B340" s="1" t="str">
        <x:v>Work Health and Safety Duties</x:v>
      </x:c>
      <x:c r="C340" s="1" t="str">
        <x:v>doc</x:v>
      </x:c>
      <x:c r="D340" s="1" t="str">
        <x:v>18.19 WHS duties - what is 'reasonably practicable' checklist.docx</x:v>
      </x:c>
      <x:c r="E340" s="1" t="str">
        <x:v>https://compliance.store.lexisnexis.com.au/rest/api/v1.1/?a=13626</x:v>
      </x:c>
      <x:c r="F340" s="11" t="n">
        <x:f>=HYPERLINK(E340)</x:f>
      </x:c>
    </x:row>
    <x:row r="341" spans="1:6" x14ac:dyDescent="0.25">
      <x:c r="A341" s="1" t="n">
        <x:v>11073</x:v>
      </x:c>
      <x:c r="B341" s="1" t="str">
        <x:v>Work Health and Safety Duties</x:v>
      </x:c>
      <x:c r="C341" s="1" t="str">
        <x:v>ext</x:v>
      </x:c>
      <x:c r="D341" s="1" t="str">
        <x:v>Interpretive guideline—model Work Health and Safety Act—the meaning of ‘reasonably practicable’, September 2011 (Safe Work Australia)</x:v>
      </x:c>
      <x:c r="E341" s="1" t="str">
        <x:v>http://www.safeworkaustralia.gov.au/sites/swa/about/publications/pages/interpretive-guideline-reasonably-practicable</x:v>
      </x:c>
      <x:c r="F341" s="11" t="n">
        <x:f>=HYPERLINK(E341)</x:f>
      </x:c>
    </x:row>
    <x:row r="342" spans="1:6" x14ac:dyDescent="0.25">
      <x:c r="A342" s="1" t="n">
        <x:v>11070</x:v>
      </x:c>
      <x:c r="B342" s="1" t="str">
        <x:v>Work Health and Safety Duties</x:v>
      </x:c>
      <x:c r="C342" s="1" t="str">
        <x:v>ext</x:v>
      </x:c>
      <x:c r="D342" s="1" t="str">
        <x:v>Interpretive guideline—model Work Health and Safety Act—The meaning of ‘person conducting a business or undertaking’, September 2011 (Safe Work Australia)</x:v>
      </x:c>
      <x:c r="E342" s="1" t="str">
        <x:v>http://www.safeworkaustralia.gov.au/sites/swa/about/publications/pages/interpretive -guideline-pcbu</x:v>
      </x:c>
      <x:c r="F342" s="11" t="n">
        <x:f>=HYPERLINK(E342)</x:f>
      </x:c>
    </x:row>
    <x:row r="343" spans="1:6" x14ac:dyDescent="0.25">
      <x:c r="A343" s="1" t="n">
        <x:v>11072</x:v>
      </x:c>
      <x:c r="B343" s="1" t="str">
        <x:v>Work Health and Safety Duties</x:v>
      </x:c>
      <x:c r="C343" s="1" t="str">
        <x:v>ext</x:v>
      </x:c>
      <x:c r="D343" s="1" t="str">
        <x:v>How to determine what is reasonably practicable to meet a health and safety duty, May 2013 (Safe Work Australia guide)</x:v>
      </x:c>
      <x:c r="E343" s="1" t="str">
        <x:v>http://www.safeworkaustralia.gov.au/sites/swa/about/publications/pages/guide-reasonably-practicable</x:v>
      </x:c>
      <x:c r="F343" s="11" t="n">
        <x:f>=HYPERLINK(E343)</x:f>
      </x:c>
    </x:row>
    <x:row r="344" spans="1:6" x14ac:dyDescent="0.25">
      <x:c r="A344" s="1" t="n">
        <x:v>11071</x:v>
      </x:c>
      <x:c r="B344" s="1" t="str">
        <x:v>Work Health and Safety Duties</x:v>
      </x:c>
      <x:c r="C344" s="1" t="str">
        <x:v>ext</x:v>
      </x:c>
      <x:c r="D344" s="1" t="str">
        <x:v>Model code of practice - How to manage work health and safety risks, December 2011 (Safe Work Australia)</x:v>
      </x:c>
      <x:c r="E344" s="1" t="str">
        <x:v>http://www.safeworkaustralia.gov.au/sites/swa/about/publications/pages/manage-whs-risks-cop</x:v>
      </x:c>
      <x:c r="F344" s="11" t="n">
        <x:f>=HYPERLINK(E344)</x:f>
      </x:c>
    </x:row>
    <x:row r="345" spans="1:6" x14ac:dyDescent="0.25">
      <x:c r="A345" s="1" t="n">
        <x:v>14181</x:v>
      </x:c>
      <x:c r="B345" s="1" t="str">
        <x:v>Overview</x:v>
      </x:c>
      <x:c r="C345" s="1" t="str">
        <x:v>ext</x:v>
      </x:c>
      <x:c r="D345" s="1" t="str">
        <x:v>Guide to the model work health and safety regulations, November 2011 </x:v>
      </x:c>
      <x:c r="E345" s="1" t="str">
        <x:v>www.safeworkaustralia.gov.au/sites/swa/about/publications/pages/guide-to-the-work-health-and-safety-act-</x:v>
      </x:c>
      <x:c r="F345" s="11" t="n">
        <x:f>=HYPERLINK("#F345","www.safeworkaustralia.gov.au/sites/swa/about/publications/pages/guide-to-the-work-health-and-safety-act-")</x:f>
      </x:c>
    </x:row>
    <x:row r="346" spans="1:6" x14ac:dyDescent="0.25">
      <x:c r="A346" s="1" t="n">
        <x:v>14182</x:v>
      </x:c>
      <x:c r="B346" s="1" t="str">
        <x:v>Overview</x:v>
      </x:c>
      <x:c r="C346" s="1" t="str">
        <x:v>ext</x:v>
      </x:c>
      <x:c r="D346" s="1" t="str">
        <x:v>Codes of practice and guidance material fact sheet, December 2012</x:v>
      </x:c>
      <x:c r="E346" s="1" t="str">
        <x:v>www.safeworkaustralia.gov.au/sites/swa/about/publications/pages/codes-of-practice-and-guidance-material-fact-sheet</x:v>
      </x:c>
      <x:c r="F346" s="11" t="n">
        <x:f>=HYPERLINK("#F346","www.safeworkaustralia.gov.au/sites/swa/about/publications/pages/codes-of-practice-and-guidance-material-fact-sheet")</x:f>
      </x:c>
    </x:row>
    <x:row r="347" spans="1:6" x14ac:dyDescent="0.25">
      <x:c r="A347" s="1" t="n">
        <x:v>14183</x:v>
      </x:c>
      <x:c r="B347" s="1" t="str">
        <x:v>Overview</x:v>
      </x:c>
      <x:c r="C347" s="1" t="str">
        <x:v>ext</x:v>
      </x:c>
      <x:c r="D347" s="1" t="str">
        <x:v>Jurisdictional progress on the model work health and safety laws</x:v>
      </x:c>
      <x:c r="E347" s="1" t="str">
        <x:v>www.safeworkaustralia.gov.au/sites/swa/model-whs-laws/pages/jurisdictional-progress-whs-laws</x:v>
      </x:c>
      <x:c r="F347" s="11" t="n">
        <x:f>=HYPERLINK("#F347","www.safeworkaustralia.gov.au/sites/swa/model-whs-laws/pages/jurisdictional-progress-whs-laws")</x:f>
      </x:c>
    </x:row>
    <x:row r="348" spans="1:6" x14ac:dyDescent="0.25">
      <x:c r="A348" s="1" t="n">
        <x:v>11435</x:v>
      </x:c>
      <x:c r="B348" s="1" t="str">
        <x:v>Registration of Plant Designs</x:v>
      </x:c>
      <x:c r="C348" s="1" t="str">
        <x:v>ext</x:v>
      </x:c>
      <x:c r="D348" s="1" t="str">
        <x:v>Comcare (Commonwealth regulator), ‘Plant item and design registration’</x:v>
      </x:c>
      <x:c r="E348" s="1" t="str">
        <x:v>http://www.comcare.gov.au/preventing/hazards/physical_hazards/plant_and_structures/plant_and_plant_design_registration</x:v>
      </x:c>
      <x:c r="F348" s="11" t="n">
        <x:f>=HYPERLINK(E348)</x:f>
      </x:c>
    </x:row>
    <x:row r="349" spans="1:6" x14ac:dyDescent="0.25">
      <x:c r="A349" s="1" t="n">
        <x:v>11437</x:v>
      </x:c>
      <x:c r="B349" s="1" t="str">
        <x:v>Registration of Plant Designs</x:v>
      </x:c>
      <x:c r="C349" s="1" t="str">
        <x:v>ext</x:v>
      </x:c>
      <x:c r="D349" s="1" t="str">
        <x:v>WorkCover Queensland, ‘Plant design registration’</x:v>
      </x:c>
      <x:c r="E349" s="1" t="str">
        <x:v>http://www.worksafe.qld.gov.au/licensing-and-registrations/plant-design-registration</x:v>
      </x:c>
      <x:c r="F349" s="11" t="n">
        <x:f>=HYPERLINK(E349)</x:f>
      </x:c>
    </x:row>
    <x:row r="350" spans="1:6" x14ac:dyDescent="0.25">
      <x:c r="A350" s="1" t="n">
        <x:v>11439</x:v>
      </x:c>
      <x:c r="B350" s="1" t="str">
        <x:v>Registration of Plant Designs</x:v>
      </x:c>
      <x:c r="C350" s="1" t="str">
        <x:v>ext</x:v>
      </x:c>
      <x:c r="D350" s="1" t="str">
        <x:v>WorkSafe Tasmania, ‘Application for registration of plant design’</x:v>
      </x:c>
      <x:c r="E350" s="1" t="str">
        <x:v>http://worksafe.tas.gov.au/licensing/licensing-forms</x:v>
      </x:c>
      <x:c r="F350" s="11" t="n">
        <x:f>=HYPERLINK(E350)</x:f>
      </x:c>
    </x:row>
    <x:row r="351" spans="1:6" x14ac:dyDescent="0.25">
      <x:c r="A351" s="1" t="n">
        <x:v>11441</x:v>
      </x:c>
      <x:c r="B351" s="1" t="str">
        <x:v>Registration of Plant Designs</x:v>
      </x:c>
      <x:c r="C351" s="1" t="str">
        <x:v>ext</x:v>
      </x:c>
      <x:c r="D351" s="1" t="str">
        <x:v>NT WorkSafe, ‘Registrations’</x:v>
      </x:c>
      <x:c r="E351" s="1" t="str">
        <x:v>http://www.worksafe.nt.gov.au/Forms/Registrations/Forms/AllItems.aspx</x:v>
      </x:c>
      <x:c r="F351" s="11" t="n">
        <x:f>=HYPERLINK(E351)</x:f>
      </x:c>
    </x:row>
    <x:row r="352" spans="1:6" x14ac:dyDescent="0.25">
      <x:c r="A352" s="1" t="n">
        <x:v>11434</x:v>
      </x:c>
      <x:c r="B352" s="1" t="str">
        <x:v>Registration of Plant Designs</x:v>
      </x:c>
      <x:c r="C352" s="1" t="str">
        <x:v>ext</x:v>
      </x:c>
      <x:c r="D352" s="1" t="str">
        <x:v>Model code of practice – Managing risks of plant in the workplace, September 2013 (Safe Work Australia)</x:v>
      </x:c>
      <x:c r="E352" s="1" t="str">
        <x:v>http://www.safeworkaustralia.gov.au/sites/swa/about/publications/pages/managing-the-risks-of-plant-in-the-workplace</x:v>
      </x:c>
      <x:c r="F352" s="11" t="n">
        <x:f>=HYPERLINK(E352)</x:f>
      </x:c>
    </x:row>
    <x:row r="353" spans="1:6" x14ac:dyDescent="0.25">
      <x:c r="A353" s="1" t="n">
        <x:v>11436</x:v>
      </x:c>
      <x:c r="B353" s="1" t="str">
        <x:v>Registration of Plant Designs</x:v>
      </x:c>
      <x:c r="C353" s="1" t="str">
        <x:v>ext</x:v>
      </x:c>
      <x:c r="D353" s="1" t="str">
        <x:v>WorkCover NSW, ‘Plant design registration’</x:v>
      </x:c>
      <x:c r="E353" s="1" t="str">
        <x:v>http://www.workcover.nsw.gov.au/licences-and-registrations/plant-registrations/plant-design-registration</x:v>
      </x:c>
      <x:c r="F353" s="11" t="n">
        <x:f>=HYPERLINK(E353)</x:f>
      </x:c>
    </x:row>
    <x:row r="354" spans="1:6" x14ac:dyDescent="0.25">
      <x:c r="A354" s="1" t="n">
        <x:v>11438</x:v>
      </x:c>
      <x:c r="B354" s="1" t="str">
        <x:v>Registration of Plant Designs</x:v>
      </x:c>
      <x:c r="C354" s="1" t="str">
        <x:v>ext</x:v>
      </x:c>
      <x:c r="D354" s="1" t="str">
        <x:v>SafeWork SA, ‘Plant design registration’</x:v>
      </x:c>
      <x:c r="E354" s="1" t="str">
        <x:v>http://www.safework.sa.gov.au/show_page.jsp?id=2559#.Vo4XPWxukcQ</x:v>
      </x:c>
      <x:c r="F354" s="11" t="n">
        <x:f>=HYPERLINK(E354)</x:f>
      </x:c>
    </x:row>
    <x:row r="355" spans="1:6" x14ac:dyDescent="0.25">
      <x:c r="A355" s="1" t="n">
        <x:v>11440</x:v>
      </x:c>
      <x:c r="B355" s="1" t="str">
        <x:v>Registration of Plant Designs</x:v>
      </x:c>
      <x:c r="C355" s="1" t="str">
        <x:v>ext</x:v>
      </x:c>
      <x:c r="D355" s="1" t="str">
        <x:v>WorkSafe ACT, ‘Plant registration’</x:v>
      </x:c>
      <x:c r="E355" s="1" t="str">
        <x:v>http://www.worksafe.act.gov.au/page/view/3363</x:v>
      </x:c>
      <x:c r="F355" s="11" t="n">
        <x:f>=HYPERLINK(E355)</x:f>
      </x:c>
    </x:row>
    <x:row r="356" spans="1:6" x14ac:dyDescent="0.25">
      <x:c r="A356" s="1" t="n">
        <x:v>11454</x:v>
      </x:c>
      <x:c r="B356" s="1" t="str">
        <x:v>Registration of Items of Plant</x:v>
      </x:c>
      <x:c r="C356" s="1" t="str">
        <x:v>ext</x:v>
      </x:c>
      <x:c r="D356" s="1" t="str">
        <x:v>Model code of practice – Managing risks of plant in the workplace, September 2013 (Safe Work Australia)</x:v>
      </x:c>
      <x:c r="E356" s="1" t="str">
        <x:v>http://www.safeworkaustralia.gov.au/sites/swa/about/publications/pages/managing-the-risks-of-plant-in-the-workplace</x:v>
      </x:c>
      <x:c r="F356" s="11" t="n">
        <x:f>=HYPERLINK(E356)</x:f>
      </x:c>
    </x:row>
    <x:row r="357" spans="1:6" x14ac:dyDescent="0.25">
      <x:c r="A357" s="1" t="n">
        <x:v>11455</x:v>
      </x:c>
      <x:c r="B357" s="1" t="str">
        <x:v>Registration of Items of Plant</x:v>
      </x:c>
      <x:c r="C357" s="1" t="str">
        <x:v>ext</x:v>
      </x:c>
      <x:c r="D357" s="1" t="str">
        <x:v>Comcare (Commonwealth regulator), ‘Plant item and design registration’</x:v>
      </x:c>
      <x:c r="E357" s="1" t="str">
        <x:v>http://www.comcare.gov.au/preventing/hazards/physical_hazards/plant_and_structures/plant_and_plant_design_registration</x:v>
      </x:c>
      <x:c r="F357" s="11" t="n">
        <x:f>=HYPERLINK(E357)</x:f>
      </x:c>
    </x:row>
    <x:row r="358" spans="1:6" x14ac:dyDescent="0.25">
      <x:c r="A358" s="1" t="n">
        <x:v>11458</x:v>
      </x:c>
      <x:c r="B358" s="1" t="str">
        <x:v>Registration of Items of Plant</x:v>
      </x:c>
      <x:c r="C358" s="1" t="str">
        <x:v>ext</x:v>
      </x:c>
      <x:c r="D358" s="1" t="str">
        <x:v>SafeWork SA, ‘Plant registration’</x:v>
      </x:c>
      <x:c r="E358" s="1" t="str">
        <x:v>http://www.safework.sa.gov.au/show_page.jsp?id=2649#.Vo4XhWxukcQ</x:v>
      </x:c>
      <x:c r="F358" s="11" t="n">
        <x:f>=HYPERLINK(E358)</x:f>
      </x:c>
    </x:row>
    <x:row r="359" spans="1:6" x14ac:dyDescent="0.25">
      <x:c r="A359" s="1" t="n">
        <x:v>11459</x:v>
      </x:c>
      <x:c r="B359" s="1" t="str">
        <x:v>Registration of Items of Plant</x:v>
      </x:c>
      <x:c r="C359" s="1" t="str">
        <x:v>ext</x:v>
      </x:c>
      <x:c r="D359" s="1" t="str">
        <x:v>WorkSafe Tasmania, ‘Plant registration’</x:v>
      </x:c>
      <x:c r="E359" s="1" t="str">
        <x:v>http://worksafe.tas.gov.au/licensing/plant_and_equipment/plant_registration</x:v>
      </x:c>
      <x:c r="F359" s="11" t="n">
        <x:f>=HYPERLINK(E359)</x:f>
      </x:c>
    </x:row>
    <x:row r="360" spans="1:6" x14ac:dyDescent="0.25">
      <x:c r="A360" s="1" t="n">
        <x:v>11456</x:v>
      </x:c>
      <x:c r="B360" s="1" t="str">
        <x:v>Registration of Items of Plant</x:v>
      </x:c>
      <x:c r="C360" s="1" t="str">
        <x:v>ext</x:v>
      </x:c>
      <x:c r="D360" s="1" t="str">
        <x:v>WorkCover NSW, ‘Plant item registration’</x:v>
      </x:c>
      <x:c r="E360" s="1" t="str">
        <x:v>http://www.workcover.nsw.gov.au/licences-and-registrations/plant-registrations/plant-item-registration</x:v>
      </x:c>
      <x:c r="F360" s="11" t="n">
        <x:f>=HYPERLINK(E360)</x:f>
      </x:c>
    </x:row>
    <x:row r="361" spans="1:6" x14ac:dyDescent="0.25">
      <x:c r="A361" s="1" t="n">
        <x:v>11457</x:v>
      </x:c>
      <x:c r="B361" s="1" t="str">
        <x:v>Registration of Items of Plant</x:v>
      </x:c>
      <x:c r="C361" s="1" t="str">
        <x:v>ext</x:v>
      </x:c>
      <x:c r="D361" s="1" t="str">
        <x:v>WorkCover Queensland, ‘Plant registration’</x:v>
      </x:c>
      <x:c r="E361" s="1" t="str">
        <x:v>http://www.worksafe.qld.gov.au/licensing-and-registrations/plant-registration</x:v>
      </x:c>
      <x:c r="F361" s="11" t="n">
        <x:f>=HYPERLINK(E361)</x:f>
      </x:c>
    </x:row>
    <x:row r="362" spans="1:6" x14ac:dyDescent="0.25">
      <x:c r="A362" s="1" t="n">
        <x:v>11461</x:v>
      </x:c>
      <x:c r="B362" s="1" t="str">
        <x:v>Registration of Items of Plant</x:v>
      </x:c>
      <x:c r="C362" s="1" t="str">
        <x:v>ext</x:v>
      </x:c>
      <x:c r="D362" s="1" t="str">
        <x:v>NT WorkSafe, ‘Registrations’</x:v>
      </x:c>
      <x:c r="E362" s="1" t="str">
        <x:v>http://www.worksafe.nt.gov.au/Forms/Registrations/Forms/AllItems.aspx</x:v>
      </x:c>
      <x:c r="F362" s="11" t="n">
        <x:f>=HYPERLINK(E362)</x:f>
      </x:c>
    </x:row>
    <x:row r="363" spans="1:6" x14ac:dyDescent="0.25">
      <x:c r="A363" s="1" t="n">
        <x:v>11460</x:v>
      </x:c>
      <x:c r="B363" s="1" t="str">
        <x:v>Registration of Items of Plant</x:v>
      </x:c>
      <x:c r="C363" s="1" t="str">
        <x:v>ext</x:v>
      </x:c>
      <x:c r="D363" s="1" t="str">
        <x:v>WorkSafe ACT, ‘Plant registration’</x:v>
      </x:c>
      <x:c r="E363" s="1" t="str">
        <x:v>http://www.worksafe.act.gov.au/page/view/3363</x:v>
      </x:c>
      <x:c r="F363" s="11" t="n">
        <x:f>=HYPERLINK(E363)</x:f>
      </x:c>
    </x:row>
    <x:row r="364" spans="1:6" x14ac:dyDescent="0.25">
      <x:c r="A364" s="1" t="n">
        <x:v>11361</x:v>
      </x:c>
      <x:c r="B364" s="1" t="str">
        <x:v>Management of Plant at the Workplace</x:v>
      </x:c>
      <x:c r="C364" s="1" t="str">
        <x:v>ext</x:v>
      </x:c>
      <x:c r="D364" s="1" t="str">
        <x:v>Guide for managing risks involving heritage plant, March 2013 (Safe Work Australia)</x:v>
      </x:c>
      <x:c r="E364" s="1" t="str">
        <x:v>http://www.safeworkaustralia.gov.au/sites/swa/about/publications/pages/heritage-plant</x:v>
      </x:c>
      <x:c r="F364" s="11" t="n">
        <x:f>=HYPERLINK(E364)</x:f>
      </x:c>
    </x:row>
    <x:row r="365" spans="1:6" x14ac:dyDescent="0.25">
      <x:c r="A365" s="1" t="n">
        <x:v>11359</x:v>
      </x:c>
      <x:c r="B365" s="1" t="str">
        <x:v>Management of Plant at the Workplace</x:v>
      </x:c>
      <x:c r="C365" s="1" t="str">
        <x:v>ext</x:v>
      </x:c>
      <x:c r="D365" s="1" t="str">
        <x:v>General guide for managing the risks of machinery in rural workplaces, January 2016 (Safe Work Australia)</x:v>
      </x:c>
      <x:c r="E365" s="1" t="str">
        <x:v>http://www.safeworkaustralia.gov.au/sites/swa/about/publications/pages/guide-for-managing-the-risks-of-machinery-in-rural-workplaces</x:v>
      </x:c>
      <x:c r="F365" s="11" t="n">
        <x:f>=HYPERLINK(E365)</x:f>
      </x:c>
    </x:row>
    <x:row r="366" spans="1:6" x14ac:dyDescent="0.25">
      <x:c r="A366" s="1" t="n">
        <x:v>11358</x:v>
      </x:c>
      <x:c r="B366" s="1" t="str">
        <x:v>Management of Plant at the Workplace</x:v>
      </x:c>
      <x:c r="C366" s="1" t="str">
        <x:v>ext</x:v>
      </x:c>
      <x:c r="D366" s="1" t="str">
        <x:v>Model code of practice – Managing risks of plant in the workplace, September 2013 (Safe Work Australia)</x:v>
      </x:c>
      <x:c r="E366" s="1" t="str">
        <x:v>http://www.safeworkaustralia.gov.au/sites/swa/about/publications/pages/managing-the-risks-of-plant-in-the-workplace</x:v>
      </x:c>
      <x:c r="F366" s="11" t="n">
        <x:f>=HYPERLINK(E366)</x:f>
      </x:c>
    </x:row>
    <x:row r="367" spans="1:6" x14ac:dyDescent="0.25">
      <x:c r="A367" s="1" t="n">
        <x:v>11360</x:v>
      </x:c>
      <x:c r="B367" s="1" t="str">
        <x:v>Management of Plant at the Workplace</x:v>
      </x:c>
      <x:c r="C367" s="1" t="str">
        <x:v>ext</x:v>
      </x:c>
      <x:c r="D367" s="1" t="str">
        <x:v>Quad bikes in rural workplaces (Safe Work Australia information sheet, January 2016)</x:v>
      </x:c>
      <x:c r="E367" s="1" t="str">
        <x:v>http://www.safeworkaustralia.gov.au/sites/swa/about/publications/pages/quad-bikes-in-rural-workplaces-information-sheet</x:v>
      </x:c>
      <x:c r="F367" s="11" t="n">
        <x:f>=HYPERLINK(E367)</x:f>
      </x:c>
    </x:row>
    <x:row r="368" spans="1:6" x14ac:dyDescent="0.25">
      <x:c r="A368" s="1" t="n">
        <x:v>11415</x:v>
      </x:c>
      <x:c r="B368" s="1" t="str">
        <x:v>Control Measures for Amusement Devices and Passenger Ropeways</x:v>
      </x:c>
      <x:c r="C368" s="1" t="str">
        <x:v>ext</x:v>
      </x:c>
      <x:c r="D368" s="1" t="str">
        <x:v>Model code of practice – Managing risks of plant in the workplace, September 2013 (Safe Work Australia)</x:v>
      </x:c>
      <x:c r="E368" s="1" t="str">
        <x:v>http://www.safeworkaustralia.gov.au/sites/swa/about/publications/pages/managing-the-risks-of-plant-in-the-workplace</x:v>
      </x:c>
      <x:c r="F368" s="11" t="n">
        <x:f>=HYPERLINK(E368)</x:f>
      </x:c>
    </x:row>
    <x:row r="369" spans="1:6" x14ac:dyDescent="0.25">
      <x:c r="A369" s="1" t="n">
        <x:v>11416</x:v>
      </x:c>
      <x:c r="B369" s="1" t="str">
        <x:v>Control Measures for Amusement Devices and Passenger Ropeways</x:v>
      </x:c>
      <x:c r="C369" s="1" t="str">
        <x:v>ext</x:v>
      </x:c>
      <x:c r="D369" s="1" t="str">
        <x:v>Workplace amusement devices guidance material (Safe Work Australia, July and December 2014)</x:v>
      </x:c>
      <x:c r="E369" s="1" t="str">
        <x:v>http://www.safeworkaustralia.gov.au/sites/swa/about/publications/pages/guidance-amusement-devices</x:v>
      </x:c>
      <x:c r="F369" s="11" t="n">
        <x:f>=HYPERLINK(E369)</x:f>
      </x:c>
    </x:row>
    <x:row r="370" spans="1:6" x14ac:dyDescent="0.25">
      <x:c r="A370" s="1" t="n">
        <x:v>11277</x:v>
      </x:c>
      <x:c r="B370" s="1" t="str">
        <x:v>Installing, Constructing or Commissioning Plant or Structures</x:v>
      </x:c>
      <x:c r="C370" s="1" t="str">
        <x:v>ext</x:v>
      </x:c>
      <x:c r="D370" s="1" t="str">
        <x:v>Model code of practice – How to manage work health and safety risks, December 2011 (Safe Work Australia)</x:v>
      </x:c>
      <x:c r="E370" s="1" t="str">
        <x:v>http://www.safeworkaustralia.gov.au/sites/swa/about/publications/pages/manage-whs-risks-cop</x:v>
      </x:c>
      <x:c r="F370" s="11" t="n">
        <x:f>=HYPERLINK(E370)</x:f>
      </x:c>
    </x:row>
    <x:row r="371" spans="1:6" x14ac:dyDescent="0.25">
      <x:c r="A371" s="1" t="n">
        <x:v>13720</x:v>
      </x:c>
      <x:c r="B371" s="1" t="str">
        <x:v>Installing, Constructing or Commissioning Plant or Structures</x:v>
      </x:c>
      <x:c r="C371" s="1" t="str">
        <x:v>doc</x:v>
      </x:c>
      <x:c r="D371" s="1" t="str">
        <x:v>18.30 WHS plant and structures - installation, construction or commissioning checklist.docx</x:v>
      </x:c>
      <x:c r="E371" s="1" t="str">
        <x:v>https://compliance.store.lexisnexis.com.au/rest/api/v1.1/?a=13720</x:v>
      </x:c>
      <x:c r="F371" s="11" t="n">
        <x:f>=HYPERLINK(E371)</x:f>
      </x:c>
    </x:row>
    <x:row r="372" spans="1:6" x14ac:dyDescent="0.25">
      <x:c r="A372" s="1" t="n">
        <x:v>11278</x:v>
      </x:c>
      <x:c r="B372" s="1" t="str">
        <x:v>Installing, Constructing or Commissioning Plant or Structures</x:v>
      </x:c>
      <x:c r="C372" s="1" t="str">
        <x:v>ext</x:v>
      </x:c>
      <x:c r="D372" s="1" t="str">
        <x:v>How to determine what is reasonably practicable to meet a health and safety duty, May 2013 (Safe Work Australia guide)</x:v>
      </x:c>
      <x:c r="E372" s="1" t="str">
        <x:v>http://www.safeworkaustralia.gov.au/sites/swa/about/publications/pages/guide-reasonably-practicable</x:v>
      </x:c>
      <x:c r="F372" s="11" t="n">
        <x:f>=HYPERLINK(E372)</x:f>
      </x:c>
    </x:row>
    <x:row r="373" spans="1:6" x14ac:dyDescent="0.25">
      <x:c r="A373" s="1" t="n">
        <x:v>11279</x:v>
      </x:c>
      <x:c r="B373" s="1" t="str">
        <x:v>Installing, Constructing or Commissioning Plant or Structures</x:v>
      </x:c>
      <x:c r="C373" s="1" t="str">
        <x:v>ext</x:v>
      </x:c>
      <x:c r="D373" s="1" t="str">
        <x:v>Interpretive guideline—model Work Health and Safety Act—the meaning of ‘reasonably practicable’, September 2011 (Safe Work Australia)</x:v>
      </x:c>
      <x:c r="E373" s="1" t="str">
        <x:v>http://www.safeworkaustralia.gov.au/sites/swa/about/publications/pages/interpretive-guideline-reasonably-practicable</x:v>
      </x:c>
      <x:c r="F373" s="11" t="n">
        <x:f>=HYPERLINK(E373)</x:f>
      </x:c>
    </x:row>
    <x:row r="374" spans="1:6" x14ac:dyDescent="0.25">
      <x:c r="A374" s="1" t="n">
        <x:v>11276</x:v>
      </x:c>
      <x:c r="B374" s="1" t="str">
        <x:v>Installing, Constructing or Commissioning Plant or Structures</x:v>
      </x:c>
      <x:c r="C374" s="1" t="str">
        <x:v>ext</x:v>
      </x:c>
      <x:c r="D374" s="1" t="str">
        <x:v>Model code of practice – Managing risks of plant in the workplace, September 2013 (Safe Work Australia)</x:v>
      </x:c>
      <x:c r="E374" s="1" t="str">
        <x:v>http://www.safeworkaustralia.gov.au/sites/swa/about/publications/pages/managing-the-risks-of-plant-in-the-workplace</x:v>
      </x:c>
      <x:c r="F374" s="11" t="n">
        <x:f>=HYPERLINK(E374)</x:f>
      </x:c>
    </x:row>
    <x:row r="375" spans="1:6" x14ac:dyDescent="0.25">
      <x:c r="A375" s="1" t="n">
        <x:v>11287</x:v>
      </x:c>
      <x:c r="B375" s="1" t="str">
        <x:v>Specific Duties of Plant Designers</x:v>
      </x:c>
      <x:c r="C375" s="1" t="str">
        <x:v>ext</x:v>
      </x:c>
      <x:c r="D375" s="1" t="str">
        <x:v>Guide for safe design of plant, July 2014 (Safe Work Australia)</x:v>
      </x:c>
      <x:c r="E375" s="1" t="str">
        <x:v>http://www.safeworkaustralia.gov.au/sites/swa/about/publications/pages/guidance-safe-design-manufacture-import-supply-plant</x:v>
      </x:c>
      <x:c r="F375" s="11" t="n">
        <x:f>=HYPERLINK(E375)</x:f>
      </x:c>
    </x:row>
    <x:row r="376" spans="1:6" x14ac:dyDescent="0.25">
      <x:c r="A376" s="1" t="n">
        <x:v>11288</x:v>
      </x:c>
      <x:c r="B376" s="1" t="str">
        <x:v>Specific Duties of Plant Designers</x:v>
      </x:c>
      <x:c r="C376" s="1" t="str">
        <x:v>ext</x:v>
      </x:c>
      <x:c r="D376" s="1" t="str">
        <x:v>Model code of practice – Safe design of structures, July 2012 (Safe Work Australia)</x:v>
      </x:c>
      <x:c r="E376" s="1" t="str">
        <x:v>http://www.safeworkaustralia.gov.au/sites/swa/about/publications/pages/safe-design-of-structures</x:v>
      </x:c>
      <x:c r="F376" s="11" t="n">
        <x:f>=HYPERLINK(E376)</x:f>
      </x:c>
    </x:row>
    <x:row r="377" spans="1:6" x14ac:dyDescent="0.25">
      <x:c r="A377" s="1" t="n">
        <x:v>11289</x:v>
      </x:c>
      <x:c r="B377" s="1" t="str">
        <x:v>Specific Duties of Plant Designers</x:v>
      </x:c>
      <x:c r="C377" s="1" t="str">
        <x:v>ext</x:v>
      </x:c>
      <x:c r="D377" s="1" t="str">
        <x:v>Model code of practice – Managing risks of plant in the workplace, September 2013 (Safe Work Australia)</x:v>
      </x:c>
      <x:c r="E377" s="1" t="str">
        <x:v>http://www.safeworkaustralia.gov.au/sites/swa/about/publications/pages/managing-the-risks-of-plant-in-the-workplace</x:v>
      </x:c>
      <x:c r="F377" s="11" t="n">
        <x:f>=HYPERLINK(E377)</x:f>
      </x:c>
    </x:row>
    <x:row r="378" spans="1:6" x14ac:dyDescent="0.25">
      <x:c r="A378" s="1" t="n">
        <x:v>11290</x:v>
      </x:c>
      <x:c r="B378" s="1" t="str">
        <x:v>Specific Duties of Plant Designers</x:v>
      </x:c>
      <x:c r="C378" s="1" t="str">
        <x:v>ext</x:v>
      </x:c>
      <x:c r="D378" s="1" t="str">
        <x:v>Plant designers, manufacturers, importers and suppliers (Safe Work Australia information sheet)</x:v>
      </x:c>
      <x:c r="E378" s="1" t="str">
        <x:v>http://www.safeworkaustralia.gov.au/sites/swa/about/publications/pages/guidance-safe-design-manufacture-import-supply-plant</x:v>
      </x:c>
      <x:c r="F378" s="11" t="n">
        <x:f>=HYPERLINK(E378)</x:f>
      </x:c>
    </x:row>
    <x:row r="379" spans="1:6" x14ac:dyDescent="0.25">
      <x:c r="A379" s="1" t="n">
        <x:v>11261</x:v>
      </x:c>
      <x:c r="B379" s="1" t="str">
        <x:v>Design, Manufacture, Import and Supply of Plant or Structures</x:v>
      </x:c>
      <x:c r="C379" s="1" t="str">
        <x:v>ext</x:v>
      </x:c>
      <x:c r="D379" s="1" t="str">
        <x:v>Interpretive guideline—model Work Health and Safety Act—the meaning of ‘reasonably practicable’, September 2011 (Safe Work Australia)</x:v>
      </x:c>
      <x:c r="E379" s="1" t="str">
        <x:v>http://www.safeworkaustralia.gov.au/sites/swa/about/publications/pages/interpretive-guideline-reasonably-practicable</x:v>
      </x:c>
      <x:c r="F379" s="11" t="n">
        <x:f>=HYPERLINK(E379)</x:f>
      </x:c>
    </x:row>
    <x:row r="380" spans="1:6" x14ac:dyDescent="0.25">
      <x:c r="A380" s="1" t="n">
        <x:v>11255</x:v>
      </x:c>
      <x:c r="B380" s="1" t="str">
        <x:v>Design, Manufacture, Import and Supply of Plant or Structures</x:v>
      </x:c>
      <x:c r="C380" s="1" t="str">
        <x:v>ext</x:v>
      </x:c>
      <x:c r="D380" s="1" t="str">
        <x:v>Model code of practice – Safe design of structures, July 2012 (Safe Work Australia)</x:v>
      </x:c>
      <x:c r="E380" s="1" t="str">
        <x:v>http://www.safeworkaustralia.gov.au/sites/swa/about/publications/pages/safe-design-of-structures</x:v>
      </x:c>
      <x:c r="F380" s="11" t="n">
        <x:f>=HYPERLINK(E380)</x:f>
      </x:c>
    </x:row>
    <x:row r="381" spans="1:6" x14ac:dyDescent="0.25">
      <x:c r="A381" s="1" t="n">
        <x:v>11262</x:v>
      </x:c>
      <x:c r="B381" s="1" t="str">
        <x:v>Design, Manufacture, Import and Supply of Plant or Structures</x:v>
      </x:c>
      <x:c r="C381" s="1" t="str">
        <x:v>ext</x:v>
      </x:c>
      <x:c r="D381" s="1" t="str">
        <x:v>Plant designers, manufacturers, importers and suppliers (Safe Work Australia information sheet)</x:v>
      </x:c>
      <x:c r="E381" s="1" t="str">
        <x:v>http://www.safeworkaustralia.gov.au/sites/swa/about/publications/pages/guidance-safe-design-manufacture-import-supply-plant</x:v>
      </x:c>
      <x:c r="F381" s="11" t="n">
        <x:f>=HYPERLINK(E381)</x:f>
      </x:c>
    </x:row>
    <x:row r="382" spans="1:6" x14ac:dyDescent="0.25">
      <x:c r="A382" s="1" t="n">
        <x:v>11256</x:v>
      </x:c>
      <x:c r="B382" s="1" t="str">
        <x:v>Design, Manufacture, Import and Supply of Plant or Structures</x:v>
      </x:c>
      <x:c r="C382" s="1" t="str">
        <x:v>ext</x:v>
      </x:c>
      <x:c r="D382" s="1" t="str">
        <x:v>Model code of practice – Managing risks of plant in the workplace, September 2013 (Safe Work Australia)</x:v>
      </x:c>
      <x:c r="E382" s="1" t="str">
        <x:v>http://www.safeworkaustralia.gov.au/sites/swa/about/publications/pages/managing-the-risks-of-plant-in-the-workplace</x:v>
      </x:c>
      <x:c r="F382" s="11" t="n">
        <x:f>=HYPERLINK(E382)</x:f>
      </x:c>
    </x:row>
    <x:row r="383" spans="1:6" x14ac:dyDescent="0.25">
      <x:c r="A383" s="1" t="n">
        <x:v>11258</x:v>
      </x:c>
      <x:c r="B383" s="1" t="str">
        <x:v>Design, Manufacture, Import and Supply of Plant or Structures</x:v>
      </x:c>
      <x:c r="C383" s="1" t="str">
        <x:v>ext</x:v>
      </x:c>
      <x:c r="D383" s="1" t="str">
        <x:v>Guide for importing and supplying safe plant, July 2014 (Safe Work Australia)</x:v>
      </x:c>
      <x:c r="E383" s="1" t="str">
        <x:v>http://www.safeworkaustralia.gov.au/sites/swa/about/publications/pages/guidance-safe-design-manufacture-import-supply-plant</x:v>
      </x:c>
      <x:c r="F383" s="11" t="n">
        <x:f>=HYPERLINK(E383)</x:f>
      </x:c>
    </x:row>
    <x:row r="384" spans="1:6" x14ac:dyDescent="0.25">
      <x:c r="A384" s="1" t="n">
        <x:v>11257</x:v>
      </x:c>
      <x:c r="B384" s="1" t="str">
        <x:v>Design, Manufacture, Import and Supply of Plant or Structures</x:v>
      </x:c>
      <x:c r="C384" s="1" t="str">
        <x:v>ext</x:v>
      </x:c>
      <x:c r="D384" s="1" t="str">
        <x:v>Model code of practice – How to manage work health and safety risks, December 2011 (Safe Work Australia)</x:v>
      </x:c>
      <x:c r="E384" s="1" t="str">
        <x:v>http://www.safeworkaustralia.gov.au/sites/swa/about/publications/pages/manage-whs-risks-cop</x:v>
      </x:c>
      <x:c r="F384" s="11" t="n">
        <x:f>=HYPERLINK(E384)</x:f>
      </x:c>
    </x:row>
    <x:row r="385" spans="1:6" x14ac:dyDescent="0.25">
      <x:c r="A385" s="1" t="n">
        <x:v>11260</x:v>
      </x:c>
      <x:c r="B385" s="1" t="str">
        <x:v>Design, Manufacture, Import and Supply of Plant or Structures</x:v>
      </x:c>
      <x:c r="C385" s="1" t="str">
        <x:v>ext</x:v>
      </x:c>
      <x:c r="D385" s="1" t="str">
        <x:v>How to determine what is reasonably practicable to meet a health and safety duty, May 2013 (Safe Work Australia guide)</x:v>
      </x:c>
      <x:c r="E385" s="1" t="str">
        <x:v>http://www.safeworkaustralia.gov.au/sites/swa/about/publications/pages/guide-reasonably-practicable</x:v>
      </x:c>
      <x:c r="F385" s="11" t="n">
        <x:f>=HYPERLINK(E385)</x:f>
      </x:c>
    </x:row>
    <x:row r="386" spans="1:6" x14ac:dyDescent="0.25">
      <x:c r="A386" s="1" t="n">
        <x:v>11259</x:v>
      </x:c>
      <x:c r="B386" s="1" t="str">
        <x:v>Design, Manufacture, Import and Supply of Plant or Structures</x:v>
      </x:c>
      <x:c r="C386" s="1" t="str">
        <x:v>ext</x:v>
      </x:c>
      <x:c r="D386" s="1" t="str">
        <x:v>Guide for safe design of plant, July 2014 (Safe Work Australia)</x:v>
      </x:c>
      <x:c r="E386" s="1" t="str">
        <x:v>http://www.safeworkaustralia.gov.au/sites/swa/about/publications/pages/guidance-safe-design-manufacture-import-supply-plant</x:v>
      </x:c>
      <x:c r="F386" s="11" t="n">
        <x:f>=HYPERLINK(E386)</x:f>
      </x:c>
    </x:row>
    <x:row r="387" spans="1:6" x14ac:dyDescent="0.25">
      <x:c r="A387" s="1" t="n">
        <x:v>11335</x:v>
      </x:c>
      <x:c r="B387" s="1" t="str">
        <x:v>Specific Duties of Plant Suppliers</x:v>
      </x:c>
      <x:c r="C387" s="1" t="str">
        <x:v>ext</x:v>
      </x:c>
      <x:c r="D387" s="1" t="str">
        <x:v>Plant designers, manufacturers, importers and suppliers (Safe Work Australia information sheet)</x:v>
      </x:c>
      <x:c r="E387" s="1" t="str">
        <x:v>http://www.safeworkaustralia.gov.au/sites/swa/about/publications/pages/guidance-safe-design-manufacture-import-supply-plant</x:v>
      </x:c>
      <x:c r="F387" s="11" t="n">
        <x:f>=HYPERLINK(E387)</x:f>
      </x:c>
    </x:row>
    <x:row r="388" spans="1:6" x14ac:dyDescent="0.25">
      <x:c r="A388" s="1" t="n">
        <x:v>11334</x:v>
      </x:c>
      <x:c r="B388" s="1" t="str">
        <x:v>Specific Duties of Plant Suppliers</x:v>
      </x:c>
      <x:c r="C388" s="1" t="str">
        <x:v>ext</x:v>
      </x:c>
      <x:c r="D388" s="1" t="str">
        <x:v>Guide for importing and supplying safe plant, July 2014 (Safe Work Australia)</x:v>
      </x:c>
      <x:c r="E388" s="1" t="str">
        <x:v>http://www.safeworkaustralia.gov.au/sites/swa/about/publications/pages/guidance-safe-design-manufacture-import-supply-plant</x:v>
      </x:c>
      <x:c r="F388" s="11" t="n">
        <x:f>=HYPERLINK(E388)</x:f>
      </x:c>
    </x:row>
    <x:row r="389" spans="1:6" x14ac:dyDescent="0.25">
      <x:c r="A389" s="1" t="n">
        <x:v>11333</x:v>
      </x:c>
      <x:c r="B389" s="1" t="str">
        <x:v>Specific Duties of Plant Suppliers</x:v>
      </x:c>
      <x:c r="C389" s="1" t="str">
        <x:v>ext</x:v>
      </x:c>
      <x:c r="D389" s="1" t="str">
        <x:v>Model code of practice – Managing risks of plant in the workplace, September 2013 (Safe Work Australia)</x:v>
      </x:c>
      <x:c r="E389" s="1" t="str">
        <x:v>http://www.safeworkaustralia.gov.au/sites/swa/about/publications/pages/managing-the-risks-of-plant-in-the-workplace</x:v>
      </x:c>
      <x:c r="F389" s="11" t="n">
        <x:f>=HYPERLINK(E389)</x:f>
      </x:c>
    </x:row>
    <x:row r="390" spans="1:6" x14ac:dyDescent="0.25">
      <x:c r="A390" s="1" t="n">
        <x:v>11403</x:v>
      </x:c>
      <x:c r="B390" s="1" t="str">
        <x:v>Control Measures for Registered Plant, Including Cranes and Lifts</x:v>
      </x:c>
      <x:c r="C390" s="1" t="str">
        <x:v>ext</x:v>
      </x:c>
      <x:c r="D390" s="1" t="str">
        <x:v>Cranes guidance material (Safe Work Australia, December 2015)</x:v>
      </x:c>
      <x:c r="E390" s="1" t="str">
        <x:v>http://www.safeworkaustralia.gov.au/sites/swa/about/publications/pages/guidance-cranes</x:v>
      </x:c>
      <x:c r="F390" s="11" t="n">
        <x:f>=HYPERLINK(E390)</x:f>
      </x:c>
    </x:row>
    <x:row r="391" spans="1:6" x14ac:dyDescent="0.25">
      <x:c r="A391" s="1" t="n">
        <x:v>11402</x:v>
      </x:c>
      <x:c r="B391" s="1" t="str">
        <x:v>Control Measures for Registered Plant, Including Cranes and Lifts</x:v>
      </x:c>
      <x:c r="C391" s="1" t="str">
        <x:v>ext</x:v>
      </x:c>
      <x:c r="D391" s="1" t="str">
        <x:v>Model code of practice – Managing risks of plant in the workplace, September 2013 (Safe Work Australia)</x:v>
      </x:c>
      <x:c r="E391" s="1" t="str">
        <x:v>http://www.safeworkaustralia.gov.au/sites/swa/about/publications/pages/managing-the-risks-of-plant-in-the-workplace</x:v>
      </x:c>
      <x:c r="F391" s="11" t="n">
        <x:f>=HYPERLINK(E391)</x:f>
      </x:c>
    </x:row>
    <x:row r="392" spans="1:6" x14ac:dyDescent="0.25">
      <x:c r="A392" s="1" t="n">
        <x:v>11374</x:v>
      </x:c>
      <x:c r="B392" s="1" t="str">
        <x:v>Additional Control Measures for Certain Plant and Scaffolds</x:v>
      </x:c>
      <x:c r="C392" s="1" t="str">
        <x:v>ext</x:v>
      </x:c>
      <x:c r="D392" s="1" t="str">
        <x:v>Split rims and compressed air guidance material (Safe Work Australia, December 2015)</x:v>
      </x:c>
      <x:c r="E392" s="1" t="str">
        <x:v>http://www.safeworkaustralia.gov.au/sites/swa/about/publications/pages/guidance-split-rims-and-compressed-air</x:v>
      </x:c>
      <x:c r="F392" s="11" t="n">
        <x:f>=HYPERLINK(E392)</x:f>
      </x:c>
    </x:row>
    <x:row r="393" spans="1:6" x14ac:dyDescent="0.25">
      <x:c r="A393" s="1" t="n">
        <x:v>11376</x:v>
      </x:c>
      <x:c r="B393" s="1" t="str">
        <x:v>Additional Control Measures for Certain Plant and Scaffolds</x:v>
      </x:c>
      <x:c r="C393" s="1" t="str">
        <x:v>ext</x:v>
      </x:c>
      <x:c r="D393" s="1" t="str">
        <x:v>Cranes guidance material (Safe Work Australia, December 2015)</x:v>
      </x:c>
      <x:c r="E393" s="1" t="str">
        <x:v>http://www.safeworkaustralia.gov.au/sites/swa/about/publications/pages/guidance-cranes</x:v>
      </x:c>
      <x:c r="F393" s="11" t="n">
        <x:f>=HYPERLINK(E393)</x:f>
      </x:c>
    </x:row>
    <x:row r="394" spans="1:6" x14ac:dyDescent="0.25">
      <x:c r="A394" s="1" t="n">
        <x:v>11371</x:v>
      </x:c>
      <x:c r="B394" s="1" t="str">
        <x:v>Additional Control Measures for Certain Plant and Scaffolds</x:v>
      </x:c>
      <x:c r="C394" s="1" t="str">
        <x:v>ext</x:v>
      </x:c>
      <x:c r="D394" s="1" t="str">
        <x:v>Model code of practice – Managing risks of plant in the workplace, September 2013 (Safe Work Australia)</x:v>
      </x:c>
      <x:c r="E394" s="1" t="str">
        <x:v>http://www.safeworkaustralia.gov.au/sites/swa/about/publications/pages/managing-the-risks-of-plant-in-the-workplace</x:v>
      </x:c>
      <x:c r="F394" s="11" t="n">
        <x:f>=HYPERLINK(E394)</x:f>
      </x:c>
    </x:row>
    <x:row r="395" spans="1:6" x14ac:dyDescent="0.25">
      <x:c r="A395" s="1" t="n">
        <x:v>11375</x:v>
      </x:c>
      <x:c r="B395" s="1" t="str">
        <x:v>Additional Control Measures for Certain Plant and Scaffolds</x:v>
      </x:c>
      <x:c r="C395" s="1" t="str">
        <x:v>ext</x:v>
      </x:c>
      <x:c r="D395" s="1" t="str">
        <x:v>Scaffolds and scaffolding work guidance material (Safe Work Australia, July 2014)</x:v>
      </x:c>
      <x:c r="E395" s="1" t="str">
        <x:v>http://www.safeworkaustralia.gov.au/sites/swa/about/publications/pages/guidance-scaffolding</x:v>
      </x:c>
      <x:c r="F395" s="11" t="n">
        <x:f>=HYPERLINK(E395)</x:f>
      </x:c>
    </x:row>
    <x:row r="396" spans="1:6" x14ac:dyDescent="0.25">
      <x:c r="A396" s="1" t="n">
        <x:v>11373</x:v>
      </x:c>
      <x:c r="B396" s="1" t="str">
        <x:v>Additional Control Measures for Certain Plant and Scaffolds</x:v>
      </x:c>
      <x:c r="C396" s="1" t="str">
        <x:v>ext</x:v>
      </x:c>
      <x:c r="D396" s="1" t="str">
        <x:v>Laser classifications and potential hazards (Safe Work Australia information sheet, May 2012)</x:v>
      </x:c>
      <x:c r="E396" s="1" t="str">
        <x:v>http://www.safeworkaustralia.gov.au/sites/swa/about/publications/pages/laser-classifications-fact-sheet</x:v>
      </x:c>
      <x:c r="F396" s="11" t="n">
        <x:f>=HYPERLINK(E396)</x:f>
      </x:c>
    </x:row>
    <x:row r="397" spans="1:6" x14ac:dyDescent="0.25">
      <x:c r="A397" s="1" t="n">
        <x:v>11372</x:v>
      </x:c>
      <x:c r="B397" s="1" t="str">
        <x:v>Additional Control Measures for Certain Plant and Scaffolds</x:v>
      </x:c>
      <x:c r="C397" s="1" t="str">
        <x:v>ext</x:v>
      </x:c>
      <x:c r="D397" s="1" t="str">
        <x:v>Industrial lift trucks guidance material (Safe Work Australia, July 2014)</x:v>
      </x:c>
      <x:c r="E397" s="1" t="str">
        <x:v>http://www.safeworkaustralia.gov.au/sites/swa/about/publications/pages/guidance-industrial-lift-trucks</x:v>
      </x:c>
      <x:c r="F397" s="11" t="n">
        <x:f>=HYPERLINK(E397)</x:f>
      </x:c>
    </x:row>
    <x:row r="398" spans="1:6" x14ac:dyDescent="0.25">
      <x:c r="A398" s="1" t="n">
        <x:v>11302</x:v>
      </x:c>
      <x:c r="B398" s="1" t="str">
        <x:v>Specific Duties of Plant Manufacturers</x:v>
      </x:c>
      <x:c r="C398" s="1" t="str">
        <x:v>ext</x:v>
      </x:c>
      <x:c r="D398" s="1" t="str">
        <x:v>Model code of practice – Managing risks of plant in the workplace, September 2013 (Safe Work Australia)</x:v>
      </x:c>
      <x:c r="E398" s="1" t="str">
        <x:v>http://www.safeworkaustralia.gov.au/sites/swa/about/publications/pages/managing-the-risks-of-plant-in-the-workplace</x:v>
      </x:c>
      <x:c r="F398" s="11" t="n">
        <x:f>=HYPERLINK(E398)</x:f>
      </x:c>
    </x:row>
    <x:row r="399" spans="1:6" x14ac:dyDescent="0.25">
      <x:c r="A399" s="1" t="n">
        <x:v>11304</x:v>
      </x:c>
      <x:c r="B399" s="1" t="str">
        <x:v>Specific Duties of Plant Manufacturers</x:v>
      </x:c>
      <x:c r="C399" s="1" t="str">
        <x:v>ext</x:v>
      </x:c>
      <x:c r="D399" s="1" t="str">
        <x:v>Plant designers, manufacturers, importers and suppliers (Safe Work Australia information sheet)</x:v>
      </x:c>
      <x:c r="E399" s="1" t="str">
        <x:v>http://www.safeworkaustralia.gov.au/sites/swa/about/publications/pages/guidance-safe-design-manufacture-import-supply-plant</x:v>
      </x:c>
      <x:c r="F399" s="11" t="n">
        <x:f>=HYPERLINK(E399)</x:f>
      </x:c>
    </x:row>
    <x:row r="400" spans="1:6" x14ac:dyDescent="0.25">
      <x:c r="A400" s="1" t="n">
        <x:v>11303</x:v>
      </x:c>
      <x:c r="B400" s="1" t="str">
        <x:v>Specific Duties of Plant Manufacturers</x:v>
      </x:c>
      <x:c r="C400" s="1" t="str">
        <x:v>ext</x:v>
      </x:c>
      <x:c r="D400" s="1" t="str">
        <x:v>Guide for manufacturing safe plant, July 2014 (Safe Work Australia)</x:v>
      </x:c>
      <x:c r="E400" s="1" t="str">
        <x:v>http://www.safeworkaustralia.gov.au/sites/swa/about/publications/pages/guidance-safe-design-manufacture-import-supply-plant</x:v>
      </x:c>
      <x:c r="F400" s="11" t="n">
        <x:f>=HYPERLINK(E400)</x:f>
      </x:c>
    </x:row>
    <x:row r="401" spans="1:6" x14ac:dyDescent="0.25">
      <x:c r="A401" s="1" t="n">
        <x:v>11312</x:v>
      </x:c>
      <x:c r="B401" s="1" t="str">
        <x:v>Specific Duties of Plant Importers</x:v>
      </x:c>
      <x:c r="C401" s="1" t="str">
        <x:v>ext</x:v>
      </x:c>
      <x:c r="D401" s="1" t="str">
        <x:v>Model code of practice – Managing risks of plant in the workplace, September 2013 (Safe Work Australia)</x:v>
      </x:c>
      <x:c r="E401" s="1" t="str">
        <x:v>http://www.safeworkaustralia.gov.au/sites/swa/about/publications/pages/managing-the-risks-of-plant-in-the-workplace</x:v>
      </x:c>
      <x:c r="F401" s="11" t="n">
        <x:f>=HYPERLINK(E401)</x:f>
      </x:c>
    </x:row>
    <x:row r="402" spans="1:6" x14ac:dyDescent="0.25">
      <x:c r="A402" s="1" t="n">
        <x:v>11313</x:v>
      </x:c>
      <x:c r="B402" s="1" t="str">
        <x:v>Specific Duties of Plant Importers</x:v>
      </x:c>
      <x:c r="C402" s="1" t="str">
        <x:v>ext</x:v>
      </x:c>
      <x:c r="D402" s="1" t="str">
        <x:v>Guide for importing and supplying safe plant, July 2014 (Safe Work Australia)</x:v>
      </x:c>
      <x:c r="E402" s="1" t="str">
        <x:v>http://www.safeworkaustralia.gov.au/sites/swa/about/publications/pages/guidance-safe-design-manufacture-import-supply-plant</x:v>
      </x:c>
      <x:c r="F402" s="11" t="n">
        <x:f>=HYPERLINK(E402)</x:f>
      </x:c>
    </x:row>
    <x:row r="403" spans="1:6" x14ac:dyDescent="0.25">
      <x:c r="A403" s="1" t="n">
        <x:v>11314</x:v>
      </x:c>
      <x:c r="B403" s="1" t="str">
        <x:v>Specific Duties of Plant Importers</x:v>
      </x:c>
      <x:c r="C403" s="1" t="str">
        <x:v>ext</x:v>
      </x:c>
      <x:c r="D403" s="1" t="str">
        <x:v>Plant designers, manufacturers, importers and suppliers (Safe Work Australia information sheet)</x:v>
      </x:c>
      <x:c r="E403" s="1" t="str">
        <x:v>http://www.safeworkaustralia.gov.au/sites/swa/about/publications/pages/guidance-safe-design-manufacture-import-supply-plant</x:v>
      </x:c>
      <x:c r="F403" s="11" t="n">
        <x:f>=HYPERLINK(E403)</x:f>
      </x:c>
    </x:row>
    <x:row r="404" spans="1:6" x14ac:dyDescent="0.25">
      <x:c r="A404" s="1" t="n">
        <x:v>11233</x:v>
      </x:c>
      <x:c r="B404" s="1" t="str">
        <x:v>Plant and Structures</x:v>
      </x:c>
      <x:c r="C404" s="1" t="str">
        <x:v>ext</x:v>
      </x:c>
      <x:c r="D404" s="1" t="str">
        <x:v>Model code of practice - Managing risks of plant in the workplace, September 2013 (Safe Work Australia)</x:v>
      </x:c>
      <x:c r="E404" s="1" t="str">
        <x:v>http://www.safeworkaustralia.gov.au/sites/swa/about/publications/pages/managing-the-risks-of-plant-in-the-workplace</x:v>
      </x:c>
      <x:c r="F404" s="11" t="n">
        <x:f>=HYPERLINK(E404)</x:f>
      </x:c>
    </x:row>
    <x:row r="405" spans="1:6" x14ac:dyDescent="0.25">
      <x:c r="A405" s="1" t="n">
        <x:v>11236</x:v>
      </x:c>
      <x:c r="B405" s="1" t="str">
        <x:v>Plant and Structures</x:v>
      </x:c>
      <x:c r="C405" s="1" t="str">
        <x:v>ext</x:v>
      </x:c>
      <x:c r="D405" s="1" t="str">
        <x:v>Model code of practice – Safe design of structures, July 2012 (Safe Work Australia)</x:v>
      </x:c>
      <x:c r="E405" s="1" t="str">
        <x:v>http://www.safeworkaustralia.gov.au/sites/swa/about/publications/pages/safe-design-of-structures</x:v>
      </x:c>
      <x:c r="F405" s="11" t="n">
        <x:f>=HYPERLINK(E405)</x:f>
      </x:c>
    </x:row>
    <x:row r="406" spans="1:6" x14ac:dyDescent="0.25">
      <x:c r="A406" s="1" t="n">
        <x:v>11237</x:v>
      </x:c>
      <x:c r="B406" s="1" t="str">
        <x:v>Plant and Structures</x:v>
      </x:c>
      <x:c r="C406" s="1" t="str">
        <x:v>ext</x:v>
      </x:c>
      <x:c r="D406" s="1" t="str">
        <x:v>Model code of practice - How to determine what is reasonably practicable to meet a health and safety duty, May 2013 (Safe Work Australia)</x:v>
      </x:c>
      <x:c r="E406" s="1" t="str">
        <x:v>http://www.safeworkaustralia.gov.au/sites/swa/about/publications/pages/guide-reasonably-practicable</x:v>
      </x:c>
      <x:c r="F406" s="11" t="n">
        <x:f>=HYPERLINK(E406)</x:f>
      </x:c>
    </x:row>
    <x:row r="407" spans="1:6" x14ac:dyDescent="0.25">
      <x:c r="A407" s="1" t="n">
        <x:v>11238</x:v>
      </x:c>
      <x:c r="B407" s="1" t="str">
        <x:v>Plant and Structures</x:v>
      </x:c>
      <x:c r="C407" s="1" t="str">
        <x:v>ext</x:v>
      </x:c>
      <x:c r="D407" s="1" t="str">
        <x:v>Interpretive guideline—model work health and safety act—the meaning of ‘reasonably practicable’, September 2011 (Safe Work Australia)</x:v>
      </x:c>
      <x:c r="E407" s="1" t="str">
        <x:v>http://www.safeworkaustralia.gov.au/sites/swa/about/publications/pages/interpretive-guideline-reasonably-practicable</x:v>
      </x:c>
      <x:c r="F407" s="11" t="n">
        <x:f>=HYPERLINK(E407)</x:f>
      </x:c>
    </x:row>
    <x:row r="408" spans="1:6" x14ac:dyDescent="0.25">
      <x:c r="A408" s="1" t="n">
        <x:v>11235</x:v>
      </x:c>
      <x:c r="B408" s="1" t="str">
        <x:v>Plant and Structures</x:v>
      </x:c>
      <x:c r="C408" s="1" t="str">
        <x:v>ext</x:v>
      </x:c>
      <x:c r="D408" s="1" t="str">
        <x:v>Model code of practice - How to manage work health and safety risks, December 2011 (Safe Work Australia)</x:v>
      </x:c>
      <x:c r="E408" s="1" t="str">
        <x:v>http://www.safeworkaustralia.gov.au/sites/swa/about/publications/pages/manage-whs-risks-cop</x:v>
      </x:c>
      <x:c r="F408" s="11" t="n">
        <x:f>=HYPERLINK(E408)</x:f>
      </x:c>
    </x:row>
    <x:row r="409" spans="1:6" x14ac:dyDescent="0.25">
      <x:c r="A409" s="1" t="n">
        <x:v>13719</x:v>
      </x:c>
      <x:c r="B409" s="1" t="str">
        <x:v>Plant and Structures</x:v>
      </x:c>
      <x:c r="C409" s="1" t="str">
        <x:v>doc</x:v>
      </x:c>
      <x:c r="D409" s="1" t="str">
        <x:v>18.29 WHS plant and structures - design, manufacture, import, supply checklist.docx</x:v>
      </x:c>
      <x:c r="E409" s="1" t="str">
        <x:v>https://compliance.store.lexisnexis.com.au/rest/api/v1.1/?a=13719</x:v>
      </x:c>
      <x:c r="F409" s="11" t="n">
        <x:f>=HYPERLINK(E409)</x:f>
      </x:c>
    </x:row>
    <x:row r="410" spans="1:6" x14ac:dyDescent="0.25">
      <x:c r="A410" s="1" t="n">
        <x:v>11410</x:v>
      </x:c>
      <x:c r="B410" s="1" t="str">
        <x:v>Confined Spaces</x:v>
      </x:c>
      <x:c r="C410" s="1" t="str">
        <x:v>ext</x:v>
      </x:c>
      <x:c r="D410" s="1" t="str">
        <x:v>Model code of practice – Confined Spaces, February 2014 (Safe Work Australia)</x:v>
      </x:c>
      <x:c r="E410" s="1" t="str">
        <x:v>http://www.safeworkaustralia.gov.au/sites/swa/about/publications/pages/confined-spaces-cop</x:v>
      </x:c>
      <x:c r="F410" s="11" t="n">
        <x:f>=HYPERLINK(E410)</x:f>
      </x:c>
    </x:row>
    <x:row r="411" spans="1:6" x14ac:dyDescent="0.25">
      <x:c r="A411" s="1" t="n">
        <x:v>11411</x:v>
      </x:c>
      <x:c r="B411" s="1" t="str">
        <x:v>Confined Spaces</x:v>
      </x:c>
      <x:c r="C411" s="1" t="str">
        <x:v>ext</x:v>
      </x:c>
      <x:c r="D411" s="1" t="str">
        <x:v>Emergency Plans fact sheet, February 2012 (Safe Work Australia)</x:v>
      </x:c>
      <x:c r="E411" s="1" t="str">
        <x:v>http://www.safeworkaustralia.gov.au/sites/swa/about/publications/pages/emergency-plans-fact-sheet</x:v>
      </x:c>
      <x:c r="F411" s="11" t="n">
        <x:f>=HYPERLINK(E411)</x:f>
      </x:c>
    </x:row>
    <x:row r="412" spans="1:6" x14ac:dyDescent="0.25">
      <x:c r="A412" s="1" t="n">
        <x:v>11512</x:v>
      </x:c>
      <x:c r="B412" s="1" t="str">
        <x:v>Demolition Work</x:v>
      </x:c>
      <x:c r="C412" s="1" t="str">
        <x:v>ext</x:v>
      </x:c>
      <x:c r="D412" s="1" t="str">
        <x:v>Model code of practice – Construction work, November 2013 (Safe Work Australia)</x:v>
      </x:c>
      <x:c r="E412" s="1" t="str">
        <x:v>http://www.safeworkaustralia.gov.au/sites/swa/about/publications/pages/construction-work</x:v>
      </x:c>
      <x:c r="F412" s="11" t="n">
        <x:f>=HYPERLINK(E412)</x:f>
      </x:c>
    </x:row>
    <x:row r="413" spans="1:6" x14ac:dyDescent="0.25">
      <x:c r="A413" s="1" t="n">
        <x:v>11517</x:v>
      </x:c>
      <x:c r="B413" s="1" t="str">
        <x:v>Demolition Work</x:v>
      </x:c>
      <x:c r="C413" s="1" t="str">
        <x:v>ext</x:v>
      </x:c>
      <x:c r="D413" s="1" t="str">
        <x:v>SafeWork SA, ‘Notification of demolition work’</x:v>
      </x:c>
      <x:c r="E413" s="1" t="str">
        <x:v>http://www.safework.sa.gov.au/show_page.jsp?id=112279#.VqHfeo9OJZU</x:v>
      </x:c>
      <x:c r="F413" s="11" t="n">
        <x:f>=HYPERLINK(E413)</x:f>
      </x:c>
    </x:row>
    <x:row r="414" spans="1:6" x14ac:dyDescent="0.25">
      <x:c r="A414" s="1" t="n">
        <x:v>11516</x:v>
      </x:c>
      <x:c r="B414" s="1" t="str">
        <x:v>Demolition Work</x:v>
      </x:c>
      <x:c r="C414" s="1" t="str">
        <x:v>ext</x:v>
      </x:c>
      <x:c r="D414" s="1" t="str">
        <x:v>WorkCover Queensland, ‘Asbestos and demolition notifications’</x:v>
      </x:c>
      <x:c r="E414" s="1" t="str">
        <x:v>http://www.worksafe.qld.gov.au/injury-prevention-safety/asbestos/asbestos-demolition-notifications</x:v>
      </x:c>
      <x:c r="F414" s="11" t="n">
        <x:f>=HYPERLINK(E414)</x:f>
      </x:c>
    </x:row>
    <x:row r="415" spans="1:6" x14ac:dyDescent="0.25">
      <x:c r="A415" s="1" t="n">
        <x:v>11519</x:v>
      </x:c>
      <x:c r="B415" s="1" t="str">
        <x:v>Demolition Work</x:v>
      </x:c>
      <x:c r="C415" s="1" t="str">
        <x:v>ext</x:v>
      </x:c>
      <x:c r="D415" s="1" t="str">
        <x:v>NT WorkSafe, ‘Forms and resources’</x:v>
      </x:c>
      <x:c r="E415" s="1" t="str">
        <x:v>http://www.worksafe.nt.gov.au/forms-resources/Pages/default.aspx</x:v>
      </x:c>
      <x:c r="F415" s="11" t="n">
        <x:f>=HYPERLINK(E415)</x:f>
      </x:c>
    </x:row>
    <x:row r="416" spans="1:6" x14ac:dyDescent="0.25">
      <x:c r="A416" s="1" t="n">
        <x:v>11515</x:v>
      </x:c>
      <x:c r="B416" s="1" t="str">
        <x:v>Demolition Work</x:v>
      </x:c>
      <x:c r="C416" s="1" t="str">
        <x:v>ext</x:v>
      </x:c>
      <x:c r="D416" s="1" t="str">
        <x:v>WorkCover NSW, ‘Demolition’</x:v>
      </x:c>
      <x:c r="E416" s="1" t="str">
        <x:v>http://www.workcover.nsw.gov.au/health-and-safety/industry-safety/demolition</x:v>
      </x:c>
      <x:c r="F416" s="11" t="n">
        <x:f>=HYPERLINK(E416)</x:f>
      </x:c>
    </x:row>
    <x:row r="417" spans="1:6" x14ac:dyDescent="0.25">
      <x:c r="A417" s="1" t="n">
        <x:v>11518</x:v>
      </x:c>
      <x:c r="B417" s="1" t="str">
        <x:v>Demolition Work</x:v>
      </x:c>
      <x:c r="C417" s="1" t="str">
        <x:v>ext</x:v>
      </x:c>
      <x:c r="D417" s="1" t="str">
        <x:v>WorkSafe ACT, ‘Demolition’</x:v>
      </x:c>
      <x:c r="E417" s="1" t="str">
        <x:v>http://www.worksafe.act.gov.au/page/view/3439</x:v>
      </x:c>
      <x:c r="F417" s="11" t="n">
        <x:f>=HYPERLINK(E417)</x:f>
      </x:c>
    </x:row>
    <x:row r="418" spans="1:6" x14ac:dyDescent="0.25">
      <x:c r="A418" s="1" t="n">
        <x:v>11511</x:v>
      </x:c>
      <x:c r="B418" s="1" t="str">
        <x:v>Demolition Work</x:v>
      </x:c>
      <x:c r="C418" s="1" t="str">
        <x:v>ext</x:v>
      </x:c>
      <x:c r="D418" s="1" t="str">
        <x:v>Model code of practice – Demolition work, March 2015 (Safe Work Australia)</x:v>
      </x:c>
      <x:c r="E418" s="1" t="str">
        <x:v>http://www.safeworkaustralia.gov.au/sites/swa/about/publications/pages/demolition-work</x:v>
      </x:c>
      <x:c r="F418" s="11" t="n">
        <x:f>=HYPERLINK(E418)</x:f>
      </x:c>
    </x:row>
    <x:row r="419" spans="1:6" x14ac:dyDescent="0.25">
      <x:c r="A419" s="1" t="n">
        <x:v>11513</x:v>
      </x:c>
      <x:c r="B419" s="1" t="str">
        <x:v>Demolition Work</x:v>
      </x:c>
      <x:c r="C419" s="1" t="str">
        <x:v>ext</x:v>
      </x:c>
      <x:c r="D419" s="1" t="str">
        <x:v>Model code of practice – Safe design of structures, July 2012 (Safe Work Australia)</x:v>
      </x:c>
      <x:c r="E419" s="1" t="str">
        <x:v>http://www.safeworkaustralia.gov.au/sites/swa/about/publications/pages/safe-design-of-structures</x:v>
      </x:c>
      <x:c r="F419" s="11" t="n">
        <x:f>=HYPERLINK(E419)</x:f>
      </x:c>
    </x:row>
    <x:row r="420" spans="1:6" x14ac:dyDescent="0.25">
      <x:c r="A420" s="1" t="n">
        <x:v>11514</x:v>
      </x:c>
      <x:c r="B420" s="1" t="str">
        <x:v>Demolition Work</x:v>
      </x:c>
      <x:c r="C420" s="1" t="str">
        <x:v>ext</x:v>
      </x:c>
      <x:c r="D420" s="1" t="str">
        <x:v>Comcare (Commonwealth regulator), ‘Notification of demolition work’</x:v>
      </x:c>
      <x:c r="E420" s="1" t="str">
        <x:v>http://www.comcare.gov.au/Forms_and_Publications/forms2/safety_and_prevention_forms/safety_and_prevention/notification_of_demolition_work</x:v>
      </x:c>
      <x:c r="F420" s="11" t="n">
        <x:f>=HYPERLINK(E420)</x:f>
      </x:c>
    </x:row>
    <x:row r="421" spans="1:6" x14ac:dyDescent="0.25">
      <x:c r="A421" s="1" t="n">
        <x:v>11397</x:v>
      </x:c>
      <x:c r="B421" s="1" t="str">
        <x:v>Noise Management</x:v>
      </x:c>
      <x:c r="C421" s="1" t="str">
        <x:v>ext</x:v>
      </x:c>
      <x:c r="D421" s="1" t="str">
        <x:v>Model code of practice — Managing noise and preventing hearing loss at work, September 2015 (Safe Work Australia)</x:v>
      </x:c>
      <x:c r="E421" s="1" t="str">
        <x:v>http://www.safeworkaustralia.gov.au/sites/swa/about/publications/pages/managing-noise-preventing-hearing-loss-cop</x:v>
      </x:c>
      <x:c r="F421" s="11" t="n">
        <x:f>=HYPERLINK(E421)</x:f>
      </x:c>
    </x:row>
    <x:row r="422" spans="1:6" x14ac:dyDescent="0.25">
      <x:c r="A422" s="1" t="n">
        <x:v>11387</x:v>
      </x:c>
      <x:c r="B422" s="1" t="str">
        <x:v>Risks of Musculoskeletal Disorders from Hazardous Manual Tasks</x:v>
      </x:c>
      <x:c r="C422" s="1" t="str">
        <x:v>ext</x:v>
      </x:c>
      <x:c r="D422" s="1" t="str">
        <x:v>Workplace vibration guidance material (Safe Work Australia, October 2015)</x:v>
      </x:c>
      <x:c r="E422" s="1" t="str">
        <x:v>http://www.safeworkaustralia.gov.au/sites/swa/about/publications/pages/vibration</x:v>
      </x:c>
      <x:c r="F422" s="11" t="n">
        <x:f>=HYPERLINK(E422)</x:f>
      </x:c>
    </x:row>
    <x:row r="423" spans="1:6" x14ac:dyDescent="0.25">
      <x:c r="A423" s="1" t="n">
        <x:v>11386</x:v>
      </x:c>
      <x:c r="B423" s="1" t="str">
        <x:v>Risks of Musculoskeletal Disorders from Hazardous Manual Tasks</x:v>
      </x:c>
      <x:c r="C423" s="1" t="str">
        <x:v>ext</x:v>
      </x:c>
      <x:c r="D423" s="1" t="str">
        <x:v>Model code of practice — Hazardous manual tasks, December 2011 (Safe Work Australia)</x:v>
      </x:c>
      <x:c r="E423" s="1" t="str">
        <x:v>http://www.safeworkaustralia.gov.au/sites/swa/about/publications/pages/hazardous-manual-tasks-cop</x:v>
      </x:c>
      <x:c r="F423" s="11" t="n">
        <x:f>=HYPERLINK(E423)</x:f>
      </x:c>
    </x:row>
    <x:row r="424" spans="1:6" x14ac:dyDescent="0.25">
      <x:c r="A424" s="1" t="n">
        <x:v>11368</x:v>
      </x:c>
      <x:c r="B424" s="1" t="str">
        <x:v>Falls Prevention</x:v>
      </x:c>
      <x:c r="C424" s="1" t="str">
        <x:v>ext</x:v>
      </x:c>
      <x:c r="D424" s="1" t="str">
        <x:v>Model code of practice – Managing the risk of falls at workplaces, March 2015 (Safe Work Australia)</x:v>
      </x:c>
      <x:c r="E424" s="1" t="str">
        <x:v>http://www.safeworkaustralia.gov.au/sites/swa/about/publications/pages/managing-risk-falls-cop</x:v>
      </x:c>
      <x:c r="F424" s="11" t="n">
        <x:f>=HYPERLINK(E424)</x:f>
      </x:c>
    </x:row>
    <x:row r="425" spans="1:6" x14ac:dyDescent="0.25">
      <x:c r="A425" s="1" t="n">
        <x:v>11370</x:v>
      </x:c>
      <x:c r="B425" s="1" t="str">
        <x:v>Falls Prevention</x:v>
      </x:c>
      <x:c r="C425" s="1" t="str">
        <x:v>ext</x:v>
      </x:c>
      <x:c r="D425" s="1" t="str">
        <x:v>Safe work on roofs (Safe Work Australia information sheet, January 2016)</x:v>
      </x:c>
      <x:c r="E425" s="1" t="str">
        <x:v>http://www.safeworkaustralia.gov.au/sites/swa/about/publications/pages/safe-work-on-roofs-information-sheet</x:v>
      </x:c>
      <x:c r="F425" s="11" t="n">
        <x:f>=HYPERLINK(E425)</x:f>
      </x:c>
    </x:row>
    <x:row r="426" spans="1:6" x14ac:dyDescent="0.25">
      <x:c r="A426" s="1" t="n">
        <x:v>11369</x:v>
      </x:c>
      <x:c r="B426" s="1" t="str">
        <x:v>Falls Prevention</x:v>
      </x:c>
      <x:c r="C426" s="1" t="str">
        <x:v>ext</x:v>
      </x:c>
      <x:c r="D426" s="1" t="str">
        <x:v>Model code of practice – Preventing falls in housing construction, July 2012 (Safe Work Australia)</x:v>
      </x:c>
      <x:c r="E426" s="1" t="str">
        <x:v>http://www.safeworkaustralia.gov.au/sites/swa/about/publications/pages/preventing-falls-in-housing-construction</x:v>
      </x:c>
      <x:c r="F426" s="11" t="n">
        <x:f>=HYPERLINK(E426)</x:f>
      </x:c>
    </x:row>
    <x:row r="427" spans="1:6" x14ac:dyDescent="0.25">
      <x:c r="A427" s="1" t="n">
        <x:v>11430</x:v>
      </x:c>
      <x:c r="B427" s="1" t="str">
        <x:v>Personal Protective Equipment</x:v>
      </x:c>
      <x:c r="C427" s="1" t="str">
        <x:v>ext</x:v>
      </x:c>
      <x:c r="D427" s="1" t="str">
        <x:v>Model code of practice – How to manage work health and safety risks, December 2011 (Safe Work Australia)</x:v>
      </x:c>
      <x:c r="E427" s="1" t="str">
        <x:v>http://www.safeworkaustralia.gov.au/sites/swa/about/publications/pages/manage-whs-risks-cop</x:v>
      </x:c>
      <x:c r="F427" s="11" t="n">
        <x:f>=HYPERLINK(E427)</x:f>
      </x:c>
    </x:row>
    <x:row r="428" spans="1:6" x14ac:dyDescent="0.25">
      <x:c r="A428" s="1" t="n">
        <x:v>11493</x:v>
      </x:c>
      <x:c r="B428" s="1" t="str">
        <x:v>High-Risk Work Licences</x:v>
      </x:c>
      <x:c r="C428" s="1" t="str">
        <x:v>ext</x:v>
      </x:c>
      <x:c r="D428" s="1" t="str">
        <x:v>High-risk work licensing for bridge and gantry cranes (Safe Work Australia information sheet, December 2015)</x:v>
      </x:c>
      <x:c r="E428" s="1" t="str">
        <x:v>http://www.safeworkaustralia.gov.au/sites/swa/about/publications/pages/guidance-high-risk-work-licensing</x:v>
      </x:c>
      <x:c r="F428" s="11" t="n">
        <x:f>=HYPERLINK(E428)</x:f>
      </x:c>
    </x:row>
    <x:row r="429" spans="1:6" x14ac:dyDescent="0.25">
      <x:c r="A429" s="1" t="n">
        <x:v>11494</x:v>
      </x:c>
      <x:c r="B429" s="1" t="str">
        <x:v>High-Risk Work Licences</x:v>
      </x:c>
      <x:c r="C429" s="1" t="str">
        <x:v>ext</x:v>
      </x:c>
      <x:c r="D429" s="1" t="str">
        <x:v>High-risk work licensing for vehicle loading cranes (Safe Work Australia information sheet, December 2015)</x:v>
      </x:c>
      <x:c r="E429" s="1" t="str">
        <x:v>http://www.safeworkaustralia.gov.au/sites/swa/about/publications/pages/guidance-high-risk-work-licensing</x:v>
      </x:c>
      <x:c r="F429" s="11" t="n">
        <x:f>=HYPERLINK(E429)</x:f>
      </x:c>
    </x:row>
    <x:row r="430" spans="1:6" x14ac:dyDescent="0.25">
      <x:c r="A430" s="1" t="n">
        <x:v>11499</x:v>
      </x:c>
      <x:c r="B430" s="1" t="str">
        <x:v>High-Risk Work Licences</x:v>
      </x:c>
      <x:c r="C430" s="1" t="str">
        <x:v>ext</x:v>
      </x:c>
      <x:c r="D430" s="1" t="str">
        <x:v>WorkCover Queensland, ‘Apply for a high risk work licence’</x:v>
      </x:c>
      <x:c r="E430" s="1" t="str">
        <x:v>http://www.worksafe.qld.gov.au/licensing-and-registrations/work-health-and-safety-licences/apply-renew-or-replace-licences/apply-for-a-high-risk-work-licence</x:v>
      </x:c>
      <x:c r="F430" s="11" t="n">
        <x:f>=HYPERLINK(E430)</x:f>
      </x:c>
    </x:row>
    <x:row r="431" spans="1:6" x14ac:dyDescent="0.25">
      <x:c r="A431" s="1" t="n">
        <x:v>11497</x:v>
      </x:c>
      <x:c r="B431" s="1" t="str">
        <x:v>High-Risk Work Licences</x:v>
      </x:c>
      <x:c r="C431" s="1" t="str">
        <x:v>ext</x:v>
      </x:c>
      <x:c r="D431" s="1" t="str">
        <x:v>Comcare (Commonwealth regulator), ‘High risk work’</x:v>
      </x:c>
      <x:c r="E431" s="1" t="str">
        <x:v>http://www.comcare.gov.au/preventing/hazards/physical_hazards/high_risk_work</x:v>
      </x:c>
      <x:c r="F431" s="11" t="n">
        <x:f>=HYPERLINK(E431)</x:f>
      </x:c>
    </x:row>
    <x:row r="432" spans="1:6" x14ac:dyDescent="0.25">
      <x:c r="A432" s="1" t="n">
        <x:v>11502</x:v>
      </x:c>
      <x:c r="B432" s="1" t="str">
        <x:v>High-Risk Work Licences</x:v>
      </x:c>
      <x:c r="C432" s="1" t="str">
        <x:v>ext</x:v>
      </x:c>
      <x:c r="D432" s="1" t="str">
        <x:v>WorkSafe ACT, ‘High risk work’</x:v>
      </x:c>
      <x:c r="E432" s="1" t="str">
        <x:v>http://www.worksafe.act.gov.au/health_safety/guidance/hazards/high_risk_work</x:v>
      </x:c>
      <x:c r="F432" s="11" t="n">
        <x:f>=HYPERLINK(E432)</x:f>
      </x:c>
    </x:row>
    <x:row r="433" spans="1:6" x14ac:dyDescent="0.25">
      <x:c r="A433" s="1" t="n">
        <x:v>11503</x:v>
      </x:c>
      <x:c r="B433" s="1" t="str">
        <x:v>High-Risk Work Licences</x:v>
      </x:c>
      <x:c r="C433" s="1" t="str">
        <x:v>ext</x:v>
      </x:c>
      <x:c r="D433" s="1" t="str">
        <x:v>NT WorkSafe, ‘High risk’</x:v>
      </x:c>
      <x:c r="E433" s="1" t="str">
        <x:v>http://www.worksafe.nt.gov.au/LicensingAndRegistration/high-risk/Pages/default.aspx</x:v>
      </x:c>
      <x:c r="F433" s="11" t="n">
        <x:f>=HYPERLINK(E433)</x:f>
      </x:c>
    </x:row>
    <x:row r="434" spans="1:6" x14ac:dyDescent="0.25">
      <x:c r="A434" s="1" t="n">
        <x:v>11495</x:v>
      </x:c>
      <x:c r="B434" s="1" t="str">
        <x:v>High-Risk Work Licences</x:v>
      </x:c>
      <x:c r="C434" s="1" t="str">
        <x:v>ext</x:v>
      </x:c>
      <x:c r="D434" s="1" t="str">
        <x:v>Industrial lift trucks guidance material (Safe Work Australia, July 2014)</x:v>
      </x:c>
      <x:c r="E434" s="1" t="str">
        <x:v>http://www.safeworkaustralia.gov.au/sites/swa/about/publications/pages/guidance-industrial-lift-trucks</x:v>
      </x:c>
      <x:c r="F434" s="11" t="n">
        <x:f>=HYPERLINK(E434)</x:f>
      </x:c>
    </x:row>
    <x:row r="435" spans="1:6" x14ac:dyDescent="0.25">
      <x:c r="A435" s="1" t="n">
        <x:v>11498</x:v>
      </x:c>
      <x:c r="B435" s="1" t="str">
        <x:v>High-Risk Work Licences</x:v>
      </x:c>
      <x:c r="C435" s="1" t="str">
        <x:v>ext</x:v>
      </x:c>
      <x:c r="D435" s="1" t="str">
        <x:v>WorkCover NSW, ‘High risk work licences’</x:v>
      </x:c>
      <x:c r="E435" s="1" t="str">
        <x:v>http://www.workcover.nsw.gov.au/licences-and-registrations/licences/high-risk-work-licences</x:v>
      </x:c>
      <x:c r="F435" s="11" t="n">
        <x:f>=HYPERLINK(E435)</x:f>
      </x:c>
    </x:row>
    <x:row r="436" spans="1:6" x14ac:dyDescent="0.25">
      <x:c r="A436" s="1" t="n">
        <x:v>11500</x:v>
      </x:c>
      <x:c r="B436" s="1" t="str">
        <x:v>High-Risk Work Licences</x:v>
      </x:c>
      <x:c r="C436" s="1" t="str">
        <x:v>ext</x:v>
      </x:c>
      <x:c r="D436" s="1" t="str">
        <x:v>SafeWork SA, ‘High risk work’</x:v>
      </x:c>
      <x:c r="E436" s="1" t="str">
        <x:v>http://www.safework.sa.gov.au/show_page.jsp?id=7731#.VqHp2I9OJZU</x:v>
      </x:c>
      <x:c r="F436" s="11" t="n">
        <x:f>=HYPERLINK(E436)</x:f>
      </x:c>
    </x:row>
    <x:row r="437" spans="1:6" x14ac:dyDescent="0.25">
      <x:c r="A437" s="1" t="n">
        <x:v>11492</x:v>
      </x:c>
      <x:c r="B437" s="1" t="str">
        <x:v>High-Risk Work Licences</x:v>
      </x:c>
      <x:c r="C437" s="1" t="str">
        <x:v>ext</x:v>
      </x:c>
      <x:c r="D437" s="1" t="str">
        <x:v>High-risk work licensing for dogging (Safe Work Australia information sheet, December 2015)</x:v>
      </x:c>
      <x:c r="E437" s="1" t="str">
        <x:v>http://www.safeworkaustralia.gov.au/sites/swa/about/publications/pages/guidance-high-risk-work-licensing</x:v>
      </x:c>
      <x:c r="F437" s="11" t="n">
        <x:f>=HYPERLINK(E437)</x:f>
      </x:c>
    </x:row>
    <x:row r="438" spans="1:6" x14ac:dyDescent="0.25">
      <x:c r="A438" s="1" t="n">
        <x:v>11496</x:v>
      </x:c>
      <x:c r="B438" s="1" t="str">
        <x:v>High-Risk Work Licences</x:v>
      </x:c>
      <x:c r="C438" s="1" t="str">
        <x:v>ext</x:v>
      </x:c>
      <x:c r="D438" s="1" t="str">
        <x:v>Scaffolds and scaffolding work guidance material (Safe Work Australia, July 2014)</x:v>
      </x:c>
      <x:c r="E438" s="1" t="str">
        <x:v>http://www.safeworkaustralia.gov.au/sites/swa/about/publications/pages/guidance-scaffolding</x:v>
      </x:c>
      <x:c r="F438" s="11" t="n">
        <x:f>=HYPERLINK(E438)</x:f>
      </x:c>
    </x:row>
    <x:row r="439" spans="1:6" x14ac:dyDescent="0.25">
      <x:c r="A439" s="1" t="n">
        <x:v>11501</x:v>
      </x:c>
      <x:c r="B439" s="1" t="str">
        <x:v>High-Risk Work Licences</x:v>
      </x:c>
      <x:c r="C439" s="1" t="str">
        <x:v>ext</x:v>
      </x:c>
      <x:c r="D439" s="1" t="str">
        <x:v>WorkSafe Tasmania, ‘High risk work’</x:v>
      </x:c>
      <x:c r="E439" s="1" t="str">
        <x:v>http://worksafe.tas.gov.au/licensing/plant_and_equipment/high_risk_work</x:v>
      </x:c>
      <x:c r="F439" s="11" t="n">
        <x:f>=HYPERLINK(E439)</x:f>
      </x:c>
    </x:row>
    <x:row r="440" spans="1:6" x14ac:dyDescent="0.25">
      <x:c r="A440" s="1" t="n">
        <x:v>11447</x:v>
      </x:c>
      <x:c r="B440" s="1" t="str">
        <x:v>Authorisation of High-Risk Work Activities and Workplaces</x:v>
      </x:c>
      <x:c r="C440" s="1" t="str">
        <x:v>ext</x:v>
      </x:c>
      <x:c r="D440" s="1" t="str">
        <x:v>Guide to the model Work Health and Safety Act, October 2012 (Safe Work Australia)</x:v>
      </x:c>
      <x:c r="E440" s="1" t="str">
        <x:v>http://www.safeworkaustralia.gov.au/sites/swa/about/publications/pages/guide-to-the-work-health-and-safety-act-</x:v>
      </x:c>
      <x:c r="F440" s="11" t="n">
        <x:f>=HYPERLINK(E440)</x:f>
      </x:c>
    </x:row>
    <x:row r="441" spans="1:6" x14ac:dyDescent="0.25">
      <x:c r="A441" s="1" t="n">
        <x:v>11337</x:v>
      </x:c>
      <x:c r="B441" s="1" t="str">
        <x:v>Workplace Management—Hazardous Work</x:v>
      </x:c>
      <x:c r="C441" s="1" t="str">
        <x:v>ext</x:v>
      </x:c>
      <x:c r="D441" s="1" t="str">
        <x:v>Model code of practice — Managing noise and preventing hearing loss at work, September 2015 (Safe Work Australia)</x:v>
      </x:c>
      <x:c r="E441" s="1" t="str">
        <x:v>http://www.safeworkaustralia.gov.au/sites/swa/about/publications/pages/managing-noise-preventing-hearing-loss-cop</x:v>
      </x:c>
      <x:c r="F441" s="11" t="n">
        <x:f>=HYPERLINK(E441)</x:f>
      </x:c>
    </x:row>
    <x:row r="442" spans="1:6" x14ac:dyDescent="0.25">
      <x:c r="A442" s="1" t="n">
        <x:v>11329</x:v>
      </x:c>
      <x:c r="B442" s="1" t="str">
        <x:v>Workplace Management—Hazardous Work</x:v>
      </x:c>
      <x:c r="C442" s="1" t="str">
        <x:v>ext</x:v>
      </x:c>
      <x:c r="D442" s="1" t="str">
        <x:v>Model Code of Practice - Demolition Work, March 2015 (Safe Work Australia)</x:v>
      </x:c>
      <x:c r="E442" s="1" t="str">
        <x:v>http://www.safeworkaustralia.gov.au/sites/swa/about/publications/pages/demolition-work</x:v>
      </x:c>
      <x:c r="F442" s="11" t="n">
        <x:f>=HYPERLINK(E442)</x:f>
      </x:c>
    </x:row>
    <x:row r="443" spans="1:6" x14ac:dyDescent="0.25">
      <x:c r="A443" s="1" t="n">
        <x:v>11336</x:v>
      </x:c>
      <x:c r="B443" s="1" t="str">
        <x:v>Workplace Management—Hazardous Work</x:v>
      </x:c>
      <x:c r="C443" s="1" t="str">
        <x:v>ext</x:v>
      </x:c>
      <x:c r="D443" s="1" t="str">
        <x:v>Hazardous manual tasks Code of Practice, February 2016 (Safe Work Australia)</x:v>
      </x:c>
      <x:c r="E443" s="1" t="str">
        <x:v>http://www.safeworkaustralia.gov.au/sites/swa/about/publications/pages/hazardous-manual-tasks-cop</x:v>
      </x:c>
      <x:c r="F443" s="11" t="n">
        <x:f>=HYPERLINK(E443)</x:f>
      </x:c>
    </x:row>
    <x:row r="444" spans="1:6" x14ac:dyDescent="0.25">
      <x:c r="A444" s="1" t="n">
        <x:v>11315</x:v>
      </x:c>
      <x:c r="B444" s="1" t="str">
        <x:v>Workplace Management—Hazardous Work</x:v>
      </x:c>
      <x:c r="C444" s="1" t="str">
        <x:v>ext</x:v>
      </x:c>
      <x:c r="D444" s="1" t="str">
        <x:v>Model code of practice – How to manage work health and safety risks, December 2011 (Safe Work Australia)</x:v>
      </x:c>
      <x:c r="E444" s="1" t="str">
        <x:v>http://www.safeworkaustralia.gov.au/sites/swa/about/publications/pages/manage-whs-risks-cop</x:v>
      </x:c>
      <x:c r="F444" s="11" t="n">
        <x:f>=HYPERLINK(E444)</x:f>
      </x:c>
    </x:row>
    <x:row r="445" spans="1:6" x14ac:dyDescent="0.25">
      <x:c r="A445" s="1" t="n">
        <x:v>11338</x:v>
      </x:c>
      <x:c r="B445" s="1" t="str">
        <x:v>Workplace Management—Hazardous Work</x:v>
      </x:c>
      <x:c r="C445" s="1" t="str">
        <x:v>ext</x:v>
      </x:c>
      <x:c r="D445" s="1" t="str">
        <x:v>Model Code of Practice - Spray Painting and Powder Coating, March 2015 (Safe Work Australia)</x:v>
      </x:c>
      <x:c r="E445" s="1" t="str">
        <x:v>http://www.safeworkaustralia.gov.au/sites/swa/about/publications/pages/spray-painting-and-powder-coating</x:v>
      </x:c>
      <x:c r="F445" s="11" t="n">
        <x:f>=HYPERLINK(E445)</x:f>
      </x:c>
    </x:row>
    <x:row r="446" spans="1:6" x14ac:dyDescent="0.25">
      <x:c r="A446" s="1" t="n">
        <x:v>11331</x:v>
      </x:c>
      <x:c r="B446" s="1" t="str">
        <x:v>Workplace Management—Hazardous Work</x:v>
      </x:c>
      <x:c r="C446" s="1" t="str">
        <x:v>ext</x:v>
      </x:c>
      <x:c r="D446" s="1" t="str">
        <x:v>Model code of practice – Preventing falls in housing construction, July 2012 (Safe Work Australia)</x:v>
      </x:c>
      <x:c r="E446" s="1" t="str">
        <x:v>http://www.safeworkaustralia.gov.au/sites/swa/about/publications/pages/preventing-falls-in-housing-construction</x:v>
      </x:c>
      <x:c r="F446" s="11" t="n">
        <x:f>=HYPERLINK(E446)</x:f>
      </x:c>
    </x:row>
    <x:row r="447" spans="1:6" x14ac:dyDescent="0.25">
      <x:c r="A447" s="1" t="n">
        <x:v>11332</x:v>
      </x:c>
      <x:c r="B447" s="1" t="str">
        <x:v>Workplace Management—Hazardous Work</x:v>
      </x:c>
      <x:c r="C447" s="1" t="str">
        <x:v>ext</x:v>
      </x:c>
      <x:c r="D447" s="1" t="str">
        <x:v>Safe work on roofs (Safe Work Australia information sheet, January 2016)</x:v>
      </x:c>
      <x:c r="E447" s="1" t="str">
        <x:v>http://www.safeworkaustralia.gov.au/sites/swa/about/publications/pages/safe-work-on-roofs-information-sheet</x:v>
      </x:c>
      <x:c r="F447" s="11" t="n">
        <x:f>=HYPERLINK(E447)</x:f>
      </x:c>
    </x:row>
    <x:row r="448" spans="1:6" x14ac:dyDescent="0.25">
      <x:c r="A448" s="1" t="n">
        <x:v>11339</x:v>
      </x:c>
      <x:c r="B448" s="1" t="str">
        <x:v>Workplace Management—Hazardous Work</x:v>
      </x:c>
      <x:c r="C448" s="1" t="str">
        <x:v>ext</x:v>
      </x:c>
      <x:c r="D448" s="1" t="str">
        <x:v>Model Code of Practice - Welding Processes, February 2016 (Safe Work Australia)</x:v>
      </x:c>
      <x:c r="E448" s="1" t="str">
        <x:v>http://www.safeworkaustralia.gov.au/sites/swa/about/publications/pages/welding-processes</x:v>
      </x:c>
      <x:c r="F448" s="11" t="n">
        <x:f>=HYPERLINK(E448)</x:f>
      </x:c>
    </x:row>
    <x:row r="449" spans="1:6" x14ac:dyDescent="0.25">
      <x:c r="A449" s="1" t="n">
        <x:v>11316</x:v>
      </x:c>
      <x:c r="B449" s="1" t="str">
        <x:v>Workplace Management—Hazardous Work</x:v>
      </x:c>
      <x:c r="C449" s="1" t="str">
        <x:v>ext</x:v>
      </x:c>
      <x:c r="D449" s="1" t="str">
        <x:v>Forestry operations guidance material (Safe Work Australia, July 2014)</x:v>
      </x:c>
      <x:c r="E449" s="1" t="str">
        <x:v>http://www.safeworkaustralia.gov.au/sites/swa/about/publications/pages/guidance-forestry-operations</x:v>
      </x:c>
      <x:c r="F449" s="11" t="n">
        <x:f>=HYPERLINK(E449)</x:f>
      </x:c>
    </x:row>
    <x:row r="450" spans="1:6" x14ac:dyDescent="0.25">
      <x:c r="A450" s="1" t="n">
        <x:v>11326</x:v>
      </x:c>
      <x:c r="B450" s="1" t="str">
        <x:v>Workplace Management—Hazardous Work</x:v>
      </x:c>
      <x:c r="C450" s="1" t="str">
        <x:v>ext</x:v>
      </x:c>
      <x:c r="D450" s="1" t="str">
        <x:v>Guide to managing risks when new and inexperienced persons interact with horses, June 2014 (Safe Work Australia)</x:v>
      </x:c>
      <x:c r="E450" s="1" t="str">
        <x:v>http://www.safeworkaustralia.gov.au/sites/swa/about/publications/pages/guide-managing-risks-interact-horses</x:v>
      </x:c>
      <x:c r="F450" s="11" t="n">
        <x:f>=HYPERLINK(E450)</x:f>
      </x:c>
    </x:row>
    <x:row r="451" spans="1:6" x14ac:dyDescent="0.25">
      <x:c r="A451" s="1" t="n">
        <x:v>11328</x:v>
      </x:c>
      <x:c r="B451" s="1" t="str">
        <x:v>Workplace Management—Hazardous Work</x:v>
      </x:c>
      <x:c r="C451" s="1" t="str">
        <x:v>ext</x:v>
      </x:c>
      <x:c r="D451" s="1" t="str">
        <x:v>Model code of practice – Confined Spaces, February 2014 (Safe Work Australia)</x:v>
      </x:c>
      <x:c r="E451" s="1" t="str">
        <x:v>http://www.safeworkaustralia.gov.au/sites/swa/about/publications/pages/confined-spaces-cop</x:v>
      </x:c>
      <x:c r="F451" s="11" t="n">
        <x:f>=HYPERLINK(E451)</x:f>
      </x:c>
    </x:row>
    <x:row r="452" spans="1:6" x14ac:dyDescent="0.25">
      <x:c r="A452" s="1" t="n">
        <x:v>11327</x:v>
      </x:c>
      <x:c r="B452" s="1" t="str">
        <x:v>Workplace Management—Hazardous Work</x:v>
      </x:c>
      <x:c r="C452" s="1" t="str">
        <x:v>ext</x:v>
      </x:c>
      <x:c r="D452" s="1" t="str">
        <x:v>Model Code of Practice - Abrasive Blasting, October 2012 (Safe Work Australia)</x:v>
      </x:c>
      <x:c r="E452" s="1" t="str">
        <x:v>http://www.safeworkaustralia.gov.au/sites/swa/about/publications/pages/abrasive-blasting</x:v>
      </x:c>
      <x:c r="F452" s="11" t="n">
        <x:f>=HYPERLINK(E452)</x:f>
      </x:c>
    </x:row>
    <x:row r="453" spans="1:6" x14ac:dyDescent="0.25">
      <x:c r="A453" s="1" t="n">
        <x:v>11330</x:v>
      </x:c>
      <x:c r="B453" s="1" t="str">
        <x:v>Workplace Management—Hazardous Work</x:v>
      </x:c>
      <x:c r="C453" s="1" t="str">
        <x:v>ext</x:v>
      </x:c>
      <x:c r="D453" s="1" t="str">
        <x:v>Model code of practice – Managing the risk of falls at workplaces, March 2015 (Safe Work Australia)</x:v>
      </x:c>
      <x:c r="E453" s="1" t="str">
        <x:v>http://www.safeworkaustralia.gov.au/sites/swa/about/publications/pages/managing-risk-falls-cop</x:v>
      </x:c>
      <x:c r="F453" s="11" t="n">
        <x:f>=HYPERLINK(E453)</x:f>
      </x:c>
    </x:row>
    <x:row r="454" spans="1:6" x14ac:dyDescent="0.25">
      <x:c r="A454" s="1" t="n">
        <x:v>11325</x:v>
      </x:c>
      <x:c r="B454" s="1" t="str">
        <x:v>Workplace Management—Hazardous Work</x:v>
      </x:c>
      <x:c r="C454" s="1" t="str">
        <x:v>ext</x:v>
      </x:c>
      <x:c r="D454" s="1" t="str">
        <x:v>Guide for managing risks from high pressure water jetting, December 2013 (Safe Work Australia)</x:v>
      </x:c>
      <x:c r="E454" s="1" t="str">
        <x:v>http://www.safeworkaustralia.gov.au/sites/swa/about/publications/pages/guide-water-jetting</x:v>
      </x:c>
      <x:c r="F454" s="11" t="n">
        <x:f>=HYPERLINK(E454)</x:f>
      </x:c>
    </x:row>
    <x:row r="455" spans="1:6" x14ac:dyDescent="0.25">
      <x:c r="A455" s="1" t="n">
        <x:v>11323</x:v>
      </x:c>
      <x:c r="B455" s="1" t="str">
        <x:v>Workplace Management—Hazardous Work</x:v>
      </x:c>
      <x:c r="C455" s="1" t="str">
        <x:v>ext</x:v>
      </x:c>
      <x:c r="D455" s="1" t="str">
        <x:v>Guide to managing risks associated with foundry work, April 2013 (Safe Work Australia)</x:v>
      </x:c>
      <x:c r="E455" s="1" t="str">
        <x:v>http://www.safeworkaustralia.gov.au/sites/swa/about/publications/pages/managing-risks-foundry-work</x:v>
      </x:c>
      <x:c r="F455" s="11" t="n">
        <x:f>=HYPERLINK(E455)</x:f>
      </x:c>
    </x:row>
    <x:row r="456" spans="1:6" x14ac:dyDescent="0.25">
      <x:c r="A456" s="1" t="n">
        <x:v>11324</x:v>
      </x:c>
      <x:c r="B456" s="1" t="str">
        <x:v>Workplace Management—Hazardous Work</x:v>
      </x:c>
      <x:c r="C456" s="1" t="str">
        <x:v>ext</x:v>
      </x:c>
      <x:c r="D456" s="1" t="str">
        <x:v>Cash-in-transit guidance material (Safe Work Australia, July 2014)</x:v>
      </x:c>
      <x:c r="E456" s="1" t="str">
        <x:v>http://www.safeworkaustralia.gov.au/sites/swa/about/publications/pages/guidance-cash-in-transit</x:v>
      </x:c>
      <x:c r="F456" s="11" t="n">
        <x:f>=HYPERLINK(E456)</x:f>
      </x:c>
    </x:row>
    <x:row r="457" spans="1:6" x14ac:dyDescent="0.25">
      <x:c r="A457" s="1" t="n">
        <x:v>11155</x:v>
      </x:c>
      <x:c r="B457" s="1" t="str">
        <x:v>Risk Assessment</x:v>
      </x:c>
      <x:c r="C457" s="1" t="str">
        <x:v>ext</x:v>
      </x:c>
      <x:c r="D457" s="1" t="str">
        <x:v>Model code of practice – How to manage work health and safety risks, December 2011 (Safe Work Australia)</x:v>
      </x:c>
      <x:c r="E457" s="1" t="str">
        <x:v>http://www.safeworkaustralia.gov.au/sites/swa/about/publications/pages/manage-whs-risks-cop</x:v>
      </x:c>
      <x:c r="F457" s="11" t="n">
        <x:f>=HYPERLINK(E457)</x:f>
      </x:c>
    </x:row>
    <x:row r="458" spans="1:6" x14ac:dyDescent="0.25">
      <x:c r="A458" s="1" t="n">
        <x:v>11156</x:v>
      </x:c>
      <x:c r="B458" s="1" t="str">
        <x:v>Risk Assessment</x:v>
      </x:c>
      <x:c r="C458" s="1" t="str">
        <x:v>ext</x:v>
      </x:c>
      <x:c r="D458" s="1" t="str">
        <x:v>Managing risks to health and safety at the workplace (Safe Work Australia fact sheet, August 2012)</x:v>
      </x:c>
      <x:c r="E458" s="1" t="str">
        <x:v>http://www.safeworkaustralia.gov.au/sites/swa/about/publications/pages/managing-risks-to-health-and-safety-at-the-workplace-fact-sheet</x:v>
      </x:c>
      <x:c r="F458" s="11" t="n">
        <x:f>=HYPERLINK(E458)</x:f>
      </x:c>
    </x:row>
    <x:row r="459" spans="1:6" x14ac:dyDescent="0.25">
      <x:c r="A459" s="1" t="n">
        <x:v>11218</x:v>
      </x:c>
      <x:c r="B459" s="1" t="str">
        <x:v>Risk Control Review</x:v>
      </x:c>
      <x:c r="C459" s="1" t="str">
        <x:v>ext</x:v>
      </x:c>
      <x:c r="D459" s="1" t="str">
        <x:v>Model code of practice – How to manage work health and safety risks, December 2011 (Safe Work Australia)</x:v>
      </x:c>
      <x:c r="E459" s="1" t="str">
        <x:v>http://www.safeworkaustralia.gov.au/sites/swa/about/publications/pages/manage-whs-risks-cop</x:v>
      </x:c>
      <x:c r="F459" s="11" t="n">
        <x:f>=HYPERLINK(E459)</x:f>
      </x:c>
    </x:row>
    <x:row r="460" spans="1:6" x14ac:dyDescent="0.25">
      <x:c r="A460" s="1" t="n">
        <x:v>11219</x:v>
      </x:c>
      <x:c r="B460" s="1" t="str">
        <x:v>Risk Control Review</x:v>
      </x:c>
      <x:c r="C460" s="1" t="str">
        <x:v>ext</x:v>
      </x:c>
      <x:c r="D460" s="1" t="str">
        <x:v>Managing risks to health and safety at the workplace (Safe Work Australia fact sheet, August 2012)</x:v>
      </x:c>
      <x:c r="E460" s="1" t="str">
        <x:v>http://www.safeworkaustralia.gov.au/sites/swa/about/publications/pages/managing-risks-to-health-and-safety-at-the-workplace-fact-sheet</x:v>
      </x:c>
      <x:c r="F460" s="11" t="n">
        <x:f>=HYPERLINK(E460)</x:f>
      </x:c>
    </x:row>
    <x:row r="461" spans="1:6" x14ac:dyDescent="0.25">
      <x:c r="A461" s="1" t="n">
        <x:v>11124</x:v>
      </x:c>
      <x:c r="B461" s="1" t="str">
        <x:v>Hazard Identification</x:v>
      </x:c>
      <x:c r="C461" s="1" t="str">
        <x:v>ext</x:v>
      </x:c>
      <x:c r="D461" s="1" t="str">
        <x:v>Model code of practice – How to manage work health and safety risks, December 2011 (Safe Work Australia)</x:v>
      </x:c>
      <x:c r="E461" s="1" t="str">
        <x:v>http://www.safeworkaustralia.gov.au/sites/swa/about/publications/pages/manage-whs-risks-cop</x:v>
      </x:c>
      <x:c r="F461" s="11" t="n">
        <x:f>=HYPERLINK(E461)</x:f>
      </x:c>
    </x:row>
    <x:row r="462" spans="1:6" x14ac:dyDescent="0.25">
      <x:c r="A462" s="1" t="n">
        <x:v>11125</x:v>
      </x:c>
      <x:c r="B462" s="1" t="str">
        <x:v>Hazard Identification</x:v>
      </x:c>
      <x:c r="C462" s="1" t="str">
        <x:v>ext</x:v>
      </x:c>
      <x:c r="D462" s="1" t="str">
        <x:v>Managing risks to health and safety at the workplace (Safe Work Australia fact sheet, August 2012)</x:v>
      </x:c>
      <x:c r="E462" s="1" t="str">
        <x:v>http://www.safeworkaustralia.gov.au/sites/swa/about/publications/pages/managing-risks-to-health-and-safety-at-the-workplace-fact-sheet</x:v>
      </x:c>
      <x:c r="F462" s="11" t="n">
        <x:f>=HYPERLINK(E462)</x:f>
      </x:c>
    </x:row>
    <x:row r="463" spans="1:6" x14ac:dyDescent="0.25">
      <x:c r="A463" s="1" t="n">
        <x:v>11170</x:v>
      </x:c>
      <x:c r="B463" s="1" t="str">
        <x:v>Risk Control Implementation and the Hierarchy of Controls</x:v>
      </x:c>
      <x:c r="C463" s="1" t="str">
        <x:v>ext</x:v>
      </x:c>
      <x:c r="D463" s="1" t="str">
        <x:v>Model code of practice – How to manage work health and safety risks, December 2011 (Safe Work Australia)</x:v>
      </x:c>
      <x:c r="E463" s="1" t="str">
        <x:v>http://www.safeworkaustralia.gov.au/sites/swa/about/publications/pages/manage-whs-risks-cop</x:v>
      </x:c>
      <x:c r="F463" s="11" t="n">
        <x:f>=HYPERLINK(E463)</x:f>
      </x:c>
    </x:row>
    <x:row r="464" spans="1:6" x14ac:dyDescent="0.25">
      <x:c r="A464" s="1" t="n">
        <x:v>11171</x:v>
      </x:c>
      <x:c r="B464" s="1" t="str">
        <x:v>Risk Control Implementation and the Hierarchy of Controls</x:v>
      </x:c>
      <x:c r="C464" s="1" t="str">
        <x:v>ext</x:v>
      </x:c>
      <x:c r="D464" s="1" t="str">
        <x:v>Managing risks to health and safety at the workplace (Safe Work Australia fact sheet, August 2012)</x:v>
      </x:c>
      <x:c r="E464" s="1" t="str">
        <x:v>http://www.safeworkaustralia.gov.au/sites/swa/about/publications/pages/managing-risks-to-health-and-safety-at-the-workplace-fact-sheet</x:v>
      </x:c>
      <x:c r="F464" s="11" t="n">
        <x:f>=HYPERLINK(E464)</x:f>
      </x:c>
    </x:row>
    <x:row r="465" spans="1:6" x14ac:dyDescent="0.25">
      <x:c r="A465" s="1" t="n">
        <x:v>11187</x:v>
      </x:c>
      <x:c r="B465" s="1" t="str">
        <x:v>Risk Control Maintenance</x:v>
      </x:c>
      <x:c r="C465" s="1" t="str">
        <x:v>ext</x:v>
      </x:c>
      <x:c r="D465" s="1" t="str">
        <x:v>Managing risks to health and safety at the workplace (Safe Work Australia fact sheet, August 2012)</x:v>
      </x:c>
      <x:c r="E465" s="1" t="str">
        <x:v>http://www.safeworkaustralia.gov.au/sites/swa/about/publications/pages/managing-risks-to-health-and-safety-at-the-workplace-fact-sheet</x:v>
      </x:c>
      <x:c r="F465" s="11" t="n">
        <x:f>=HYPERLINK(E465)</x:f>
      </x:c>
    </x:row>
    <x:row r="466" spans="1:6" x14ac:dyDescent="0.25">
      <x:c r="A466" s="1" t="n">
        <x:v>11186</x:v>
      </x:c>
      <x:c r="B466" s="1" t="str">
        <x:v>Risk Control Maintenance</x:v>
      </x:c>
      <x:c r="C466" s="1" t="str">
        <x:v>ext</x:v>
      </x:c>
      <x:c r="D466" s="1" t="str">
        <x:v>Model code of practice – How to manage work health and safety risks, December 2011 (Safe Work Australia)</x:v>
      </x:c>
      <x:c r="E466" s="1" t="str">
        <x:v>http://www.safeworkaustralia.gov.au/sites/swa/about/publications/pages/manage-whs-risks-cop</x:v>
      </x:c>
      <x:c r="F466" s="11" t="n">
        <x:f>=HYPERLINK(E466)</x:f>
      </x:c>
    </x:row>
    <x:row r="467" spans="1:6" x14ac:dyDescent="0.25">
      <x:c r="A467" s="1" t="n">
        <x:v>11112</x:v>
      </x:c>
      <x:c r="B467" s="1" t="str">
        <x:v>Risk and Hazard Management</x:v>
      </x:c>
      <x:c r="C467" s="1" t="str">
        <x:v>ext</x:v>
      </x:c>
      <x:c r="D467" s="1" t="str">
        <x:v>Model code of practice - How to manage work health and safety risks, December 2011 (Safe Work Australia)</x:v>
      </x:c>
      <x:c r="E467" s="1" t="str">
        <x:v>http://www.safeworkaustralia.gov.au/sites/swa/about/publications/pages/manage-whs-risks-cop</x:v>
      </x:c>
      <x:c r="F467" s="11" t="n">
        <x:f>=HYPERLINK(E467)</x:f>
      </x:c>
    </x:row>
    <x:row r="468" spans="1:6" x14ac:dyDescent="0.25">
      <x:c r="A468" s="1" t="n">
        <x:v>13668</x:v>
      </x:c>
      <x:c r="B468" s="1" t="str">
        <x:v>Risk and Hazard Management</x:v>
      </x:c>
      <x:c r="C468" s="1" t="str">
        <x:v>doc</x:v>
      </x:c>
      <x:c r="D468" s="1" t="str">
        <x:v>18.19 WHS duties - what is 'reasonably practicable' checklist.docx</x:v>
      </x:c>
      <x:c r="E468" s="1" t="str">
        <x:v>https://compliance.store.lexisnexis.com.au/rest/api/v1.1/?a=13668</x:v>
      </x:c>
      <x:c r="F468" s="11" t="n">
        <x:f>=HYPERLINK(E468)</x:f>
      </x:c>
    </x:row>
    <x:row r="469" spans="1:6" x14ac:dyDescent="0.25">
      <x:c r="A469" s="1" t="n">
        <x:v>11113</x:v>
      </x:c>
      <x:c r="B469" s="1" t="str">
        <x:v>Risk and Hazard Management</x:v>
      </x:c>
      <x:c r="C469" s="1" t="str">
        <x:v>ext</x:v>
      </x:c>
      <x:c r="D469" s="1" t="str">
        <x:v>Managing risks to health and safety at the workplace (Safe Work Australia fact sheet, August 2012)</x:v>
      </x:c>
      <x:c r="E469" s="1" t="str">
        <x:v>http://www.safeworkaustralia.gov.au/sites/SWA/about/Publications/Documents/721/Managing-risks-to-health-fact-sheet.pdf</x:v>
      </x:c>
      <x:c r="F469" s="11" t="n">
        <x:f>=HYPERLINK(E469)</x:f>
      </x:c>
    </x:row>
    <x:row r="470" spans="1:6" x14ac:dyDescent="0.25">
      <x:c r="A470" s="1" t="n">
        <x:v>12017</x:v>
      </x:c>
      <x:c r="B470" s="1" t="str">
        <x:v>Rights of WHS Entry Permit Holders in the Workplace</x:v>
      </x:c>
      <x:c r="C470" s="1" t="str">
        <x:v>ext</x:v>
      </x:c>
      <x:c r="D470" s="1" t="str">
        <x:v>Interpretive guideline—model WHS Act—workplace entry by work health and safety entry permit holders, October 2012 (Safe Work Australia)</x:v>
      </x:c>
      <x:c r="E470" s="1" t="str">
        <x:v>http://www.safeworkaustralia.gov.au/sites/swa/about/publications/pages/interpretive-guideline-workplace-entry</x:v>
      </x:c>
      <x:c r="F470" s="11" t="n">
        <x:f>=HYPERLINK(E470)</x:f>
      </x:c>
    </x:row>
    <x:row r="471" spans="1:6" x14ac:dyDescent="0.25">
      <x:c r="A471" s="1" t="n">
        <x:v>12013</x:v>
      </x:c>
      <x:c r="B471" s="1" t="str">
        <x:v>Workplace Entry by WHS Entry Permit Holders</x:v>
      </x:c>
      <x:c r="C471" s="1" t="str">
        <x:v>ext</x:v>
      </x:c>
      <x:c r="D471" s="1" t="str">
        <x:v>Interpretive Guideline—Model WHS Act—workplace entry by work health and safety entry permit holders, October 2012 (Safe Work Australia)</x:v>
      </x:c>
      <x:c r="E471" s="1" t="str">
        <x:v>http://www.safeworkaustralia.gov.au/sites/swa/about/publications/pages/interpretive-guideline-workplace-entry</x:v>
      </x:c>
      <x:c r="F471" s="11" t="n">
        <x:f>=HYPERLINK(E471)</x:f>
      </x:c>
    </x:row>
    <x:row r="472" spans="1:6" x14ac:dyDescent="0.25">
      <x:c r="A472" s="1" t="n">
        <x:v>12006</x:v>
      </x:c>
      <x:c r="B472" s="1" t="str">
        <x:v>Workplace Entry by WHS Entry Permit Holders</x:v>
      </x:c>
      <x:c r="C472" s="1" t="str">
        <x:v>ext</x:v>
      </x:c>
      <x:c r="D472" s="1" t="str">
        <x:v>Australian Capital Territory register of WHS entry permit holders (WorkSafe ACT)</x:v>
      </x:c>
      <x:c r="E472" s="1" t="str">
        <x:v>http://worksafe.act.gov.au/page/view/1773/title/list-of-workplace-health-and</x:v>
      </x:c>
      <x:c r="F472" s="11" t="n">
        <x:f>=HYPERLINK(E472)</x:f>
      </x:c>
    </x:row>
    <x:row r="473" spans="1:6" x14ac:dyDescent="0.25">
      <x:c r="A473" s="1" t="n">
        <x:v>12008</x:v>
      </x:c>
      <x:c r="B473" s="1" t="str">
        <x:v>Workplace Entry by WHS Entry Permit Holders</x:v>
      </x:c>
      <x:c r="C473" s="1" t="str">
        <x:v>ext</x:v>
      </x:c>
      <x:c r="D473" s="1" t="str">
        <x:v>Northern Territory register of WHS entry permit holders (NT WorkSafe)</x:v>
      </x:c>
      <x:c r="E473" s="1" t="str">
        <x:v>http://www.worksafe.nt.gov.au/Business/Pages/Entry-Permits.aspx</x:v>
      </x:c>
      <x:c r="F473" s="11" t="n">
        <x:f>=HYPERLINK(E473)</x:f>
      </x:c>
    </x:row>
    <x:row r="474" spans="1:6" x14ac:dyDescent="0.25">
      <x:c r="A474" s="1" t="n">
        <x:v>12009</x:v>
      </x:c>
      <x:c r="B474" s="1" t="str">
        <x:v>Workplace Entry by WHS Entry Permit Holders</x:v>
      </x:c>
      <x:c r="C474" s="1" t="str">
        <x:v>ext</x:v>
      </x:c>
      <x:c r="D474" s="1" t="str">
        <x:v>Queensland register of WHS entry permit holders (Queensland Industrial Relations Commission)</x:v>
      </x:c>
      <x:c r="E474" s="1" t="str">
        <x:v>http://www.qirc.qld.gov.au/qirc/organisations/register.htm</x:v>
      </x:c>
      <x:c r="F474" s="11" t="n">
        <x:f>=HYPERLINK(E474)</x:f>
      </x:c>
    </x:row>
    <x:row r="475" spans="1:6" x14ac:dyDescent="0.25">
      <x:c r="A475" s="1" t="n">
        <x:v>12011</x:v>
      </x:c>
      <x:c r="B475" s="1" t="str">
        <x:v>Workplace Entry by WHS Entry Permit Holders</x:v>
      </x:c>
      <x:c r="C475" s="1" t="str">
        <x:v>ext</x:v>
      </x:c>
      <x:c r="D475" s="1" t="str">
        <x:v>Tasmanian register of WHS entry permit holders (WorkSafe Tasmania)</x:v>
      </x:c>
      <x:c r="E475" s="1" t="str">
        <x:v>http://worksafe.tas.gov.au/safety/safety_subjects/subject/whs_entry_permit_holders/current_entry_permit_holders</x:v>
      </x:c>
      <x:c r="F475" s="11" t="n">
        <x:f>=HYPERLINK(E475)</x:f>
      </x:c>
    </x:row>
    <x:row r="476" spans="1:6" x14ac:dyDescent="0.25">
      <x:c r="A476" s="1" t="n">
        <x:v>13717</x:v>
      </x:c>
      <x:c r="B476" s="1" t="str">
        <x:v>Workplace Entry by WHS Entry Permit Holders</x:v>
      </x:c>
      <x:c r="C476" s="1" t="str">
        <x:v>doc</x:v>
      </x:c>
      <x:c r="D476" s="1" t="str">
        <x:v>18.34 WHS workplace and facilities management - management or control of a workplace checklist.docx</x:v>
      </x:c>
      <x:c r="E476" s="1" t="str">
        <x:v>https://compliance.store.lexisnexis.com.au/rest/api/v1.1/?a=13717</x:v>
      </x:c>
      <x:c r="F476" s="11" t="n">
        <x:f>=HYPERLINK(E476)</x:f>
      </x:c>
    </x:row>
    <x:row r="477" spans="1:6" x14ac:dyDescent="0.25">
      <x:c r="A477" s="1" t="n">
        <x:v>12010</x:v>
      </x:c>
      <x:c r="B477" s="1" t="str">
        <x:v>Workplace Entry by WHS Entry Permit Holders</x:v>
      </x:c>
      <x:c r="C477" s="1" t="str">
        <x:v>ext</x:v>
      </x:c>
      <x:c r="D477" s="1" t="str">
        <x:v>South Australian register of WHS entry permit holders (Industrial Relations Commission of South Australia)</x:v>
      </x:c>
      <x:c r="E477" s="1" t="str">
        <x:v>http://www.industrialcourt.sa.gov.au/index.cfm?objectID=835A5E52-9EC3-2015-9C56156E1A17DA9A</x:v>
      </x:c>
      <x:c r="F477" s="11" t="n">
        <x:f>=HYPERLINK(E477)</x:f>
      </x:c>
    </x:row>
    <x:row r="478" spans="1:6" x14ac:dyDescent="0.25">
      <x:c r="A478" s="1" t="n">
        <x:v>12007</x:v>
      </x:c>
      <x:c r="B478" s="1" t="str">
        <x:v>Workplace Entry by WHS Entry Permit Holders</x:v>
      </x:c>
      <x:c r="C478" s="1" t="str">
        <x:v>ext</x:v>
      </x:c>
      <x:c r="D478" s="1" t="str">
        <x:v>New South Wales register of WHS entry permit holders (NSW Industrial Relations Commission)</x:v>
      </x:c>
      <x:c r="E478" s="1" t="str">
        <x:v>http://www.irc.justice.nsw.gov.au/Pages/IRC_procedures_legislation/IRC_procedures_legislation_indorg_whf_register.aspx</x:v>
      </x:c>
      <x:c r="F478" s="11" t="n">
        <x:f>=HYPERLINK(E478)</x:f>
      </x:c>
    </x:row>
    <x:row r="479" spans="1:6" x14ac:dyDescent="0.25">
      <x:c r="A479" s="1" t="n">
        <x:v>12012</x:v>
      </x:c>
      <x:c r="B479" s="1" t="str">
        <x:v>Workplace Entry by WHS Entry Permit Holders</x:v>
      </x:c>
      <x:c r="C479" s="1" t="str">
        <x:v>ext</x:v>
      </x:c>
      <x:c r="D479" s="1" t="str">
        <x:v>WHS entry permit holder search tool (Fair Work Commission)</x:v>
      </x:c>
      <x:c r="E479" s="1" t="str">
        <x:v>http://www.fwc.gov.au/registered-organisations/entry-permits/check-entry-permit</x:v>
      </x:c>
      <x:c r="F479" s="11" t="n">
        <x:f>=HYPERLINK(E479)</x:f>
      </x:c>
    </x:row>
    <x:row r="480" spans="1:6" x14ac:dyDescent="0.25">
      <x:c r="A480" s="1" t="n">
        <x:v>13716</x:v>
      </x:c>
      <x:c r="B480" s="1" t="str">
        <x:v>Providing Documents to an Inspector and Answering an Inspector’s Questions</x:v>
      </x:c>
      <x:c r="C480" s="1" t="str">
        <x:v>doc</x:v>
      </x:c>
      <x:c r="D480" s="1" t="str">
        <x:v>18.23 WHS investigations and enforcement - inspector's compliance powers checklist.docx</x:v>
      </x:c>
      <x:c r="E480" s="1" t="str">
        <x:v>https://compliance.store.lexisnexis.com.au/rest/api/v1.1/?a=13716</x:v>
      </x:c>
      <x:c r="F480" s="11" t="n">
        <x:f>=HYPERLINK(E480)</x:f>
      </x:c>
    </x:row>
    <x:row r="481" spans="1:6" x14ac:dyDescent="0.25">
      <x:c r="A481" s="1" t="n">
        <x:v>11985</x:v>
      </x:c>
      <x:c r="B481" s="1" t="str">
        <x:v>Providing Documents to an Inspector and Answering an Inspector’s Questions</x:v>
      </x:c>
      <x:c r="C481" s="1" t="str">
        <x:v>ext</x:v>
      </x:c>
      <x:c r="D481" s="1" t="str">
        <x:v>National compliance and enforcement policy (Safe Work Australia, September 2011)</x:v>
      </x:c>
      <x:c r="E481" s="1" t="str">
        <x:v>http://www.safeworkaustralia.gov.au/sites/swa/about/publications/pages/national-compliance-enforcement-policy</x:v>
      </x:c>
      <x:c r="F481" s="11" t="n">
        <x:f>=HYPERLINK(E481)</x:f>
      </x:c>
    </x:row>
    <x:row r="482" spans="1:6" x14ac:dyDescent="0.25">
      <x:c r="A482" s="1" t="n">
        <x:v>11990</x:v>
      </x:c>
      <x:c r="B482" s="1" t="str">
        <x:v>Prohibition Notices</x:v>
      </x:c>
      <x:c r="C482" s="1" t="str">
        <x:v>ext</x:v>
      </x:c>
      <x:c r="D482" s="1" t="str">
        <x:v>National compliance and enforcement policy (Safe Work Australia, September 2011)</x:v>
      </x:c>
      <x:c r="E482" s="1" t="str">
        <x:v>http://www.safeworkaustralia.gov.au/sites/swa/about/publications/pages/national-compliance-enforcement-policy</x:v>
      </x:c>
      <x:c r="F482" s="11" t="n">
        <x:f>=HYPERLINK(E482)</x:f>
      </x:c>
    </x:row>
    <x:row r="483" spans="1:6" x14ac:dyDescent="0.25">
      <x:c r="A483" s="1" t="n">
        <x:v>12000</x:v>
      </x:c>
      <x:c r="B483" s="1" t="str">
        <x:v>Enforceable Undertakings</x:v>
      </x:c>
      <x:c r="C483" s="1" t="str">
        <x:v>ext</x:v>
      </x:c>
      <x:c r="D483" s="1" t="str">
        <x:v>WorkCover Queensland, ‘Enforceable undertakings’</x:v>
      </x:c>
      <x:c r="E483" s="1" t="str">
        <x:v>http://www.worksafe.qld.gov.au/laws-and-compliance/enforceable-undertakings</x:v>
      </x:c>
      <x:c r="F483" s="11" t="n">
        <x:f>=HYPERLINK(E483)</x:f>
      </x:c>
    </x:row>
    <x:row r="484" spans="1:6" x14ac:dyDescent="0.25">
      <x:c r="A484" s="1" t="n">
        <x:v>11997</x:v>
      </x:c>
      <x:c r="B484" s="1" t="str">
        <x:v>Enforceable Undertakings</x:v>
      </x:c>
      <x:c r="C484" s="1" t="str">
        <x:v>ext</x:v>
      </x:c>
      <x:c r="D484" s="1" t="str">
        <x:v>WorkSafe ACT, ‘Enforceable undertakings’</x:v>
      </x:c>
      <x:c r="E484" s="1" t="str">
        <x:v>http://www.worksafe.act.gov.au/page/view/3735</x:v>
      </x:c>
      <x:c r="F484" s="11" t="n">
        <x:f>=HYPERLINK(E484)</x:f>
      </x:c>
    </x:row>
    <x:row r="485" spans="1:6" x14ac:dyDescent="0.25">
      <x:c r="A485" s="1" t="n">
        <x:v>11996</x:v>
      </x:c>
      <x:c r="B485" s="1" t="str">
        <x:v>Enforceable Undertakings</x:v>
      </x:c>
      <x:c r="C485" s="1" t="str">
        <x:v>ext</x:v>
      </x:c>
      <x:c r="D485" s="1" t="str">
        <x:v>National compliance and enforcement policy (Safe Work Australia, September 2011)</x:v>
      </x:c>
      <x:c r="E485" s="1" t="str">
        <x:v>http://www.safeworkaustralia.gov.au/sites/swa/about/publications/pages/national-compliance-enforcement-policy</x:v>
      </x:c>
      <x:c r="F485" s="11" t="n">
        <x:f>=HYPERLINK(E485)</x:f>
      </x:c>
    </x:row>
    <x:row r="486" spans="1:6" x14ac:dyDescent="0.25">
      <x:c r="A486" s="1" t="n">
        <x:v>11995</x:v>
      </x:c>
      <x:c r="B486" s="1" t="str">
        <x:v>Enforceable Undertakings</x:v>
      </x:c>
      <x:c r="C486" s="1" t="str">
        <x:v>ext</x:v>
      </x:c>
      <x:c r="D486" s="1" t="str">
        <x:v>Comcare, ‘Work health and safety undertakings’</x:v>
      </x:c>
      <x:c r="E486" s="1" t="str">
        <x:v>http://www.comcare.gov.au/the_scheme/work_Health_and_safety_compliance_and_enforcement/work_health_and_safety_undertakings</x:v>
      </x:c>
      <x:c r="F486" s="11" t="n">
        <x:f>=HYPERLINK(E486)</x:f>
      </x:c>
    </x:row>
    <x:row r="487" spans="1:6" x14ac:dyDescent="0.25">
      <x:c r="A487" s="1" t="n">
        <x:v>11999</x:v>
      </x:c>
      <x:c r="B487" s="1" t="str">
        <x:v>Enforceable Undertakings</x:v>
      </x:c>
      <x:c r="C487" s="1" t="str">
        <x:v>ext</x:v>
      </x:c>
      <x:c r="D487" s="1" t="str">
        <x:v>NT WorkSafe, ‘Enforceable undertakings’</x:v>
      </x:c>
      <x:c r="E487" s="1" t="str">
        <x:v>http://www.worksafe.nt.gov.au/Business/Pages/Enforceable-Undertakings.aspx</x:v>
      </x:c>
      <x:c r="F487" s="11" t="n">
        <x:f>=HYPERLINK(E487)</x:f>
      </x:c>
    </x:row>
    <x:row r="488" spans="1:6" x14ac:dyDescent="0.25">
      <x:c r="A488" s="1" t="n">
        <x:v>12001</x:v>
      </x:c>
      <x:c r="B488" s="1" t="str">
        <x:v>Enforceable Undertakings</x:v>
      </x:c>
      <x:c r="C488" s="1" t="str">
        <x:v>ext</x:v>
      </x:c>
      <x:c r="D488" s="1" t="str">
        <x:v>SafeWork SA, ‘Enforceable undertakings’</x:v>
      </x:c>
      <x:c r="E488" s="1" t="str">
        <x:v>http://www.safework.sa.gov.au/show_page.jsp?id=112110#.VnfVJq9ukcQ</x:v>
      </x:c>
      <x:c r="F488" s="11" t="n">
        <x:f>=HYPERLINK(E488)</x:f>
      </x:c>
    </x:row>
    <x:row r="489" spans="1:6" x14ac:dyDescent="0.25">
      <x:c r="A489" s="1" t="n">
        <x:v>12002</x:v>
      </x:c>
      <x:c r="B489" s="1" t="str">
        <x:v>Enforceable Undertakings</x:v>
      </x:c>
      <x:c r="C489" s="1" t="str">
        <x:v>ext</x:v>
      </x:c>
      <x:c r="D489" s="1" t="str">
        <x:v>WorkSafe Tasmania, ‘Enforcing the laws’</x:v>
      </x:c>
      <x:c r="E489" s="1" t="str">
        <x:v>http://worksafe.tas.gov.au/laws/compliance_and_enforcement/enforcing_the_laws</x:v>
      </x:c>
      <x:c r="F489" s="11" t="n">
        <x:f>=HYPERLINK(E489)</x:f>
      </x:c>
    </x:row>
    <x:row r="490" spans="1:6" x14ac:dyDescent="0.25">
      <x:c r="A490" s="1" t="n">
        <x:v>11998</x:v>
      </x:c>
      <x:c r="B490" s="1" t="str">
        <x:v>Enforceable Undertakings</x:v>
      </x:c>
      <x:c r="C490" s="1" t="str">
        <x:v>ext</x:v>
      </x:c>
      <x:c r="D490" s="1" t="str">
        <x:v>WorkCover NSW, ‘Enforceable undertakings’</x:v>
      </x:c>
      <x:c r="E490" s="1" t="str">
        <x:v>http://www.workcover.nsw.gov.au/law-and-policy/enforcement/enforceable-undertakings</x:v>
      </x:c>
      <x:c r="F490" s="11" t="n">
        <x:f>=HYPERLINK(E490)</x:f>
      </x:c>
    </x:row>
    <x:row r="491" spans="1:6" x14ac:dyDescent="0.25">
      <x:c r="A491" s="1" t="n">
        <x:v>11991</x:v>
      </x:c>
      <x:c r="B491" s="1" t="str">
        <x:v>Non-Disturbance Notices</x:v>
      </x:c>
      <x:c r="C491" s="1" t="str">
        <x:v>ext</x:v>
      </x:c>
      <x:c r="D491" s="1" t="str">
        <x:v>National compliance and enforcement policy (Safe Work Australia, September 2011)</x:v>
      </x:c>
      <x:c r="E491" s="1" t="str">
        <x:v>http://www.safeworkaustralia.gov.au/sites/swa/about/publications/pages/national-compliance-enforcement-policy</x:v>
      </x:c>
      <x:c r="F491" s="11" t="n">
        <x:f>=HYPERLINK(E491)</x:f>
      </x:c>
    </x:row>
    <x:row r="492" spans="1:6" x14ac:dyDescent="0.25">
      <x:c r="A492" s="1" t="n">
        <x:v>11986</x:v>
      </x:c>
      <x:c r="B492" s="1" t="str">
        <x:v>Inspector’s Power to Seize Evidence and Dangerous Workplaces and Things</x:v>
      </x:c>
      <x:c r="C492" s="1" t="str">
        <x:v>ext</x:v>
      </x:c>
      <x:c r="D492" s="1" t="str">
        <x:v>National compliance and enforcement policy (Safe Work Australia, September 2011)</x:v>
      </x:c>
      <x:c r="E492" s="1" t="str">
        <x:v>http://www.safeworkaustralia.gov.au/sites/swa/about/publications/pages/national-compliance-enforcement-policy</x:v>
      </x:c>
      <x:c r="F492" s="11" t="n">
        <x:f>=HYPERLINK(E492)</x:f>
      </x:c>
    </x:row>
    <x:row r="493" spans="1:6" x14ac:dyDescent="0.25">
      <x:c r="A493" s="1" t="n">
        <x:v>13715</x:v>
      </x:c>
      <x:c r="B493" s="1" t="str">
        <x:v>Inspector’s Power to Enter a Workplace</x:v>
      </x:c>
      <x:c r="C493" s="1" t="str">
        <x:v>doc</x:v>
      </x:c>
      <x:c r="D493" s="1" t="str">
        <x:v>18.24 WHS investigations and enforcement - inspector's powers under a warrant checklist.docx</x:v>
      </x:c>
      <x:c r="E493" s="1" t="str">
        <x:v>https://compliance.store.lexisnexis.com.au/rest/api/v1.1/?a=13715</x:v>
      </x:c>
      <x:c r="F493" s="11" t="n">
        <x:f>=HYPERLINK(E493)</x:f>
      </x:c>
    </x:row>
    <x:row r="494" spans="1:6" x14ac:dyDescent="0.25">
      <x:c r="A494" s="1" t="n">
        <x:v>11983</x:v>
      </x:c>
      <x:c r="B494" s="1" t="str">
        <x:v>Inspector’s Power to Enter a Workplace</x:v>
      </x:c>
      <x:c r="C494" s="1" t="str">
        <x:v>ext</x:v>
      </x:c>
      <x:c r="D494" s="1" t="str">
        <x:v>National compliance and enforcement policy (Safe Work Australia, September 2011)</x:v>
      </x:c>
      <x:c r="E494" s="1" t="str">
        <x:v>http://www.safeworkaustralia.gov.au/sites/swa/about/publications/pages/national-compliance-enforcement-policy</x:v>
      </x:c>
      <x:c r="F494" s="11" t="n">
        <x:f>=HYPERLINK(E494)</x:f>
      </x:c>
    </x:row>
    <x:row r="495" spans="1:6" x14ac:dyDescent="0.25">
      <x:c r="A495" s="1" t="n">
        <x:v>13714</x:v>
      </x:c>
      <x:c r="B495" s="1" t="str">
        <x:v>Inspector’s Power to Enter a Workplace</x:v>
      </x:c>
      <x:c r="C495" s="1" t="str">
        <x:v>doc</x:v>
      </x:c>
      <x:c r="D495" s="1" t="str">
        <x:v>18.23 WHS investigations and enforcement - inspector's compliance powers checklist.docx</x:v>
      </x:c>
      <x:c r="E495" s="1" t="str">
        <x:v>https://compliance.store.lexisnexis.com.au/rest/api/v1.1/?a=13714</x:v>
      </x:c>
      <x:c r="F495" s="11" t="n">
        <x:f>=HYPERLINK(E495)</x:f>
      </x:c>
    </x:row>
    <x:row r="496" spans="1:6" x14ac:dyDescent="0.25">
      <x:c r="A496" s="1" t="n">
        <x:v>11989</x:v>
      </x:c>
      <x:c r="B496" s="1" t="str">
        <x:v>Improvement Notices</x:v>
      </x:c>
      <x:c r="C496" s="1" t="str">
        <x:v>ext</x:v>
      </x:c>
      <x:c r="D496" s="1" t="str">
        <x:v>National compliance and enforcement policy (Safe Work Australia, September 2011)</x:v>
      </x:c>
      <x:c r="E496" s="1" t="str">
        <x:v>http://www.safeworkaustralia.gov.au/sites/swa/about/publications/pages/national-compliance-enforcement-policy</x:v>
      </x:c>
      <x:c r="F496" s="11" t="n">
        <x:f>=HYPERLINK(E496)</x:f>
      </x:c>
    </x:row>
    <x:row r="497" spans="1:6" x14ac:dyDescent="0.25">
      <x:c r="A497" s="1" t="n">
        <x:v>11981</x:v>
      </x:c>
      <x:c r="B497" s="1" t="str">
        <x:v>Providing Information, Documents and Evidence to the Regulator</x:v>
      </x:c>
      <x:c r="C497" s="1" t="str">
        <x:v>ext</x:v>
      </x:c>
      <x:c r="D497" s="1" t="str">
        <x:v>Safe Work Australia, ‘Work health and safety regulators’</x:v>
      </x:c>
      <x:c r="E497" s="1" t="str">
        <x:v>http://www.safeworkaustralia.gov.au/sites/swa/about/who-we-work-with/regulators/pages/whs-regulators</x:v>
      </x:c>
      <x:c r="F497" s="11" t="n">
        <x:f>=HYPERLINK(E497)</x:f>
      </x:c>
    </x:row>
    <x:row r="498" spans="1:6" x14ac:dyDescent="0.25">
      <x:c r="A498" s="1" t="n">
        <x:v>11982</x:v>
      </x:c>
      <x:c r="B498" s="1" t="str">
        <x:v>Providing Information, Documents and Evidence to the Regulator</x:v>
      </x:c>
      <x:c r="C498" s="1" t="str">
        <x:v>ext</x:v>
      </x:c>
      <x:c r="D498" s="1" t="str">
        <x:v>National compliance and enforcement policy (Safe Work Australia, September 2011)</x:v>
      </x:c>
      <x:c r="E498" s="1" t="str">
        <x:v>http://www.safeworkaustralia.gov.au/sites/swa/about/publications/pages/national-compliance-enforcement-policy</x:v>
      </x:c>
      <x:c r="F498" s="11" t="n">
        <x:f>=HYPERLINK(E498)</x:f>
      </x:c>
    </x:row>
    <x:row r="499" spans="1:6" x14ac:dyDescent="0.25">
      <x:c r="A499" s="1" t="n">
        <x:v>11984</x:v>
      </x:c>
      <x:c r="B499" s="1" t="str">
        <x:v>Giving Reasonable Help to an Inspector</x:v>
      </x:c>
      <x:c r="C499" s="1" t="str">
        <x:v>ext</x:v>
      </x:c>
      <x:c r="D499" s="1" t="str">
        <x:v>National compliance and enforcement policy (Safe Work Australia, September 2011)</x:v>
      </x:c>
      <x:c r="E499" s="1" t="str">
        <x:v>http://www.safeworkaustralia.gov.au/sites/swa/about/publications/pages/national-compliance-enforcement-policy</x:v>
      </x:c>
      <x:c r="F499" s="11" t="n">
        <x:f>=HYPERLINK(E499)</x:f>
      </x:c>
    </x:row>
    <x:row r="500" spans="1:6" x14ac:dyDescent="0.25">
      <x:c r="A500" s="1" t="n">
        <x:v>11987</x:v>
      </x:c>
      <x:c r="B500" s="1" t="str">
        <x:v>Inspector’s Power to Require a Name and Address</x:v>
      </x:c>
      <x:c r="C500" s="1" t="str">
        <x:v>ext</x:v>
      </x:c>
      <x:c r="D500" s="1" t="str">
        <x:v>National compliance and enforcement policy (Safe Work Australia, September 2011)</x:v>
      </x:c>
      <x:c r="E500" s="1" t="str">
        <x:v>http://www.safeworkaustralia.gov.au/sites/swa/about/publications/pages/national-compliance-enforcement-policy</x:v>
      </x:c>
      <x:c r="F500" s="11" t="n">
        <x:f>=HYPERLINK(E500)</x:f>
      </x:c>
    </x:row>
    <x:row r="501" spans="1:6" x14ac:dyDescent="0.25">
      <x:c r="A501" s="1" t="n">
        <x:v>11988</x:v>
      </x:c>
      <x:c r="B501" s="1" t="str">
        <x:v>Offences in Relation to Inspectors</x:v>
      </x:c>
      <x:c r="C501" s="1" t="str">
        <x:v>ext</x:v>
      </x:c>
      <x:c r="D501" s="1" t="str">
        <x:v>National compliance and enforcement policy (Safe Work Australia, September 2011)</x:v>
      </x:c>
      <x:c r="E501" s="1" t="str">
        <x:v>http://www.safeworkaustralia.gov.au/sites/swa/about/publications/pages/national-compliance-enforcement-policy</x:v>
      </x:c>
      <x:c r="F501" s="11" t="n">
        <x:f>=HYPERLINK(E501)</x:f>
      </x:c>
    </x:row>
    <x:row r="502" spans="1:6" x14ac:dyDescent="0.25">
      <x:c r="A502" s="1" t="n">
        <x:v>11950</x:v>
      </x:c>
      <x:c r="B502" s="1" t="str">
        <x:v>Investigations and Enforcement</x:v>
      </x:c>
      <x:c r="C502" s="1" t="str">
        <x:v>ext</x:v>
      </x:c>
      <x:c r="D502" s="1" t="str">
        <x:v>National compliance and enforcement policy (Safe Work Australia, September 2011)</x:v>
      </x:c>
      <x:c r="E502" s="1" t="str">
        <x:v>http://www.safeworkaustralia.gov.au/sites/swa/about/publications/pages/national-compliance-enforcement-policy</x:v>
      </x:c>
      <x:c r="F502" s="11" t="n">
        <x:f>=HYPERLINK(E502)</x:f>
      </x:c>
    </x:row>
    <x:row r="503" spans="1:6" x14ac:dyDescent="0.25">
      <x:c r="A503" s="1" t="n">
        <x:v>11251</x:v>
      </x:c>
      <x:c r="B503" s="1" t="str">
        <x:v>Managing the Work Environment</x:v>
      </x:c>
      <x:c r="C503" s="1" t="str">
        <x:v>ext</x:v>
      </x:c>
      <x:c r="D503" s="1" t="str">
        <x:v>Model code of practice - Managing the work environment and facilities, December 2011 (Safe Work Australia)</x:v>
      </x:c>
      <x:c r="E503" s="1" t="str">
        <x:v>http://www.safeworkaustralia.gov.au/sites/swa/about/publications/pages/environment-facilities-cop</x:v>
      </x:c>
      <x:c r="F503" s="11" t="n">
        <x:f>=HYPERLINK(E503)</x:f>
      </x:c>
    </x:row>
    <x:row r="504" spans="1:6" x14ac:dyDescent="0.25">
      <x:c r="A504" s="1" t="n">
        <x:v>11254</x:v>
      </x:c>
      <x:c r="B504" s="1" t="str">
        <x:v>Managing the Work Environment</x:v>
      </x:c>
      <x:c r="C504" s="1" t="str">
        <x:v>ext</x:v>
      </x:c>
      <x:c r="D504" s="1" t="str">
        <x:v>Slips and trips at the workplace (Safe Work Australia fact sheet, February 2012)</x:v>
      </x:c>
      <x:c r="E504" s="1" t="str">
        <x:v>http://www.safeworkaustralia.gov.au/sites/swa/about/publications/pages/slips-trips-factsheet</x:v>
      </x:c>
      <x:c r="F504" s="11" t="n">
        <x:f>=HYPERLINK(E504)</x:f>
      </x:c>
    </x:row>
    <x:row r="505" spans="1:6" x14ac:dyDescent="0.25">
      <x:c r="A505" s="1" t="n">
        <x:v>11252</x:v>
      </x:c>
      <x:c r="B505" s="1" t="str">
        <x:v>Managing the Work Environment</x:v>
      </x:c>
      <x:c r="C505" s="1" t="str">
        <x:v>ext</x:v>
      </x:c>
      <x:c r="D505" s="1" t="str">
        <x:v>Workplace traffic management guidance material (Safe Work Australia, July 2014)</x:v>
      </x:c>
      <x:c r="E505" s="1" t="str">
        <x:v>http://www.safeworkaustralia.gov.au/sites/swa/about/publications/pages/guidance-traffic-management</x:v>
      </x:c>
      <x:c r="F505" s="11" t="n">
        <x:f>=HYPERLINK(E505)</x:f>
      </x:c>
    </x:row>
    <x:row r="506" spans="1:6" x14ac:dyDescent="0.25">
      <x:c r="A506" s="1" t="n">
        <x:v>11253</x:v>
      </x:c>
      <x:c r="B506" s="1" t="str">
        <x:v>Managing the Work Environment</x:v>
      </x:c>
      <x:c r="C506" s="1" t="str">
        <x:v>ext</x:v>
      </x:c>
      <x:c r="D506" s="1" t="str">
        <x:v>National construction code (Australian Building Codes Board)</x:v>
      </x:c>
      <x:c r="E506" s="1" t="str">
        <x:v>https://services.abcb.gov.au/NCCOnline</x:v>
      </x:c>
      <x:c r="F506" s="11" t="n">
        <x:f>=HYPERLINK(E506)</x:f>
      </x:c>
    </x:row>
    <x:row r="507" spans="1:6" x14ac:dyDescent="0.25">
      <x:c r="A507" s="1" t="n">
        <x:v>11286</x:v>
      </x:c>
      <x:c r="B507" s="1" t="str">
        <x:v>First Aid</x:v>
      </x:c>
      <x:c r="C507" s="1" t="str">
        <x:v>ext</x:v>
      </x:c>
      <x:c r="D507" s="1" t="str">
        <x:v>Model code of practice - First aid in the workplace, March 2015 (Safe Work Australia)</x:v>
      </x:c>
      <x:c r="E507" s="1" t="str">
        <x:v>http://www.safeworkaustralia.gov.au/sites/swa/about/publications/pages/first-aid-in-the-workplace</x:v>
      </x:c>
      <x:c r="F507" s="11" t="n">
        <x:f>=HYPERLINK(E507)</x:f>
      </x:c>
    </x:row>
    <x:row r="508" spans="1:6" x14ac:dyDescent="0.25">
      <x:c r="A508" s="1" t="n">
        <x:v>11266</x:v>
      </x:c>
      <x:c r="B508" s="1" t="str">
        <x:v>Facilities Management</x:v>
      </x:c>
      <x:c r="C508" s="1" t="str">
        <x:v>ext</x:v>
      </x:c>
      <x:c r="D508" s="1" t="str">
        <x:v>Model code of practice - Managing the work environment and facilities, December 2011 (Safe Work Australia)</x:v>
      </x:c>
      <x:c r="E508" s="1" t="str">
        <x:v>http://www.safeworkaustralia.gov.au/sites/swa/about/publications/pages/environment-facilities-cop</x:v>
      </x:c>
      <x:c r="F508" s="11" t="n">
        <x:f>=HYPERLINK(E508)</x:f>
      </x:c>
    </x:row>
    <x:row r="509" spans="1:6" x14ac:dyDescent="0.25">
      <x:c r="A509" s="1" t="n">
        <x:v>11267</x:v>
      </x:c>
      <x:c r="B509" s="1" t="str">
        <x:v>Facilities Management</x:v>
      </x:c>
      <x:c r="C509" s="1" t="str">
        <x:v>ext</x:v>
      </x:c>
      <x:c r="D509" s="1" t="str">
        <x:v>National construction code (Australian Building Codes Board)</x:v>
      </x:c>
      <x:c r="E509" s="1" t="str">
        <x:v>https://services.abcb.gov.au/NCCOnline</x:v>
      </x:c>
      <x:c r="F509" s="11" t="n">
        <x:f>=HYPERLINK(E509)</x:f>
      </x:c>
    </x:row>
    <x:row r="510" spans="1:6" x14ac:dyDescent="0.25">
      <x:c r="A510" s="1" t="n">
        <x:v>11301</x:v>
      </x:c>
      <x:c r="B510" s="1" t="str">
        <x:v>Remote, Isolated or Outdoor Work</x:v>
      </x:c>
      <x:c r="C510" s="1" t="str">
        <x:v>ext</x:v>
      </x:c>
      <x:c r="D510" s="1" t="str">
        <x:v>Guide on exposure to solar ultraviolet radiation (UVR), August 2013 (Safe Work Australia)</x:v>
      </x:c>
      <x:c r="E510" s="1" t="str">
        <x:v>http://www.safeworkaustralia.gov.au/sites/swa/about/publications/pages/guide-ultraviolet-radiation</x:v>
      </x:c>
      <x:c r="F510" s="11" t="n">
        <x:f>=HYPERLINK(E510)</x:f>
      </x:c>
    </x:row>
    <x:row r="511" spans="1:6" x14ac:dyDescent="0.25">
      <x:c r="A511" s="1" t="n">
        <x:v>11300</x:v>
      </x:c>
      <x:c r="B511" s="1" t="str">
        <x:v>Remote, Isolated or Outdoor Work</x:v>
      </x:c>
      <x:c r="C511" s="1" t="str">
        <x:v>ext</x:v>
      </x:c>
      <x:c r="D511" s="1" t="str">
        <x:v>Model code of practice – Managing risks of plant in the workplace, September 2013 (Safe Work Australia)</x:v>
      </x:c>
      <x:c r="E511" s="1" t="str">
        <x:v>http://www.safeworkaustralia.gov.au/sites/swa/about/publications/pages/managing-the-risks-of-plant-in-the-workplace</x:v>
      </x:c>
      <x:c r="F511" s="11" t="n">
        <x:f>=HYPERLINK(E511)</x:f>
      </x:c>
    </x:row>
    <x:row r="512" spans="1:6" x14ac:dyDescent="0.25">
      <x:c r="A512" s="1" t="n">
        <x:v>11274</x:v>
      </x:c>
      <x:c r="B512" s="1" t="str">
        <x:v>Emergency Management</x:v>
      </x:c>
      <x:c r="C512" s="1" t="str">
        <x:v>ext</x:v>
      </x:c>
      <x:c r="D512" s="1" t="str">
        <x:v>Model code of practice - Managing the work environment and facilities, December 2011 (Safe Work Australia)</x:v>
      </x:c>
      <x:c r="E512" s="1" t="str">
        <x:v>http://www.safeworkaustralia.gov.au/sites/swa/about/publications/pages/environment-facilities-cop</x:v>
      </x:c>
      <x:c r="F512" s="11" t="n">
        <x:f>=HYPERLINK(E512)</x:f>
      </x:c>
    </x:row>
    <x:row r="513" spans="1:6" x14ac:dyDescent="0.25">
      <x:c r="A513" s="1" t="n">
        <x:v>11275</x:v>
      </x:c>
      <x:c r="B513" s="1" t="str">
        <x:v>Emergency Management</x:v>
      </x:c>
      <x:c r="C513" s="1" t="str">
        <x:v>ext</x:v>
      </x:c>
      <x:c r="D513" s="1" t="str">
        <x:v>Emergency plans fact sheet, February 2012 (Safe Work Australia)</x:v>
      </x:c>
      <x:c r="E513" s="1" t="str">
        <x:v>http://www.safeworkaustralia.gov.au/sites/swa/about/publications/pages/emergency-plans-fact-sheet</x:v>
      </x:c>
      <x:c r="F513" s="11" t="n">
        <x:f>=HYPERLINK(E513)</x:f>
      </x:c>
    </x:row>
    <x:row r="514" spans="1:6" x14ac:dyDescent="0.25">
      <x:c r="A514" s="1" t="n">
        <x:v>11231</x:v>
      </x:c>
      <x:c r="B514" s="1" t="str">
        <x:v>Entry and Exit Safety</x:v>
      </x:c>
      <x:c r="C514" s="1" t="str">
        <x:v>ext</x:v>
      </x:c>
      <x:c r="D514" s="1" t="str">
        <x:v>Hyperlink: Managing the Work Environment and Facilities Code of Practice, December 2011 (Safe Work Australia), available at www.safeworkaustralia.gov.au/sites/swa/about/publications/pages/environment-facilities-cop.</x:v>
      </x:c>
      <x:c r="E514" s="1" t="str">
        <x:v>http://www.safeworkaustralia.gov.au/sites/swa/about/publications/pages/environment-facilities-cop</x:v>
      </x:c>
      <x:c r="F514" s="11" t="n">
        <x:f>=HYPERLINK(E514)</x:f>
      </x:c>
    </x:row>
    <x:row r="515" spans="1:6" x14ac:dyDescent="0.25">
      <x:c r="A515" s="1" t="n">
        <x:v>11232</x:v>
      </x:c>
      <x:c r="B515" s="1" t="str">
        <x:v>Entry and Exit Safety</x:v>
      </x:c>
      <x:c r="C515" s="1" t="str">
        <x:v>ext</x:v>
      </x:c>
      <x:c r="D515" s="1" t="str">
        <x:v>Hyperlink: Workplace traffic management guidance material (Safe Work Australia, July 2014), available at www.safeworkaustralia.gov.au/sites/swa/about/publications/pages/guidance-traffic-management.</x:v>
      </x:c>
      <x:c r="E515" s="1" t="str">
        <x:v>http://www.safeworkaustralia.gov.au/sites/swa/about/publications/pages/guidance-traffic-management</x:v>
      </x:c>
      <x:c r="F515" s="11" t="n">
        <x:f>=HYPERLINK(E515)</x:f>
      </x:c>
    </x:row>
    <x:row r="516" spans="1:6" x14ac:dyDescent="0.25">
      <x:c r="A516" s="1" t="n">
        <x:v>11234</x:v>
      </x:c>
      <x:c r="B516" s="1" t="str">
        <x:v>Entry and Exit Safety</x:v>
      </x:c>
      <x:c r="C516" s="1" t="str">
        <x:v>ext</x:v>
      </x:c>
      <x:c r="D516" s="1" t="str">
        <x:v>Hyperlink: National Construction Code (Australian Building Codes Board), available at https://services.abcb.gov.au/NCCOnline.</x:v>
      </x:c>
      <x:c r="E516" s="1" t="str">
        <x:v>https://services.abcb.gov.au/NCCOnline</x:v>
      </x:c>
      <x:c r="F516" s="11" t="n">
        <x:f>=HYPERLINK(E516)</x:f>
      </x:c>
    </x:row>
    <x:row r="517" spans="1:6" x14ac:dyDescent="0.25">
      <x:c r="A517" s="1" t="n">
        <x:v>11311</x:v>
      </x:c>
      <x:c r="B517" s="1" t="str">
        <x:v>Falling Objects</x:v>
      </x:c>
      <x:c r="C517" s="1" t="str">
        <x:v>ext</x:v>
      </x:c>
      <x:c r="D517" s="1" t="str">
        <x:v>Hyperlink: Falling Objects (Safe Work Australia fact sheet, February 2012), available at www.safeworkaustralia.gov.au/sites/swa/about/publications/pages/falling-objects-fact-sheet.</x:v>
      </x:c>
      <x:c r="E517" s="1" t="str">
        <x:v>http://www.safeworkaustralia.gov.au/sites/swa/about/publications/pages/falling-objects-fact-sheet</x:v>
      </x:c>
      <x:c r="F517" s="11" t="n">
        <x:f>=HYPERLINK(E517)</x:f>
      </x:c>
    </x:row>
    <x:row r="518" spans="1:6" x14ac:dyDescent="0.25">
      <x:c r="A518" s="1" t="n">
        <x:v>12802</x:v>
      </x:c>
      <x:c r="B518" s="1" t="str">
        <x:v>Management of Workplaces, Fixtures, Fittings or Plant</x:v>
      </x:c>
      <x:c r="C518" s="1" t="str">
        <x:v>ext</x:v>
      </x:c>
      <x:c r="D518" s="1" t="str">
        <x:v>Hyperlink: Occupational Safety and Health in Call Centres Code of Practice, 2005 (Commission for Occupational Health and Safety), available at https://www.commerce.wa.gov.au/sites/default/files/atoms/files/code_call_centre_0.pdf</x:v>
      </x:c>
      <x:c r="E518" s="1" t="str">
        <x:v/>
      </x:c>
      <x:c r="F518" s="11" t="n">
        <x:f>=HYPERLINK("#F518","")</x:f>
      </x:c>
    </x:row>
    <x:row r="519" spans="1:6" x14ac:dyDescent="0.25">
      <x:c r="A519" s="1" t="n">
        <x:v>12833</x:v>
      </x:c>
      <x:c r="B519" s="1" t="str">
        <x:v>Management of Workplaces, Fixtures, Fittings or Plant</x:v>
      </x:c>
      <x:c r="C519" s="1" t="str">
        <x:v>ext</x:v>
      </x:c>
      <x:c r="D519" s="1" t="str">
        <x:v>Hyperlink: First Aid Facilities and Services/Workplace Amenities and Facilities/Personal Protective Clothing and Equipment Codes of Practice, 2002 (Commission for Occupational Health and Safety)</x:v>
      </x:c>
      <x:c r="E519" s="1" t="str">
        <x:v>http://www.commerce.wa.gov.au/sites/default/files/atoms/files/code_first_aid_0.pdf</x:v>
      </x:c>
      <x:c r="F519" s="11" t="n">
        <x:f>=HYPERLINK(E519)</x:f>
      </x:c>
    </x:row>
    <x:row r="520" spans="1:6" x14ac:dyDescent="0.25">
      <x:c r="A520" s="1" t="n">
        <x:v>13718</x:v>
      </x:c>
      <x:c r="B520" s="1" t="str">
        <x:v>Management of Workplaces, Fixtures, Fittings or Plant</x:v>
      </x:c>
      <x:c r="C520" s="1" t="str">
        <x:v>doc</x:v>
      </x:c>
      <x:c r="D520" s="1" t="str">
        <x:v>18.34 WHS workplace and facilities management - management or control of a workplace checklist.docx</x:v>
      </x:c>
      <x:c r="E520" s="1" t="str">
        <x:v>https://compliance.store.lexisnexis.com.au/rest/api/v1.1/?a=13718</x:v>
      </x:c>
      <x:c r="F520" s="11" t="n">
        <x:f>=HYPERLINK(E520)</x:f>
      </x:c>
    </x:row>
    <x:row r="521" spans="1:6" x14ac:dyDescent="0.25">
      <x:c r="A521" s="1" t="n">
        <x:v>11220</x:v>
      </x:c>
      <x:c r="B521" s="1" t="str">
        <x:v>Management of Workplaces, Fixtures, Fittings or Plant</x:v>
      </x:c>
      <x:c r="C521" s="1" t="str">
        <x:v>ext</x:v>
      </x:c>
      <x:c r="D521" s="1" t="str">
        <x:v>Hyperlink: Managing Risks of Plant in the Workplace Code of Practice, September 2013 (Safe Work Australia), available at www.safeworkaustralia.gov.au/sites/swa/about/publications/pages/managing-the-risks-of-plant-in-the-workplace.</x:v>
      </x:c>
      <x:c r="E521" s="1" t="str">
        <x:v>http://www.safeworkaustralia.gov.au/sites/swa/about/publications/pages/managing-the-risks-of-plant-in-the-workplace</x:v>
      </x:c>
      <x:c r="F521" s="11" t="n">
        <x:f>=HYPERLINK(E521)</x:f>
      </x:c>
    </x:row>
    <x:row r="522" spans="1:6" x14ac:dyDescent="0.25">
      <x:c r="A522" s="1" t="n">
        <x:v>11224</x:v>
      </x:c>
      <x:c r="B522" s="1" t="str">
        <x:v>Management of Workplaces, Fixtures, Fittings or Plant</x:v>
      </x:c>
      <x:c r="C522" s="1" t="str">
        <x:v>ext</x:v>
      </x:c>
      <x:c r="D522" s="1" t="str">
        <x:v>Hyperlink: Interpretive Guideline—Model Work Health and Safety Act—the meaning of ‘reasonably practicable’, September 2011 (Safe Work Australia), available at www.safeworkaustralia.gov.au/sites/swa/about/publications/pages/interpretive-guideline-r</x:v>
      </x:c>
      <x:c r="E522" s="1" t="str">
        <x:v>http://www.safeworkaustralia.gov.au/sites/swa/about/publications/pages/interpretive-guideline-reasonably-practicable</x:v>
      </x:c>
      <x:c r="F522" s="11" t="n">
        <x:f>=HYPERLINK(E522)</x:f>
      </x:c>
    </x:row>
    <x:row r="523" spans="1:6" x14ac:dyDescent="0.25">
      <x:c r="A523" s="1" t="n">
        <x:v>11223</x:v>
      </x:c>
      <x:c r="B523" s="1" t="str">
        <x:v>Management of Workplaces, Fixtures, Fittings or Plant</x:v>
      </x:c>
      <x:c r="C523" s="1" t="str">
        <x:v>ext</x:v>
      </x:c>
      <x:c r="D523" s="1" t="str">
        <x:v>Hyperlink: How to Determine What Is Reasonably Practicable to Meet a Health and Safety Duty, May 2013 (Safe Work Australia guide), available at www.safeworkaustralia.gov.au/sites/swa/about/publications/pages/guide-reasonably-practicable.</x:v>
      </x:c>
      <x:c r="E523" s="1" t="str">
        <x:v>http://www.safeworkaustralia.gov.au/sites/swa/about/publications/pages/guide-reasonably-practicable</x:v>
      </x:c>
      <x:c r="F523" s="11" t="n">
        <x:f>=HYPERLINK(E523)</x:f>
      </x:c>
    </x:row>
    <x:row r="524" spans="1:6" x14ac:dyDescent="0.25">
      <x:c r="A524" s="1" t="n">
        <x:v>11221</x:v>
      </x:c>
      <x:c r="B524" s="1" t="str">
        <x:v>Management of Workplaces, Fixtures, Fittings or Plant</x:v>
      </x:c>
      <x:c r="C524" s="1" t="str">
        <x:v>ext</x:v>
      </x:c>
      <x:c r="D524" s="1" t="str">
        <x:v>Hyperlink: How to Manage Work Health and Safety Risks Code of Practice, December 2011 (Safe Work Australia), available at www.safeworkaustralia.gov.au/sites/swa/about/publications/pages/manage-whs-risks-cop.</x:v>
      </x:c>
      <x:c r="E524" s="1" t="str">
        <x:v>http://www.safeworkaustralia.gov.au/sites/swa/about/publications/pages/manage-whs-risks-cop</x:v>
      </x:c>
      <x:c r="F524" s="11" t="n">
        <x:f>=HYPERLINK(E524)</x:f>
      </x:c>
    </x:row>
    <x:row r="525" spans="1:6" x14ac:dyDescent="0.25">
      <x:c r="A525" s="1" t="n">
        <x:v>12800</x:v>
      </x:c>
      <x:c r="B525" s="1" t="str">
        <x:v>Management of Workplaces, Fixtures, Fittings or Plant</x:v>
      </x:c>
      <x:c r="C525" s="1" t="str">
        <x:v>ext</x:v>
      </x:c>
      <x:c r="D525" s="1" t="str">
        <x:v>Hyperlink: Dangerous Machines Safety Checklist, 2012 (WorkSafe Victoria), available at https://www.worksafe.vic.gov.au/forms-and-publications/forms-and-publications/dangerous-machines-and-your-workplace</x:v>
      </x:c>
      <x:c r="E525" s="1" t="str">
        <x:v/>
      </x:c>
      <x:c r="F525" s="11" t="n">
        <x:f>=HYPERLINK("#F525","")</x:f>
      </x:c>
    </x:row>
    <x:row r="526" spans="1:6" x14ac:dyDescent="0.25">
      <x:c r="A526" s="1" t="n">
        <x:v>11222</x:v>
      </x:c>
      <x:c r="B526" s="1" t="str">
        <x:v>Management of Workplaces, Fixtures, Fittings or Plant</x:v>
      </x:c>
      <x:c r="C526" s="1" t="str">
        <x:v>ext</x:v>
      </x:c>
      <x:c r="D526" s="1" t="str">
        <x:v>Hyperlink: Managing the Work Environment and Facilities Code of Practice, December 2011 (Safe Work Australia), available at www.safeworkaustralia.gov.au/sites/swa/about/publications/pages/environment-facilities-cop.</x:v>
      </x:c>
      <x:c r="E526" s="1" t="str">
        <x:v>http://www.safeworkaustralia.gov.au/sites/swa/about/publications/pages/environment-facilities-cop</x:v>
      </x:c>
      <x:c r="F526" s="11" t="n">
        <x:f>=HYPERLINK(E526)</x:f>
      </x:c>
    </x:row>
    <x:row r="527" spans="1:6" x14ac:dyDescent="0.25">
      <x:c r="A527" s="1" t="n">
        <x:v>12801</x:v>
      </x:c>
      <x:c r="B527" s="1" t="str">
        <x:v>Management of Workplaces, Fixtures, Fittings or Plant</x:v>
      </x:c>
      <x:c r="C527" s="1" t="str">
        <x:v>ext</x:v>
      </x:c>
      <x:c r="D527" s="1" t="str">
        <x:v>Safeguarding of machinery and plant code of Practice, 2009 (Commission for Occupational Health and Safety and MIAC)</x:v>
      </x:c>
      <x:c r="E527" s="1" t="str">
        <x:v>https://www.commerce.wa.gov.au/sites/default/files/atoms/files/safeguarding_of_machinery_and_plant.pdf</x:v>
      </x:c>
      <x:c r="F527" s="11" t="n">
        <x:f>=HYPERLINK(E527)</x:f>
      </x:c>
    </x:row>
    <x:row r="528" spans="1:6" x14ac:dyDescent="0.25">
      <x:c r="A528" s="1" t="n">
        <x:v>12799</x:v>
      </x:c>
      <x:c r="B528" s="1" t="str">
        <x:v>Management of Workplaces, Fixtures, Fittings or Plant</x:v>
      </x:c>
      <x:c r="C528" s="1" t="str">
        <x:v>ext</x:v>
      </x:c>
      <x:c r="D528" s="1" t="str">
        <x:v>Workplace amenities and work environment compliance code, September 2008 (WorkSafe Victoria) </x:v>
      </x:c>
      <x:c r="E528" s="1" t="str">
        <x:v>https://www.worksafe.vic.gov.au/__data/assets/pdf_file/0004/9229/Workplace_amenities_CC.pdf</x:v>
      </x:c>
      <x:c r="F528" s="11" t="n">
        <x:f>=HYPERLINK(E528)</x:f>
      </x:c>
    </x:row>
    <x:row r="529" spans="1:6" x14ac:dyDescent="0.25">
      <x:c r="A529" s="1" t="n">
        <x:v>12240</x:v>
      </x:c>
      <x:c r="B529" s="1" t="str">
        <x:v>Workplace and Facilities Management</x:v>
      </x:c>
      <x:c r="C529" s="1" t="str">
        <x:v>ext</x:v>
      </x:c>
      <x:c r="D529" s="1" t="str">
        <x:v>Hyperlink: Workplace amenities and facilities Code of Practice, 2002 (Commission for Occupational Safety and Health), available at https://www.commerce.wa.gov.au/sites/default/files/atoms/files/code_first_aid_0.pdf</x:v>
      </x:c>
      <x:c r="E529" s="1" t="str">
        <x:v>https://www.commerce.wa.gov.au/sites/default/files/atoms/files/code_first_aid_0.pdf</x:v>
      </x:c>
      <x:c r="F529" s="11" t="n">
        <x:f>=HYPERLINK(E529)</x:f>
      </x:c>
    </x:row>
    <x:row r="530" spans="1:6" x14ac:dyDescent="0.25">
      <x:c r="A530" s="1" t="n">
        <x:v>11188</x:v>
      </x:c>
      <x:c r="B530" s="1" t="str">
        <x:v>Workplace and Facilities Management</x:v>
      </x:c>
      <x:c r="C530" s="1" t="str">
        <x:v>ext</x:v>
      </x:c>
      <x:c r="D530" s="1" t="str">
        <x:v>Hyperlink: Managing the Work Environment and Facilities Code of Practice, December 2011 (Safe Work Australia), available at www.safeworkaustralia.gov.au/sites/swa/about/publications/pages/environment-facilities-cop.</x:v>
      </x:c>
      <x:c r="E530" s="1" t="str">
        <x:v>http://www.safeworkaustralia.gov.au/sites/swa/about/publications/pages/environment-facilities-cop</x:v>
      </x:c>
      <x:c r="F530" s="11" t="n">
        <x:f>=HYPERLINK(E530)</x:f>
      </x:c>
    </x:row>
    <x:row r="531" spans="1:6" x14ac:dyDescent="0.25">
      <x:c r="A531" s="1" t="n">
        <x:v>12239</x:v>
      </x:c>
      <x:c r="B531" s="1" t="str">
        <x:v>Workplace and Facilities Management</x:v>
      </x:c>
      <x:c r="C531" s="1" t="str">
        <x:v>ext</x:v>
      </x:c>
      <x:c r="D531" s="1" t="str">
        <x:v>Hyperlink: Workplace amenities and work environment Compliance Code, September 2008, (WorkSafe Victoria), available at http://www.worksafe.vic.gov.au/__data/assets/pdf_file/0004/9229/Workplace_amenities_CC.pdf</x:v>
      </x:c>
      <x:c r="E531" s="1" t="str">
        <x:v>http://www.worksafe.vic.gov.au/__data/assets/pdf_file/0004/9229/Workplace_amenities_CC.pdf</x:v>
      </x:c>
      <x:c r="F531" s="11" t="n">
        <x:f>=HYPERLINK(E531)</x:f>
      </x:c>
    </x:row>
    <x:row r="532" spans="1:6" x14ac:dyDescent="0.25">
      <x:c r="A532" s="1" t="n">
        <x:v>11190</x:v>
      </x:c>
      <x:c r="B532" s="1" t="str">
        <x:v>Workplace and Facilities Management</x:v>
      </x:c>
      <x:c r="C532" s="1" t="str">
        <x:v>ext</x:v>
      </x:c>
      <x:c r="D532" s="1" t="str">
        <x:v>Hyperlink: Emergency Plans fact sheet, February 2012 (Safe Work Australia), available at www.safeworkaustralia.gov.au/sites/swa/about/publications/pages/emergency-plans-fact-sheet.</x:v>
      </x:c>
      <x:c r="E532" s="1" t="str">
        <x:v>http://www.safeworkaustralia.gov.au/sites/swa/about/publications/pages/emergency-plans-fact-sheet</x:v>
      </x:c>
      <x:c r="F532" s="11" t="n">
        <x:f>=HYPERLINK(E532)</x:f>
      </x:c>
    </x:row>
    <x:row r="533" spans="1:6" x14ac:dyDescent="0.25">
      <x:c r="A533" s="1" t="n">
        <x:v>11189</x:v>
      </x:c>
      <x:c r="B533" s="1" t="str">
        <x:v>Workplace and Facilities Management</x:v>
      </x:c>
      <x:c r="C533" s="1" t="str">
        <x:v>ext</x:v>
      </x:c>
      <x:c r="D533" s="1" t="str">
        <x:v>Hyperlink: First Aid in the Workplace Code of Practice, March 2015 (Safe Work Australia), available at www.safeworkaustralia.gov.au/sites/swa/about/publications/pages/first-aid-in-the-workplace.</x:v>
      </x:c>
      <x:c r="E533" s="1" t="str">
        <x:v>http://www.safeworkaustralia.gov.au/sites/swa/about/publications/pages/first-aid-in-the-workplace</x:v>
      </x:c>
      <x:c r="F533" s="11" t="n">
        <x:f>=HYPERLINK(E533)</x:f>
      </x:c>
    </x:row>
    <x:row r="534" spans="1:6" x14ac:dyDescent="0.25">
      <x:c r="A534" s="1" t="n">
        <x:v>12025</x:v>
      </x:c>
      <x:c r="B534" s="1" t="str">
        <x:v>Discriminatory Conduct</x:v>
      </x:c>
      <x:c r="C534" s="1" t="str">
        <x:v>ext</x:v>
      </x:c>
      <x:c r="D534" s="1" t="str">
        <x:v>Interpretive guideline—model Work Health and Safety Act—discriminatory, coercive or misleading conduct, February 2012 (Safe Work Australia)</x:v>
      </x:c>
      <x:c r="E534" s="1" t="str">
        <x:v>http://www.safeworkaustralia.gov.au/sites/swa/about/publications/pages/interpretive-guideline-discriminatory</x:v>
      </x:c>
      <x:c r="F534" s="11" t="n">
        <x:f>=HYPERLINK(E534)</x:f>
      </x:c>
    </x:row>
    <x:row r="535" spans="1:6" x14ac:dyDescent="0.25">
      <x:c r="A535" s="1" t="n">
        <x:v>12029</x:v>
      </x:c>
      <x:c r="B535" s="1" t="str">
        <x:v>Coercion, Inducement or Misrepresentation</x:v>
      </x:c>
      <x:c r="C535" s="1" t="str">
        <x:v>ext</x:v>
      </x:c>
      <x:c r="D535" s="1" t="str">
        <x:v>Interpretive guideline—model Work Health and Safety Act—discriminatory, coercive or misleading conduct, February 2012 (Safe Work Australia)</x:v>
      </x:c>
      <x:c r="E535" s="1" t="str">
        <x:v>http://www.safeworkaustralia.gov.au/sites/swa/about/publications/pages/interpretive-guideline-discriminatory</x:v>
      </x:c>
      <x:c r="F535" s="11" t="n">
        <x:f>=HYPERLINK(E535)</x:f>
      </x:c>
    </x:row>
    <x:row r="536" spans="1:6" x14ac:dyDescent="0.25">
      <x:c r="A536" s="1" t="n">
        <x:v>12021</x:v>
      </x:c>
      <x:c r="B536" s="1" t="str">
        <x:v>Discriminatory, Coercive or Misleading Conduct</x:v>
      </x:c>
      <x:c r="C536" s="1" t="str">
        <x:v>ext</x:v>
      </x:c>
      <x:c r="D536" s="1" t="str">
        <x:v>Interpretive Guideline—Model Work Health and Safety Act—Discriminatory, Coercive or Misleading Conduct, February 2012 (Safe Work Australia)</x:v>
      </x:c>
      <x:c r="E536" s="1" t="str">
        <x:v>http://www.safeworkaustralia.gov.au/sites/swa/about/publications/pages/interpretive-guideline-discriminatory</x:v>
      </x:c>
      <x:c r="F536" s="11" t="n">
        <x:f>=HYPERLINK(E536)</x:f>
      </x:c>
    </x:row>
    <x:row r="537" spans="1:6" x14ac:dyDescent="0.25">
      <x:c r="A537" s="1" t="n">
        <x:v>13662</x:v>
      </x:c>
      <x:c r="B537" s="1" t="str">
        <x:v>Training and Competency</x:v>
      </x:c>
      <x:c r="C537" s="1" t="str">
        <x:v>doc</x:v>
      </x:c>
      <x:c r="D537" s="1" t="str">
        <x:v>18.26 WHS management system - training and instruction checklist.docx</x:v>
      </x:c>
      <x:c r="E537" s="1" t="str">
        <x:v>https://compliance.store.lexisnexis.com.au/rest/api/v1.1/?a=13662</x:v>
      </x:c>
      <x:c r="F537" s="11" t="n">
        <x:f>=HYPERLINK(E537)</x:f>
      </x:c>
    </x:row>
    <x:row r="538" spans="1:6" x14ac:dyDescent="0.25">
      <x:c r="A538" s="1" t="n">
        <x:v>11146</x:v>
      </x:c>
      <x:c r="B538" s="1" t="str">
        <x:v>Monitoring, Measurement and Evaluation</x:v>
      </x:c>
      <x:c r="C538" s="1" t="str">
        <x:v>ext</x:v>
      </x:c>
      <x:c r="D538" s="1" t="str">
        <x:v>National self-insurer WHS management system audit tool, version 3, September 2014 (Comcare)</x:v>
      </x:c>
      <x:c r="E538" s="1" t="str">
        <x:v>http://comcare.gov.au/Forms_and_Publications/publications/services/laws_and_regulations/laws_and_regulations/national_whs_audit_tool_user_guide</x:v>
      </x:c>
      <x:c r="F538" s="11" t="n">
        <x:f>=HYPERLINK(E538)</x:f>
      </x:c>
    </x:row>
    <x:row r="539" spans="1:6" x14ac:dyDescent="0.25">
      <x:c r="A539" s="1" t="n">
        <x:v>11126</x:v>
      </x:c>
      <x:c r="B539" s="1" t="str">
        <x:v>Implementing a Health and Safety Program and Procedures</x:v>
      </x:c>
      <x:c r="C539" s="1" t="str">
        <x:v>ext</x:v>
      </x:c>
      <x:c r="D539" s="1" t="str">
        <x:v>National self-insurer WHS management system audit tool, version 3, September 2014 (Comcare)</x:v>
      </x:c>
      <x:c r="E539" s="1" t="str">
        <x:v>http://comcare.gov.au/Forms_and_Publications/publications/services/laws_and_regulations/laws_and_regulations/national_whs_audit_tool_user_guide</x:v>
      </x:c>
      <x:c r="F539" s="11" t="n">
        <x:f>=HYPERLINK(E539)</x:f>
      </x:c>
    </x:row>
    <x:row r="540" spans="1:6" x14ac:dyDescent="0.25">
      <x:c r="A540" s="1" t="n">
        <x:v>13653</x:v>
      </x:c>
      <x:c r="B540" s="1" t="str">
        <x:v>Implementing a Health and Safety Program and Procedures</x:v>
      </x:c>
      <x:c r="C540" s="1" t="str">
        <x:v>doc</x:v>
      </x:c>
      <x:c r="D540" s="1" t="str">
        <x:v>18.28 WHS management system - WHS program checklist.docx</x:v>
      </x:c>
      <x:c r="E540" s="1" t="str">
        <x:v>https://compliance.store.lexisnexis.com.au/rest/api/v1.1/?a=13653</x:v>
      </x:c>
      <x:c r="F540" s="11" t="n">
        <x:f>=HYPERLINK(E540)</x:f>
      </x:c>
    </x:row>
    <x:row r="541" spans="1:6" x14ac:dyDescent="0.25">
      <x:c r="A541" s="1" t="n">
        <x:v>13665</x:v>
      </x:c>
      <x:c r="B541" s="1" t="str">
        <x:v>Auditing a Health and Safety System</x:v>
      </x:c>
      <x:c r="C541" s="1" t="str">
        <x:v>doc</x:v>
      </x:c>
      <x:c r="D541" s="1" t="str">
        <x:v>18.25 WHS management system - auditing a health and safety system checklist.docx</x:v>
      </x:c>
      <x:c r="E541" s="1" t="str">
        <x:v>https://compliance.store.lexisnexis.com.au/rest/api/v1.1/?a=13665</x:v>
      </x:c>
      <x:c r="F541" s="11" t="n">
        <x:f>=HYPERLINK(E541)</x:f>
      </x:c>
    </x:row>
    <x:row r="542" spans="1:6" x14ac:dyDescent="0.25">
      <x:c r="A542" s="1" t="n">
        <x:v>11157</x:v>
      </x:c>
      <x:c r="B542" s="1" t="str">
        <x:v>Auditing a Health and Safety System</x:v>
      </x:c>
      <x:c r="C542" s="1" t="str">
        <x:v>ext</x:v>
      </x:c>
      <x:c r="D542" s="1" t="str">
        <x:v>National self-insurer WHS management system audit tool, version 3, September 2014 (Comcare)</x:v>
      </x:c>
      <x:c r="E542" s="1" t="str">
        <x:v>http://comcare.gov.au/Forms_and_Publications/publications/services/laws_and_regulations/laws_and_regulations/national_whs_audit_tool_user_guide</x:v>
      </x:c>
      <x:c r="F542" s="11" t="n">
        <x:f>=HYPERLINK(E542)</x:f>
      </x:c>
    </x:row>
    <x:row r="543" spans="1:6" x14ac:dyDescent="0.25">
      <x:c r="A543" s="1" t="n">
        <x:v>11164</x:v>
      </x:c>
      <x:c r="B543" s="1" t="str">
        <x:v>Reviewing a Health and Safety System</x:v>
      </x:c>
      <x:c r="C543" s="1" t="str">
        <x:v>ext</x:v>
      </x:c>
      <x:c r="D543" s="1" t="str">
        <x:v>National self-insurer WHS management system audit tool, version 3, September 2014 (Comcare)</x:v>
      </x:c>
      <x:c r="E543" s="1" t="str">
        <x:v>http://comcare.gov.au/Forms_and_Publications/publications/services/laws_and_regulations/laws_and_regulations/national_whs_audit_tool_user_guide</x:v>
      </x:c>
      <x:c r="F543" s="11" t="n">
        <x:f>=HYPERLINK(E543)</x:f>
      </x:c>
    </x:row>
    <x:row r="544" spans="1:6" x14ac:dyDescent="0.25">
      <x:c r="A544" s="1" t="n">
        <x:v>11097</x:v>
      </x:c>
      <x:c r="B544" s="1" t="str">
        <x:v>Health and Safety Policy and Objectives</x:v>
      </x:c>
      <x:c r="C544" s="1" t="str">
        <x:v>ext</x:v>
      </x:c>
      <x:c r="D544" s="1" t="str">
        <x:v>National self-insurer WHS management system audit tool, version 3, September 2014 (Comcare)</x:v>
      </x:c>
      <x:c r="E544" s="1" t="str">
        <x:v>http://comcare.gov.au/Forms_and_Publications/publications/services/laws_and_regulations/laws_and_regulations/national_whs_audit_tool_user_guide</x:v>
      </x:c>
      <x:c r="F544" s="11" t="n">
        <x:f>=HYPERLINK(E544)</x:f>
      </x:c>
    </x:row>
    <x:row r="545" spans="1:6" x14ac:dyDescent="0.25">
      <x:c r="A545" s="1" t="n">
        <x:v>13657</x:v>
      </x:c>
      <x:c r="B545" s="1" t="str">
        <x:v>Health and Safety Policy and Objectives</x:v>
      </x:c>
      <x:c r="C545" s="1" t="str">
        <x:v>doc</x:v>
      </x:c>
      <x:c r="D545" s="1" t="str">
        <x:v>18.27 WHS management system - WHS policy checklist.docx</x:v>
      </x:c>
      <x:c r="E545" s="1" t="str">
        <x:v>https://compliance.store.lexisnexis.com.au/rest/api/v1.1/?a=13657</x:v>
      </x:c>
      <x:c r="F545" s="11" t="n">
        <x:f>=HYPERLINK(E545)</x:f>
      </x:c>
    </x:row>
    <x:row r="546" spans="1:6" x14ac:dyDescent="0.25">
      <x:c r="A546" s="1" t="n">
        <x:v>11114</x:v>
      </x:c>
      <x:c r="B546" s="1" t="str">
        <x:v>Setting Targets and Performance Indicators</x:v>
      </x:c>
      <x:c r="C546" s="1" t="str">
        <x:v>ext</x:v>
      </x:c>
      <x:c r="D546" s="1" t="str">
        <x:v>National self-insurer WHS management system audit tool, version 3, September 2014 (Comcare)</x:v>
      </x:c>
      <x:c r="E546" s="1" t="str">
        <x:v>http://comcare.gov.au/Forms_and_Publications/publications/services/laws_and_regulations/laws_and_regulations/national_whs_audit_tool_user_guide</x:v>
      </x:c>
      <x:c r="F546" s="11" t="n">
        <x:f>=HYPERLINK(E546)</x:f>
      </x:c>
    </x:row>
    <x:row r="547" spans="1:6" x14ac:dyDescent="0.25">
      <x:c r="A547" s="1" t="n">
        <x:v>11103</x:v>
      </x:c>
      <x:c r="B547" s="1" t="str">
        <x:v>Developing a Health and Safety Management Plan</x:v>
      </x:c>
      <x:c r="C547" s="1" t="str">
        <x:v>ext</x:v>
      </x:c>
      <x:c r="D547" s="1" t="str">
        <x:v>National self-insurer WHS management system audit tool, version 3, September 2014 (Comcare)</x:v>
      </x:c>
      <x:c r="E547" s="1" t="str">
        <x:v>http://comcare.gov.au/Forms_and_Publications/publications/services/laws_and_regulations/laws_and_regulations/national_whs_audit_tool_user_guide</x:v>
      </x:c>
      <x:c r="F547" s="11" t="n">
        <x:f>=HYPERLINK(E547)</x:f>
      </x:c>
    </x:row>
    <x:row r="548" spans="1:6" x14ac:dyDescent="0.25">
      <x:c r="A548" s="1" t="n">
        <x:v>11080</x:v>
      </x:c>
      <x:c r="B548" s="1" t="str">
        <x:v>Work Health and Safety Management System</x:v>
      </x:c>
      <x:c r="C548" s="1" t="str">
        <x:v>ext</x:v>
      </x:c>
      <x:c r="D548" s="1" t="str">
        <x:v>National self-insurer WHS management system audit tool, version 3, September 2014 (Comcare)</x:v>
      </x:c>
      <x:c r="E548" s="1" t="str">
        <x:v>http://comcare.gov.au/Forms_and_Publications/publications/services/laws_and_regulations/laws_and_regulations/national_whs_audit_tool_user_guide</x:v>
      </x:c>
      <x:c r="F548" s="11" t="n">
        <x:f>=HYPERLINK(E548)</x:f>
      </x:c>
    </x:row>
    <x:row r="549" spans="1:6" x14ac:dyDescent="0.25">
      <x:c r="A549" s="1" t="n">
        <x:v>11079</x:v>
      </x:c>
      <x:c r="B549" s="1" t="str">
        <x:v>Work Health and Safety Management System</x:v>
      </x:c>
      <x:c r="C549" s="1" t="str">
        <x:v>ext</x:v>
      </x:c>
      <x:c r="D549" s="1" t="str">
        <x:v>JAS-ANZ Register—accredited certification and inspection bodies</x:v>
      </x:c>
      <x:c r="E549" s="1" t="str">
        <x:v>http://www.jas-anz.com.au/accredited-bodies</x:v>
      </x:c>
      <x:c r="F549" s="11" t="n">
        <x:f>=HYPERLINK(E549)</x:f>
      </x:c>
    </x:row>
    <x:row r="550" spans="1:6" x14ac:dyDescent="0.25">
      <x:c r="A550" s="1" t="n">
        <x:v>11169</x:v>
      </x:c>
      <x:c r="B550" s="1" t="str">
        <x:v>Obligations toward Health and Safety Representatives</x:v>
      </x:c>
      <x:c r="C550" s="1" t="str">
        <x:v>ext</x:v>
      </x:c>
      <x:c r="D550" s="1" t="str">
        <x:v>Worker representation and participation (Safe Work Australia guide, January 2012)</x:v>
      </x:c>
      <x:c r="E550" s="1" t="str">
        <x:v>http://www.safeworkaustralia.gov.au/sites/swa/about/publications/pages/worker-representation-guide</x:v>
      </x:c>
      <x:c r="F550" s="11" t="n">
        <x:f>=HYPERLINK(E550)</x:f>
      </x:c>
    </x:row>
    <x:row r="551" spans="1:6" x14ac:dyDescent="0.25">
      <x:c r="A551" s="1" t="n">
        <x:v>13694</x:v>
      </x:c>
      <x:c r="B551" s="1" t="str">
        <x:v>Obligations toward Health and Safety Representatives</x:v>
      </x:c>
      <x:c r="C551" s="1" t="str">
        <x:v>doc</x:v>
      </x:c>
      <x:c r="D551" s="1" t="str">
        <x:v>18.8 WHS consultation with workers - health and safety reps checklist.docx</x:v>
      </x:c>
      <x:c r="E551" s="1" t="str">
        <x:v>https://compliance.store.lexisnexis.com.au/rest/api/v1.1/?a=13694</x:v>
      </x:c>
      <x:c r="F551" s="11" t="n">
        <x:f>=HYPERLINK(E551)</x:f>
      </x:c>
    </x:row>
    <x:row r="552" spans="1:6" x14ac:dyDescent="0.25">
      <x:c r="A552" s="1" t="n">
        <x:v>13693</x:v>
      </x:c>
      <x:c r="B552" s="1" t="str">
        <x:v>Obligations toward Health and Safety Representatives</x:v>
      </x:c>
      <x:c r="C552" s="1" t="str">
        <x:v>xls</x:v>
      </x:c>
      <x:c r="D552" s="1" t="str">
        <x:v>18.9 WHS consultation with workers - health and safety reps template.xlsx</x:v>
      </x:c>
      <x:c r="E552" s="1" t="str">
        <x:v>https://compliance.store.lexisnexis.com.au/rest/api/v1.1/?a=13693</x:v>
      </x:c>
      <x:c r="F552" s="11" t="n">
        <x:f>=HYPERLINK(E552)</x:f>
      </x:c>
    </x:row>
    <x:row r="553" spans="1:6" x14ac:dyDescent="0.25">
      <x:c r="A553" s="1" t="n">
        <x:v>11168</x:v>
      </x:c>
      <x:c r="B553" s="1" t="str">
        <x:v>Obligations toward Health and Safety Representatives</x:v>
      </x:c>
      <x:c r="C553" s="1" t="str">
        <x:v>ext</x:v>
      </x:c>
      <x:c r="D553" s="1" t="str">
        <x:v>Template: List of health and safety representatives</x:v>
      </x:c>
      <x:c r="E553" s="1" t="str">
        <x:v>http://www.safeworkaustralia.gov.au/sites/swa/about/publications/pages/consultation-cooperation-coordination-cop</x:v>
      </x:c>
      <x:c r="F553" s="11" t="n">
        <x:f>=HYPERLINK(E553)</x:f>
      </x:c>
    </x:row>
    <x:row r="554" spans="1:6" x14ac:dyDescent="0.25">
      <x:c r="A554" s="1" t="n">
        <x:v>13703</x:v>
      </x:c>
      <x:c r="B554" s="1" t="str">
        <x:v>Cessation of Unsafe Work</x:v>
      </x:c>
      <x:c r="C554" s="1" t="str">
        <x:v>doc</x:v>
      </x:c>
      <x:c r="D554" s="1" t="str">
        <x:v>18.2 WHS consultation with workers - cessation of unsafe work checklist.docx</x:v>
      </x:c>
      <x:c r="E554" s="1" t="str">
        <x:v>https://compliance.store.lexisnexis.com.au/rest/api/v1.1/?a=13703</x:v>
      </x:c>
      <x:c r="F554" s="11" t="n">
        <x:f>=HYPERLINK(E554)</x:f>
      </x:c>
    </x:row>
    <x:row r="555" spans="1:6" x14ac:dyDescent="0.25">
      <x:c r="A555" s="1" t="n">
        <x:v>11205</x:v>
      </x:c>
      <x:c r="B555" s="1" t="str">
        <x:v>Cessation of Unsafe Work</x:v>
      </x:c>
      <x:c r="C555" s="1" t="str">
        <x:v>ext</x:v>
      </x:c>
      <x:c r="D555" s="1" t="str">
        <x:v>Worker representation and participation (Safe Work Australia guide, January 2012)</x:v>
      </x:c>
      <x:c r="E555" s="1" t="str">
        <x:v>http://www.safeworkaustralia.gov.au/sites/swa/about/publications/pages/worker-representation-guide</x:v>
      </x:c>
      <x:c r="F555" s="11" t="n">
        <x:f>=HYPERLINK(E555)</x:f>
      </x:c>
    </x:row>
    <x:row r="556" spans="1:6" x14ac:dyDescent="0.25">
      <x:c r="A556" s="1" t="n">
        <x:v>11209</x:v>
      </x:c>
      <x:c r="B556" s="1" t="str">
        <x:v>Provisional Improvement Notices</x:v>
      </x:c>
      <x:c r="C556" s="1" t="str">
        <x:v>ext</x:v>
      </x:c>
      <x:c r="D556" s="1" t="str">
        <x:v>Worker representation and participation (Safe Work Australia guide, January 2012)</x:v>
      </x:c>
      <x:c r="E556" s="1" t="str">
        <x:v>http://www.safeworkaustralia.gov.au/sites/swa/about/publications/pages/worker-representation-guide</x:v>
      </x:c>
      <x:c r="F556" s="11" t="n">
        <x:f>=HYPERLINK(E556)</x:f>
      </x:c>
    </x:row>
    <x:row r="557" spans="1:6" x14ac:dyDescent="0.25">
      <x:c r="A557" s="1" t="n">
        <x:v>13706</x:v>
      </x:c>
      <x:c r="B557" s="1" t="str">
        <x:v>Provisional Improvement Notices</x:v>
      </x:c>
      <x:c r="C557" s="1" t="str">
        <x:v>doc</x:v>
      </x:c>
      <x:c r="D557" s="1" t="str">
        <x:v>18.11 WHS consultation with workers - provisional improvement notices checklist.docx</x:v>
      </x:c>
      <x:c r="E557" s="1" t="str">
        <x:v>https://compliance.store.lexisnexis.com.au/rest/api/v1.1/?a=13706</x:v>
      </x:c>
      <x:c r="F557" s="11" t="n">
        <x:f>=HYPERLINK(E557)</x:f>
      </x:c>
    </x:row>
    <x:row r="558" spans="1:6" x14ac:dyDescent="0.25">
      <x:c r="A558" s="1" t="n">
        <x:v>11184</x:v>
      </x:c>
      <x:c r="B558" s="1" t="str">
        <x:v>Establishing a Health and Safety Committee</x:v>
      </x:c>
      <x:c r="C558" s="1" t="str">
        <x:v>ext</x:v>
      </x:c>
      <x:c r="D558" s="1" t="str">
        <x:v>Model code of practice – Work health and safety consultation, co-operation and co-ordination, December 2011 (Safe Work Australia)</x:v>
      </x:c>
      <x:c r="E558" s="1" t="str">
        <x:v>http://www.safeworkaustralia.gov.au/sites/swa/about/publications/pages/consultation-cooperation-coordination-cop</x:v>
      </x:c>
      <x:c r="F558" s="11" t="n">
        <x:f>=HYPERLINK(E558)</x:f>
      </x:c>
    </x:row>
    <x:row r="559" spans="1:6" x14ac:dyDescent="0.25">
      <x:c r="A559" s="1" t="n">
        <x:v>13698</x:v>
      </x:c>
      <x:c r="B559" s="1" t="str">
        <x:v>Establishing a Health and Safety Committee</x:v>
      </x:c>
      <x:c r="C559" s="1" t="str">
        <x:v>doc</x:v>
      </x:c>
      <x:c r="D559" s="1" t="str">
        <x:v>18.7 WHS consultation with workers - health and safety committees checklist.docx</x:v>
      </x:c>
      <x:c r="E559" s="1" t="str">
        <x:v>https://compliance.store.lexisnexis.com.au/rest/api/v1.1/?a=13698</x:v>
      </x:c>
      <x:c r="F559" s="11" t="n">
        <x:f>=HYPERLINK(E559)</x:f>
      </x:c>
    </x:row>
    <x:row r="560" spans="1:6" x14ac:dyDescent="0.25">
      <x:c r="A560" s="1" t="n">
        <x:v>11185</x:v>
      </x:c>
      <x:c r="B560" s="1" t="str">
        <x:v>Establishing a Health and Safety Committee</x:v>
      </x:c>
      <x:c r="C560" s="1" t="str">
        <x:v>ext</x:v>
      </x:c>
      <x:c r="D560" s="1" t="str">
        <x:v>Worker representation and participation (Safe Work Australia guide, January 2012)</x:v>
      </x:c>
      <x:c r="E560" s="1" t="str">
        <x:v>http://www.safeworkaustralia.gov.au/sites/swa/about/publications/pages/worker-representation-guide</x:v>
      </x:c>
      <x:c r="F560" s="11" t="n">
        <x:f>=HYPERLINK(E560)</x:f>
      </x:c>
    </x:row>
    <x:row r="561" spans="1:6" x14ac:dyDescent="0.25">
      <x:c r="A561" s="1" t="n">
        <x:v>11197</x:v>
      </x:c>
      <x:c r="B561" s="1" t="str">
        <x:v>Resolving Issues</x:v>
      </x:c>
      <x:c r="C561" s="1" t="str">
        <x:v>ext</x:v>
      </x:c>
      <x:c r="D561" s="1" t="str">
        <x:v>Model code of practice – Work health and safety consultation, co-operation and co-ordination, December 2011 (Safe Work Australia)</x:v>
      </x:c>
      <x:c r="E561" s="1" t="str">
        <x:v>http://www.safeworkaustralia.gov.au/sites/swa/about/publications/pages/consultation-cooperation-coordination-cop</x:v>
      </x:c>
      <x:c r="F561" s="11" t="n">
        <x:f>=HYPERLINK(E561)</x:f>
      </x:c>
    </x:row>
    <x:row r="562" spans="1:6" x14ac:dyDescent="0.25">
      <x:c r="A562" s="1" t="n">
        <x:v>13700</x:v>
      </x:c>
      <x:c r="B562" s="1" t="str">
        <x:v>Resolving Issues</x:v>
      </x:c>
      <x:c r="C562" s="1" t="str">
        <x:v>doc</x:v>
      </x:c>
      <x:c r="D562" s="1" t="str">
        <x:v>18.10 WHS consultation with workers - issue resolution checklist.docx</x:v>
      </x:c>
      <x:c r="E562" s="1" t="str">
        <x:v>https://compliance.store.lexisnexis.com.au/rest/api/v1.1/?a=13700</x:v>
      </x:c>
      <x:c r="F562" s="11" t="n">
        <x:f>=HYPERLINK(E562)</x:f>
      </x:c>
    </x:row>
    <x:row r="563" spans="1:6" x14ac:dyDescent="0.25">
      <x:c r="A563" s="1" t="n">
        <x:v>11198</x:v>
      </x:c>
      <x:c r="B563" s="1" t="str">
        <x:v>Resolving Issues</x:v>
      </x:c>
      <x:c r="C563" s="1" t="str">
        <x:v>ext</x:v>
      </x:c>
      <x:c r="D563" s="1" t="str">
        <x:v>Worker representation and participation (Safe Work Australia guide, January 2012)</x:v>
      </x:c>
      <x:c r="E563" s="1" t="str">
        <x:v>http://www.safeworkaustralia.gov.au/sites/swa/about/publications/pages/worker-representation-guide</x:v>
      </x:c>
      <x:c r="F563" s="11" t="n">
        <x:f>=HYPERLINK(E563)</x:f>
      </x:c>
    </x:row>
    <x:row r="564" spans="1:6" x14ac:dyDescent="0.25">
      <x:c r="A564" s="1" t="n">
        <x:v>11135</x:v>
      </x:c>
      <x:c r="B564" s="1" t="str">
        <x:v>Determining Work Groups</x:v>
      </x:c>
      <x:c r="C564" s="1" t="str">
        <x:v>ext</x:v>
      </x:c>
      <x:c r="D564" s="1" t="str">
        <x:v>Model code of practice – Work health and safety consultation, co-operation and co-ordination, December 2011 (Safe Work Australia)</x:v>
      </x:c>
      <x:c r="E564" s="1" t="str">
        <x:v>http://www.safeworkaustralia.gov.au/sites/swa/about/publications/pages/consultation-cooperation-coordination-cop</x:v>
      </x:c>
      <x:c r="F564" s="11" t="n">
        <x:f>=HYPERLINK(E564)</x:f>
      </x:c>
    </x:row>
    <x:row r="565" spans="1:6" x14ac:dyDescent="0.25">
      <x:c r="A565" s="1" t="n">
        <x:v>13684</x:v>
      </x:c>
      <x:c r="B565" s="1" t="str">
        <x:v>Determining Work Groups</x:v>
      </x:c>
      <x:c r="C565" s="1" t="str">
        <x:v>doc</x:v>
      </x:c>
      <x:c r="D565" s="1" t="str">
        <x:v>18.4 WHS consultation with workers - determining work groups checklist.docx</x:v>
      </x:c>
      <x:c r="E565" s="1" t="str">
        <x:v>https://compliance.store.lexisnexis.com.au/rest/api/v1.1/?a=13684</x:v>
      </x:c>
      <x:c r="F565" s="11" t="n">
        <x:f>=HYPERLINK(E565)</x:f>
      </x:c>
    </x:row>
    <x:row r="566" spans="1:6" x14ac:dyDescent="0.25">
      <x:c r="A566" s="1" t="n">
        <x:v>11136</x:v>
      </x:c>
      <x:c r="B566" s="1" t="str">
        <x:v>Determining Work Groups</x:v>
      </x:c>
      <x:c r="C566" s="1" t="str">
        <x:v>ext</x:v>
      </x:c>
      <x:c r="D566" s="1" t="str">
        <x:v>Worker representation and participation (Safe Work Australia guide, January 2012)</x:v>
      </x:c>
      <x:c r="E566" s="1" t="str">
        <x:v>http://www.safeworkaustralia.gov.au/sites/swa/about/publications/pages/worker-representation-guide</x:v>
      </x:c>
      <x:c r="F566" s="11" t="n">
        <x:f>=HYPERLINK(E566)</x:f>
      </x:c>
    </x:row>
    <x:row r="567" spans="1:6" x14ac:dyDescent="0.25">
      <x:c r="A567" s="1" t="n">
        <x:v>11150</x:v>
      </x:c>
      <x:c r="B567" s="1" t="str">
        <x:v>Election of Health and Safety Representatives</x:v>
      </x:c>
      <x:c r="C567" s="1" t="str">
        <x:v>ext</x:v>
      </x:c>
      <x:c r="D567" s="1" t="str">
        <x:v>Model code of practice – Work health and safety consultation, co-operation and co-ordination, December 2011 (Safe Work Australia)</x:v>
      </x:c>
      <x:c r="E567" s="1" t="str">
        <x:v>http://www.safeworkaustralia.gov.au/sites/swa/about/publications/pages/consultation-cooperation-coordination-cop</x:v>
      </x:c>
      <x:c r="F567" s="11" t="n">
        <x:f>=HYPERLINK(E567)</x:f>
      </x:c>
    </x:row>
    <x:row r="568" spans="1:6" x14ac:dyDescent="0.25">
      <x:c r="A568" s="1" t="n">
        <x:v>13687</x:v>
      </x:c>
      <x:c r="B568" s="1" t="str">
        <x:v>Election of Health and Safety Representatives</x:v>
      </x:c>
      <x:c r="C568" s="1" t="str">
        <x:v>doc</x:v>
      </x:c>
      <x:c r="D568" s="1" t="str">
        <x:v>18.5 WHS consultation with workers - election of health and safety reps checklist.docx</x:v>
      </x:c>
      <x:c r="E568" s="1" t="str">
        <x:v>https://compliance.store.lexisnexis.com.au/rest/api/v1.1/?a=13687</x:v>
      </x:c>
      <x:c r="F568" s="11" t="n">
        <x:f>=HYPERLINK(E568)</x:f>
      </x:c>
    </x:row>
    <x:row r="569" spans="1:6" x14ac:dyDescent="0.25">
      <x:c r="A569" s="1" t="n">
        <x:v>11151</x:v>
      </x:c>
      <x:c r="B569" s="1" t="str">
        <x:v>Election of Health and Safety Representatives</x:v>
      </x:c>
      <x:c r="C569" s="1" t="str">
        <x:v>ext</x:v>
      </x:c>
      <x:c r="D569" s="1" t="str">
        <x:v>Worker representation and participation (Safe Work Australia guide, January 2012)</x:v>
      </x:c>
      <x:c r="E569" s="1" t="str">
        <x:v>http://www.safeworkaustralia.gov.au/sites/swa/about/publications/pages/worker-representation-guide</x:v>
      </x:c>
      <x:c r="F569" s="11" t="n">
        <x:f>=HYPERLINK(E569)</x:f>
      </x:c>
    </x:row>
    <x:row r="570" spans="1:6" x14ac:dyDescent="0.25">
      <x:c r="A570" s="1" t="n">
        <x:v>11216</x:v>
      </x:c>
      <x:c r="B570" s="1" t="str">
        <x:v>Monitoring and Reviewing Consultation Procedures</x:v>
      </x:c>
      <x:c r="C570" s="1" t="str">
        <x:v>ext</x:v>
      </x:c>
      <x:c r="D570" s="1" t="str">
        <x:v>Model code of practice – Work health and safety consultation, co-operation and co-ordination, December 2011 (Safe Work Australia)</x:v>
      </x:c>
      <x:c r="E570" s="1" t="str">
        <x:v>http://www.safeworkaustralia.gov.au/sites/swa/about/publications/pages/consultation-cooperation-coordination-cop</x:v>
      </x:c>
      <x:c r="F570" s="11" t="n">
        <x:f>=HYPERLINK(E570)</x:f>
      </x:c>
    </x:row>
    <x:row r="571" spans="1:6" x14ac:dyDescent="0.25">
      <x:c r="A571" s="1" t="n">
        <x:v>11217</x:v>
      </x:c>
      <x:c r="B571" s="1" t="str">
        <x:v>Monitoring and Reviewing Consultation Procedures</x:v>
      </x:c>
      <x:c r="C571" s="1" t="str">
        <x:v>ext</x:v>
      </x:c>
      <x:c r="D571" s="1" t="str">
        <x:v>Worker representation and participation (Safe Work Australia guide, January 2012)</x:v>
      </x:c>
      <x:c r="E571" s="1" t="str">
        <x:v>http://www.safeworkaustralia.gov.au/sites/swa/about/publications/pages/worker-representation-guide</x:v>
      </x:c>
      <x:c r="F571" s="11" t="n">
        <x:f>=HYPERLINK(E571)</x:f>
      </x:c>
    </x:row>
    <x:row r="572" spans="1:6" x14ac:dyDescent="0.25">
      <x:c r="A572" s="1" t="n">
        <x:v>11131</x:v>
      </x:c>
      <x:c r="B572" s="1" t="str">
        <x:v>Consultation with Workers</x:v>
      </x:c>
      <x:c r="C572" s="1" t="str">
        <x:v>ext</x:v>
      </x:c>
      <x:c r="D572" s="1" t="str">
        <x:v>Model code of practice - worker representation and participation (Safe Work Australia guide, January 2012)</x:v>
      </x:c>
      <x:c r="E572" s="1" t="str">
        <x:v>http://www.safeworkaustralia.gov.au/sites/swa/about/publications/pages/worker-representation-guide</x:v>
      </x:c>
      <x:c r="F572" s="11" t="n">
        <x:f>=HYPERLINK(E572)</x:f>
      </x:c>
    </x:row>
    <x:row r="573" spans="1:6" x14ac:dyDescent="0.25">
      <x:c r="A573" s="1" t="n">
        <x:v>13674</x:v>
      </x:c>
      <x:c r="B573" s="1" t="str">
        <x:v>Consultation with Workers</x:v>
      </x:c>
      <x:c r="C573" s="1" t="str">
        <x:v>xls</x:v>
      </x:c>
      <x:c r="D573" s="1" t="str">
        <x:v>18.3 WHS consultation with workers - consultation with workers minute template.xlsx</x:v>
      </x:c>
      <x:c r="E573" s="1" t="str">
        <x:v>https://compliance.store.lexisnexis.com.au/rest/api/v1.1/?a=13674</x:v>
      </x:c>
      <x:c r="F573" s="11" t="n">
        <x:f>=HYPERLINK(E573)</x:f>
      </x:c>
    </x:row>
    <x:row r="574" spans="1:6" x14ac:dyDescent="0.25">
      <x:c r="A574" s="1" t="n">
        <x:v>13678</x:v>
      </x:c>
      <x:c r="B574" s="1" t="str">
        <x:v>Consultation with Workers</x:v>
      </x:c>
      <x:c r="C574" s="1" t="str">
        <x:v>doc</x:v>
      </x:c>
      <x:c r="D574" s="1" t="str">
        <x:v>18.12 WHS consultation with workers - when to consult checklist.docx</x:v>
      </x:c>
      <x:c r="E574" s="1" t="str">
        <x:v>https://compliance.store.lexisnexis.com.au/rest/api/v1.1/?a=13678</x:v>
      </x:c>
      <x:c r="F574" s="11" t="n">
        <x:f>=HYPERLINK(E574)</x:f>
      </x:c>
    </x:row>
    <x:row r="575" spans="1:6" x14ac:dyDescent="0.25">
      <x:c r="A575" s="1" t="n">
        <x:v>13680</x:v>
      </x:c>
      <x:c r="B575" s="1" t="str">
        <x:v>Consultation with Workers</x:v>
      </x:c>
      <x:c r="C575" s="1" t="str">
        <x:v>doc</x:v>
      </x:c>
      <x:c r="D575" s="1" t="str">
        <x:v>18.6 WHS consultation with workers - facilitating effective communication checklist.docx</x:v>
      </x:c>
      <x:c r="E575" s="1" t="str">
        <x:v>https://compliance.store.lexisnexis.com.au/rest/api/v1.1/?a=13680</x:v>
      </x:c>
      <x:c r="F575" s="11" t="n">
        <x:f>=HYPERLINK(E575)</x:f>
      </x:c>
    </x:row>
    <x:row r="576" spans="1:6" x14ac:dyDescent="0.25">
      <x:c r="A576" s="1" t="n">
        <x:v>11127</x:v>
      </x:c>
      <x:c r="B576" s="1" t="str">
        <x:v>Consultation with Workers</x:v>
      </x:c>
      <x:c r="C576" s="1" t="str">
        <x:v>ext</x:v>
      </x:c>
      <x:c r="D576" s="1" t="str">
        <x:v>Model code of practice - Work health and safety consultation, co-operation and co-ordination, December 2011 (Safe Work Australia)</x:v>
      </x:c>
      <x:c r="E576" s="1" t="str">
        <x:v>http://www.safeworkaustralia.gov.au/sites/swa/about/publications/pages/consultation-cooperation-coordination-cop</x:v>
      </x:c>
      <x:c r="F576" s="11" t="n">
        <x:f>=HYPERLINK(E576)</x:f>
      </x:c>
    </x:row>
    <x:row r="577" spans="1:6" x14ac:dyDescent="0.25">
      <x:c r="A577" s="1" t="n">
        <x:v>7245</x:v>
      </x:c>
      <x:c r="B577" s="1" t="str">
        <x:v>Monitoring and Reviewing Consultation, Cooperation and Coordination Arrangements </x:v>
      </x:c>
      <x:c r="C577" s="1" t="str">
        <x:v>ext</x:v>
      </x:c>
      <x:c r="D577" s="1" t="str">
        <x:v>Work Health and Safety Consultation, Co-operation and Co-ordination Code of Practice, December 2011 (Safe Work Australia)</x:v>
      </x:c>
      <x:c r="E577" s="1" t="str">
        <x:v>http://www.safeworkaustralia.gov.au/sites/swa/about/publications/pages/consultation-cooperation-coordination-cop</x:v>
      </x:c>
      <x:c r="F577" s="11" t="n">
        <x:f>=HYPERLINK(E577)</x:f>
      </x:c>
    </x:row>
    <x:row r="578" spans="1:6" x14ac:dyDescent="0.25">
      <x:c r="A578" s="1" t="n">
        <x:v>7245</x:v>
      </x:c>
      <x:c r="B578" s="1" t="str">
        <x:v>Consultation, Cooperation and Coordination with Other Duty Holders</x:v>
      </x:c>
      <x:c r="C578" s="1" t="str">
        <x:v>ext</x:v>
      </x:c>
      <x:c r="D578" s="1" t="str">
        <x:v>Work Health and Safety Consultation, Co-operation and Co-ordination Code of Practice, December 2011 (Safe Work Australia)</x:v>
      </x:c>
      <x:c r="E578" s="1" t="str">
        <x:v>http://www.safeworkaustralia.gov.au/sites/swa/about/publications/pages/consultation-cooperation-coordination-cop</x:v>
      </x:c>
      <x:c r="F578" s="11" t="n">
        <x:f>=HYPERLINK(E578)</x:f>
      </x:c>
    </x:row>
    <x:row r="579" spans="1:6" x14ac:dyDescent="0.25">
      <x:c r="A579" s="1" t="n">
        <x:v>7245</x:v>
      </x:c>
      <x:c r="B579" s="1" t="str">
        <x:v>Identifying Other Duty Holders</x:v>
      </x:c>
      <x:c r="C579" s="1" t="str">
        <x:v>ext</x:v>
      </x:c>
      <x:c r="D579" s="1" t="str">
        <x:v>Work Health and Safety Consultation, Co-operation and Co-ordination Code of Practice, December 2011 (Safe Work Australia)</x:v>
      </x:c>
      <x:c r="E579" s="1" t="str">
        <x:v>http://www.safeworkaustralia.gov.au/sites/swa/about/publications/pages/consultation-cooperation-coordination-cop</x:v>
      </x:c>
      <x:c r="F579" s="11" t="n">
        <x:f>=HYPERLINK(E579)</x:f>
      </x:c>
    </x:row>
    <x:row r="580" spans="1:6" x14ac:dyDescent="0.25">
      <x:c r="A580" s="1" t="n">
        <x:v>7244</x:v>
      </x:c>
      <x:c r="B580" s="1" t="str">
        <x:v>Consultation, Cooperation and Coordination with Other Duty Holders</x:v>
      </x:c>
      <x:c r="C580" s="1" t="str">
        <x:v>doc</x:v>
      </x:c>
      <x:c r="D580" s="1" t="str">
        <x:v>Consulting, cooperating and coordinating with other duty holders</x:v>
      </x:c>
      <x:c r="E580" s="1" t="str">
        <x:v>https://compliance.store.lexisnexis.com.au/rest/api/v1.1/?a=7244</x:v>
      </x:c>
      <x:c r="F580" s="11" t="n">
        <x:f>=HYPERLINK(E580)</x:f>
      </x:c>
    </x:row>
    <x:row r="581" spans="1:6" x14ac:dyDescent="0.25">
      <x:c r="A581" s="1" t="n">
        <x:v>7246</x:v>
      </x:c>
      <x:c r="B581" s="1" t="str">
        <x:v>Consultation, Cooperation and Coordination with Other Duty Holders</x:v>
      </x:c>
      <x:c r="C581" s="1" t="str">
        <x:v>ext</x:v>
      </x:c>
      <x:c r="D581" s="1" t="str">
        <x:v>Communicating occupational health and safety across languages Compliance Code, September 2008 (WorkSafe Victoria)</x:v>
      </x:c>
      <x:c r="E581" s="1" t="str">
        <x:v>http://www.worksafe.vic.gov.au/__data/assets/pdf_file/0003/9228/Communicating_across_languages_CC.pdf</x:v>
      </x:c>
      <x:c r="F581" s="11" t="n">
        <x:f>=HYPERLINK(E581)</x:f>
      </x:c>
    </x:row>
    <x:row r="582" spans="1:6" x14ac:dyDescent="0.25">
      <x:c r="A582" s="1"/>
      <x:c r="B582" s="1"/>
      <x:c r="C582" s="1"/>
      <x:c r="D582" s="1"/>
      <x:c r="E582" s="1"/>
      <x:c r="F582" s="11"/>
    </x:row>
    <x:row r="583" spans="1:6" x14ac:dyDescent="0.25">
      <x:c r="A583" s="1"/>
      <x:c r="B583" s="1"/>
      <x:c r="C583" s="1"/>
      <x:c r="D583" s="1"/>
      <x:c r="E583" s="1"/>
      <x:c r="F583" s="11"/>
    </x:row>
    <x:row r="584" spans="1:6" x14ac:dyDescent="0.25">
      <x:c r="A584" s="1"/>
      <x:c r="B584" s="1"/>
      <x:c r="C584" s="1"/>
      <x:c r="D584" s="1"/>
      <x:c r="E584" s="1"/>
      <x:c r="F584" s="11"/>
    </x:row>
    <x:row r="585" spans="1:6" x14ac:dyDescent="0.25">
      <x:c r="A585" s="1"/>
      <x:c r="B585" s="1"/>
      <x:c r="C585" s="1"/>
      <x:c r="D585" s="1"/>
      <x:c r="E585" s="1"/>
      <x:c r="F585" s="11"/>
    </x:row>
    <x:row r="586" spans="1:6" x14ac:dyDescent="0.25">
      <x:c r="A586" s="1"/>
      <x:c r="B586" s="1"/>
      <x:c r="C586" s="1"/>
      <x:c r="D586" s="1"/>
      <x:c r="E586" s="1"/>
      <x:c r="F586" s="11"/>
    </x:row>
    <x:row r="587" spans="1:6" x14ac:dyDescent="0.25">
      <x:c r="A587" s="1"/>
      <x:c r="B587" s="1"/>
      <x:c r="C587" s="1"/>
      <x:c r="D587" s="1"/>
      <x:c r="E587" s="1"/>
      <x:c r="F587" s="11"/>
    </x:row>
    <x:row r="588" spans="1:6" x14ac:dyDescent="0.25">
      <x:c r="A588" s="1"/>
      <x:c r="B588" s="1"/>
      <x:c r="C588" s="1"/>
      <x:c r="D588" s="1"/>
      <x:c r="E588" s="1"/>
      <x:c r="F588" s="11"/>
    </x:row>
    <x:row r="589" spans="1:6" x14ac:dyDescent="0.25">
      <x:c r="A589" s="1"/>
      <x:c r="B589" s="1"/>
      <x:c r="C589" s="1"/>
      <x:c r="D589" s="1"/>
      <x:c r="E589" s="1"/>
      <x:c r="F589" s="11"/>
    </x:row>
    <x:row r="590" spans="1:6" x14ac:dyDescent="0.25">
      <x:c r="A590" s="1"/>
      <x:c r="B590" s="1"/>
      <x:c r="C590" s="1"/>
      <x:c r="D590" s="1"/>
      <x:c r="E590" s="1"/>
      <x:c r="F590" s="11"/>
    </x:row>
    <x:row r="591" spans="1:6" x14ac:dyDescent="0.25">
      <x:c r="A591" s="1"/>
      <x:c r="B591" s="1"/>
      <x:c r="C591" s="1"/>
      <x:c r="D591" s="1"/>
      <x:c r="E591" s="1"/>
      <x:c r="F591" s="11"/>
    </x:row>
    <x:row r="592" spans="1:6" x14ac:dyDescent="0.25">
      <x:c r="A592" s="1"/>
      <x:c r="B592" s="1"/>
      <x:c r="C592" s="1"/>
      <x:c r="D592" s="1"/>
      <x:c r="E592" s="1"/>
      <x:c r="F592" s="11"/>
    </x:row>
    <x:row r="593" spans="1:6" x14ac:dyDescent="0.25">
      <x:c r="A593" s="1"/>
      <x:c r="B593" s="1"/>
      <x:c r="C593" s="1"/>
      <x:c r="D593" s="1"/>
      <x:c r="E593" s="1"/>
      <x:c r="F593" s="11"/>
    </x:row>
    <x:row r="594" spans="1:6" x14ac:dyDescent="0.25">
      <x:c r="A594" s="1"/>
      <x:c r="B594" s="1"/>
      <x:c r="C594" s="1"/>
      <x:c r="D594" s="1"/>
      <x:c r="E594" s="1"/>
      <x:c r="F594" s="11"/>
    </x:row>
    <x:row r="595" spans="1:6" x14ac:dyDescent="0.25">
      <x:c r="A595" s="1"/>
      <x:c r="B595" s="1"/>
      <x:c r="C595" s="1"/>
      <x:c r="D595" s="1"/>
      <x:c r="E595" s="1"/>
      <x:c r="F595" s="11"/>
    </x:row>
    <x:row r="596" spans="1:6" x14ac:dyDescent="0.25">
      <x:c r="A596" s="1"/>
      <x:c r="B596" s="1"/>
      <x:c r="C596" s="1"/>
      <x:c r="D596" s="1"/>
      <x:c r="E596" s="1"/>
      <x:c r="F596" s="11"/>
    </x:row>
    <x:row r="597" spans="1:6" x14ac:dyDescent="0.25">
      <x:c r="A597" s="1"/>
      <x:c r="B597" s="1"/>
      <x:c r="C597" s="1"/>
      <x:c r="D597" s="1"/>
      <x:c r="E597" s="1"/>
      <x:c r="F597" s="11"/>
    </x:row>
    <x:row r="598" spans="1:6" x14ac:dyDescent="0.25">
      <x:c r="A598" s="1"/>
      <x:c r="B598" s="1"/>
      <x:c r="C598" s="1"/>
      <x:c r="D598" s="1"/>
      <x:c r="E598" s="1"/>
      <x:c r="F598" s="11"/>
    </x:row>
    <x:row r="599" spans="1:6" x14ac:dyDescent="0.25">
      <x:c r="A599" s="1"/>
      <x:c r="B599" s="1"/>
      <x:c r="C599" s="1"/>
      <x:c r="D599" s="1"/>
      <x:c r="E599" s="1"/>
      <x:c r="F599" s="11"/>
    </x:row>
    <x:row r="600" spans="1:6" x14ac:dyDescent="0.25">
      <x:c r="A600" s="1"/>
      <x:c r="B600" s="1"/>
      <x:c r="C600" s="1"/>
      <x:c r="D600" s="1"/>
      <x:c r="E600" s="1"/>
      <x:c r="F600" s="11"/>
    </x:row>
    <x:row r="601" spans="1:6" x14ac:dyDescent="0.25">
      <x:c r="A601" s="1"/>
      <x:c r="B601" s="1"/>
      <x:c r="C601" s="1"/>
      <x:c r="D601" s="1"/>
      <x:c r="E601" s="1"/>
      <x:c r="F601" s="11"/>
    </x:row>
    <x:row r="602" spans="1:6" x14ac:dyDescent="0.25">
      <x:c r="A602" s="1"/>
      <x:c r="B602" s="1"/>
      <x:c r="C602" s="1"/>
      <x:c r="D602" s="1"/>
      <x:c r="E602" s="1"/>
      <x:c r="F602" s="11"/>
    </x:row>
    <x:row r="603" spans="1:6" x14ac:dyDescent="0.25">
      <x:c r="A603" s="1"/>
      <x:c r="B603" s="1"/>
      <x:c r="C603" s="1"/>
      <x:c r="D603" s="1"/>
      <x:c r="E603" s="1"/>
      <x:c r="F603" s="11"/>
    </x:row>
    <x:row r="604" spans="1:6" x14ac:dyDescent="0.25">
      <x:c r="A604" s="1"/>
      <x:c r="B604" s="1"/>
      <x:c r="C604" s="1"/>
      <x:c r="D604" s="1"/>
      <x:c r="E604" s="1"/>
      <x:c r="F604" s="11"/>
    </x:row>
    <x:row r="605" spans="1:6" x14ac:dyDescent="0.25">
      <x:c r="A605" s="1"/>
      <x:c r="B605" s="1"/>
      <x:c r="C605" s="1"/>
      <x:c r="D605" s="1"/>
      <x:c r="E605" s="1"/>
      <x:c r="F605" s="11"/>
    </x:row>
    <x:row r="606" spans="1:6" x14ac:dyDescent="0.25">
      <x:c r="A606" s="1"/>
      <x:c r="B606" s="1"/>
      <x:c r="C606" s="1"/>
      <x:c r="D606" s="1"/>
      <x:c r="E606" s="1"/>
      <x:c r="F606" s="11"/>
    </x:row>
    <x:row r="607" spans="1:6" x14ac:dyDescent="0.25">
      <x:c r="A607" s="1"/>
      <x:c r="B607" s="1"/>
      <x:c r="C607" s="1"/>
      <x:c r="D607" s="1"/>
      <x:c r="E607" s="1"/>
      <x:c r="F607" s="11"/>
    </x:row>
    <x:row r="608" spans="1:6" x14ac:dyDescent="0.25">
      <x:c r="A608" s="1"/>
      <x:c r="B608" s="1"/>
      <x:c r="C608" s="1"/>
      <x:c r="D608" s="1"/>
      <x:c r="E608" s="1"/>
      <x:c r="F608" s="11"/>
    </x:row>
    <x:row r="609" spans="1:6" x14ac:dyDescent="0.25">
      <x:c r="A609" s="1"/>
      <x:c r="B609" s="1"/>
      <x:c r="C609" s="1"/>
      <x:c r="D609" s="1"/>
      <x:c r="E609" s="1"/>
      <x:c r="F609" s="11"/>
    </x:row>
    <x:row r="610" spans="1:6" x14ac:dyDescent="0.25">
      <x:c r="A610" s="1"/>
      <x:c r="B610" s="1"/>
      <x:c r="C610" s="1"/>
      <x:c r="D610" s="1"/>
      <x:c r="E610" s="1"/>
      <x:c r="F610" s="11"/>
    </x:row>
    <x:row r="611" spans="1:6" x14ac:dyDescent="0.25">
      <x:c r="A611" s="1"/>
      <x:c r="B611" s="1"/>
      <x:c r="C611" s="1"/>
      <x:c r="D611" s="1"/>
      <x:c r="E611" s="1"/>
      <x:c r="F611" s="11"/>
    </x:row>
    <x:row r="612" spans="1:6" x14ac:dyDescent="0.25">
      <x:c r="A612" s="1"/>
      <x:c r="B612" s="1"/>
      <x:c r="C612" s="1"/>
      <x:c r="D612" s="1"/>
      <x:c r="E612" s="1"/>
      <x:c r="F612" s="11"/>
    </x:row>
    <x:row r="613" spans="1:6" x14ac:dyDescent="0.25">
      <x:c r="A613" s="1"/>
      <x:c r="B613" s="1"/>
      <x:c r="C613" s="1"/>
      <x:c r="D613" s="1"/>
      <x:c r="E613" s="1"/>
      <x:c r="F613" s="11"/>
    </x:row>
    <x:row r="614" spans="1:6" x14ac:dyDescent="0.25">
      <x:c r="A614" s="1"/>
      <x:c r="B614" s="1"/>
      <x:c r="C614" s="1"/>
      <x:c r="D614" s="1"/>
      <x:c r="E614" s="1"/>
      <x:c r="F614" s="11"/>
    </x:row>
    <x:row r="615" spans="1:6" x14ac:dyDescent="0.25">
      <x:c r="A615" s="1"/>
      <x:c r="B615" s="1"/>
      <x:c r="C615" s="1"/>
      <x:c r="D615" s="1"/>
      <x:c r="E615" s="1"/>
      <x:c r="F615" s="11"/>
    </x:row>
    <x:row r="616" spans="1:6" x14ac:dyDescent="0.25">
      <x:c r="A616" s="1"/>
      <x:c r="B616" s="1"/>
      <x:c r="C616" s="1"/>
      <x:c r="D616" s="1"/>
      <x:c r="E616" s="1"/>
      <x:c r="F616" s="11"/>
    </x:row>
    <x:row r="617" spans="1:6" x14ac:dyDescent="0.25">
      <x:c r="A617" s="1"/>
      <x:c r="B617" s="1"/>
      <x:c r="C617" s="1"/>
      <x:c r="D617" s="1"/>
      <x:c r="E617" s="1"/>
      <x:c r="F617" s="11"/>
    </x:row>
    <x:row r="618" spans="1:6" x14ac:dyDescent="0.25">
      <x:c r="A618" s="1"/>
      <x:c r="B618" s="1"/>
      <x:c r="C618" s="1"/>
      <x:c r="D618" s="1"/>
      <x:c r="E618" s="1"/>
      <x:c r="F618" s="11"/>
    </x:row>
    <x:row r="619" spans="1:6" x14ac:dyDescent="0.25">
      <x:c r="A619" s="1"/>
      <x:c r="B619" s="1"/>
      <x:c r="C619" s="1"/>
      <x:c r="D619" s="1"/>
      <x:c r="E619" s="1"/>
      <x:c r="F619" s="11"/>
    </x:row>
    <x:row r="620" spans="1:6" x14ac:dyDescent="0.25">
      <x:c r="A620" s="1"/>
      <x:c r="B620" s="1"/>
      <x:c r="C620" s="1"/>
      <x:c r="D620" s="1"/>
      <x:c r="E620" s="1"/>
      <x:c r="F620" s="11"/>
    </x:row>
    <x:row r="621" spans="1:6" x14ac:dyDescent="0.25">
      <x:c r="A621" s="1"/>
      <x:c r="B621" s="1"/>
      <x:c r="C621" s="1"/>
      <x:c r="D621" s="1"/>
      <x:c r="E621" s="1"/>
      <x:c r="F621" s="11"/>
    </x:row>
    <x:row r="622" spans="1:6" x14ac:dyDescent="0.25">
      <x:c r="A622" s="1"/>
      <x:c r="B622" s="1"/>
      <x:c r="C622" s="1"/>
      <x:c r="D622" s="1"/>
      <x:c r="E622" s="1"/>
      <x:c r="F622" s="11"/>
    </x:row>
    <x:row r="623" spans="1:6" x14ac:dyDescent="0.25">
      <x:c r="A623" s="1"/>
      <x:c r="B623" s="1"/>
      <x:c r="C623" s="1"/>
      <x:c r="D623" s="1"/>
      <x:c r="E623" s="1"/>
      <x:c r="F623" s="11"/>
    </x:row>
    <x:row r="624" spans="1:6" x14ac:dyDescent="0.25">
      <x:c r="A624" s="1"/>
      <x:c r="B624" s="1"/>
      <x:c r="C624" s="1"/>
      <x:c r="D624" s="1"/>
      <x:c r="E624" s="1"/>
      <x:c r="F624" s="11"/>
    </x:row>
    <x:row r="625" spans="1:6" x14ac:dyDescent="0.25">
      <x:c r="A625" s="1"/>
      <x:c r="B625" s="1"/>
      <x:c r="C625" s="1"/>
      <x:c r="D625" s="1"/>
      <x:c r="E625" s="1"/>
      <x:c r="F625" s="11"/>
    </x:row>
    <x:row r="626" spans="1:6" x14ac:dyDescent="0.25">
      <x:c r="A626" s="1"/>
      <x:c r="B626" s="1"/>
      <x:c r="C626" s="1"/>
      <x:c r="D626" s="1"/>
      <x:c r="E626" s="1"/>
      <x:c r="F626" s="11"/>
    </x:row>
    <x:row r="627" spans="1:6" x14ac:dyDescent="0.25">
      <x:c r="A627" s="1"/>
      <x:c r="B627" s="1"/>
      <x:c r="C627" s="1"/>
      <x:c r="D627" s="1"/>
      <x:c r="E627" s="1"/>
      <x:c r="F627" s="11"/>
    </x:row>
    <x:row r="628" spans="1:6" x14ac:dyDescent="0.25">
      <x:c r="A628" s="1"/>
      <x:c r="B628" s="1"/>
      <x:c r="C628" s="1"/>
      <x:c r="D628" s="1"/>
      <x:c r="E628" s="1"/>
      <x:c r="F628" s="11"/>
    </x:row>
    <x:row r="629" spans="1:6" x14ac:dyDescent="0.25">
      <x:c r="A629" s="1"/>
      <x:c r="B629" s="1"/>
      <x:c r="C629" s="1"/>
      <x:c r="D629" s="1"/>
      <x:c r="E629" s="1"/>
      <x:c r="F629" s="11"/>
    </x:row>
    <x:row r="630" spans="1:6" x14ac:dyDescent="0.25">
      <x:c r="A630" s="1"/>
      <x:c r="B630" s="1"/>
      <x:c r="C630" s="1"/>
      <x:c r="D630" s="1"/>
      <x:c r="E630" s="1"/>
      <x:c r="F630" s="11"/>
    </x:row>
    <x:row r="631" spans="1:6" x14ac:dyDescent="0.25">
      <x:c r="A631" s="1"/>
      <x:c r="B631" s="1"/>
      <x:c r="C631" s="1"/>
      <x:c r="D631" s="1"/>
      <x:c r="E631" s="1"/>
      <x:c r="F631" s="11"/>
    </x:row>
    <x:row r="632" spans="1:6" x14ac:dyDescent="0.25">
      <x:c r="A632" s="1"/>
      <x:c r="B632" s="1"/>
      <x:c r="C632" s="1"/>
      <x:c r="D632" s="1"/>
      <x:c r="E632" s="1"/>
      <x:c r="F632" s="11"/>
    </x:row>
    <x:row r="633" spans="1:6" x14ac:dyDescent="0.25">
      <x:c r="A633" s="1"/>
      <x:c r="B633" s="1"/>
      <x:c r="C633" s="1"/>
      <x:c r="D633" s="1"/>
      <x:c r="E633" s="1"/>
      <x:c r="F633" s="11"/>
    </x:row>
    <x:row r="634" spans="1:6" x14ac:dyDescent="0.25">
      <x:c r="A634" s="1"/>
      <x:c r="B634" s="1"/>
      <x:c r="C634" s="1"/>
      <x:c r="D634" s="1"/>
      <x:c r="E634" s="1"/>
      <x:c r="F634" s="11"/>
    </x:row>
    <x:row r="635" spans="1:6" x14ac:dyDescent="0.25">
      <x:c r="A635" s="1"/>
      <x:c r="B635" s="1"/>
      <x:c r="C635" s="1"/>
      <x:c r="D635" s="1"/>
      <x:c r="E635" s="1"/>
      <x:c r="F635" s="11"/>
    </x:row>
    <x:row r="636" spans="1:6" x14ac:dyDescent="0.25">
      <x:c r="A636" s="1"/>
      <x:c r="B636" s="1"/>
      <x:c r="C636" s="1"/>
      <x:c r="D636" s="1"/>
      <x:c r="E636" s="1"/>
      <x:c r="F636" s="11"/>
    </x:row>
    <x:row r="637" spans="1:6" x14ac:dyDescent="0.25">
      <x:c r="A637" s="1"/>
      <x:c r="B637" s="1"/>
      <x:c r="C637" s="1"/>
      <x:c r="D637" s="1"/>
      <x:c r="E637" s="1"/>
      <x:c r="F637" s="11"/>
    </x:row>
    <x:row r="638" spans="1:6" x14ac:dyDescent="0.25">
      <x:c r="A638" s="1"/>
      <x:c r="B638" s="1"/>
      <x:c r="C638" s="1"/>
      <x:c r="D638" s="1"/>
      <x:c r="E638" s="1"/>
      <x:c r="F638" s="11"/>
    </x:row>
    <x:row r="639" spans="1:6" x14ac:dyDescent="0.25">
      <x:c r="A639" s="1"/>
      <x:c r="B639" s="1"/>
      <x:c r="C639" s="1"/>
      <x:c r="D639" s="1"/>
      <x:c r="E639" s="1"/>
      <x:c r="F639" s="11"/>
    </x:row>
    <x:row r="640" spans="1:6" x14ac:dyDescent="0.25">
      <x:c r="A640" s="1"/>
      <x:c r="B640" s="1"/>
      <x:c r="C640" s="1"/>
      <x:c r="D640" s="1"/>
      <x:c r="E640" s="1"/>
      <x:c r="F640" s="11"/>
    </x:row>
    <x:row r="641" spans="1:6" x14ac:dyDescent="0.25">
      <x:c r="A641" s="1"/>
      <x:c r="B641" s="1"/>
      <x:c r="C641" s="1"/>
      <x:c r="D641" s="1"/>
      <x:c r="E641" s="1"/>
      <x:c r="F641" s="11"/>
    </x:row>
    <x:row r="642" spans="1:6" x14ac:dyDescent="0.25">
      <x:c r="A642" s="1"/>
      <x:c r="B642" s="1"/>
      <x:c r="C642" s="1"/>
      <x:c r="D642" s="1"/>
      <x:c r="E642" s="1"/>
      <x:c r="F642" s="11"/>
    </x:row>
    <x:row r="643" spans="1:6" x14ac:dyDescent="0.25">
      <x:c r="A643" s="1"/>
      <x:c r="B643" s="1"/>
      <x:c r="C643" s="1"/>
      <x:c r="D643" s="1"/>
      <x:c r="E643" s="1"/>
      <x:c r="F643" s="11"/>
    </x:row>
    <x:row r="644" spans="1:6" x14ac:dyDescent="0.25">
      <x:c r="A644" s="1"/>
      <x:c r="B644" s="1"/>
      <x:c r="C644" s="1"/>
      <x:c r="D644" s="1"/>
      <x:c r="E644" s="1"/>
      <x:c r="F644" s="11"/>
    </x:row>
    <x:row r="645" spans="1:6" x14ac:dyDescent="0.25">
      <x:c r="A645" s="1"/>
      <x:c r="B645" s="1"/>
      <x:c r="C645" s="1"/>
      <x:c r="D645" s="1"/>
      <x:c r="E645" s="1"/>
      <x:c r="F645" s="11"/>
    </x:row>
    <x:row r="646" spans="1:6" x14ac:dyDescent="0.25">
      <x:c r="A646" s="1"/>
      <x:c r="B646" s="1"/>
      <x:c r="C646" s="1"/>
      <x:c r="D646" s="1"/>
      <x:c r="E646" s="1"/>
      <x:c r="F646" s="11"/>
    </x:row>
    <x:row r="647" spans="1:6" x14ac:dyDescent="0.25">
      <x:c r="A647" s="1"/>
      <x:c r="B647" s="1"/>
      <x:c r="C647" s="1"/>
      <x:c r="D647" s="1"/>
      <x:c r="E647" s="1"/>
      <x:c r="F647" s="11"/>
    </x:row>
    <x:row r="648" spans="1:6" x14ac:dyDescent="0.25">
      <x:c r="A648" s="1"/>
      <x:c r="B648" s="1"/>
      <x:c r="C648" s="1"/>
      <x:c r="D648" s="1"/>
      <x:c r="E648" s="1"/>
      <x:c r="F648" s="11"/>
    </x:row>
    <x:row r="649" spans="1:6" x14ac:dyDescent="0.25">
      <x:c r="A649" s="1"/>
      <x:c r="B649" s="1"/>
      <x:c r="C649" s="1"/>
      <x:c r="D649" s="1"/>
      <x:c r="E649" s="1"/>
      <x:c r="F649" s="11"/>
    </x:row>
    <x:row r="650" spans="1:6" x14ac:dyDescent="0.25">
      <x:c r="A650" s="1"/>
      <x:c r="B650" s="1"/>
      <x:c r="C650" s="1"/>
      <x:c r="D650" s="1"/>
      <x:c r="E650" s="1"/>
      <x:c r="F650" s="11"/>
    </x:row>
    <x:row r="651" spans="1:6" x14ac:dyDescent="0.25">
      <x:c r="A651" s="1"/>
      <x:c r="B651" s="1"/>
      <x:c r="C651" s="1"/>
      <x:c r="D651" s="1"/>
      <x:c r="E651" s="1"/>
      <x:c r="F651" s="11"/>
    </x:row>
    <x:row r="652" spans="1:6" x14ac:dyDescent="0.25">
      <x:c r="A652" s="1"/>
      <x:c r="B652" s="1"/>
      <x:c r="C652" s="1"/>
      <x:c r="D652" s="1"/>
      <x:c r="E652" s="1"/>
      <x:c r="F652" s="11"/>
    </x:row>
    <x:row r="653" spans="1:6" x14ac:dyDescent="0.25">
      <x:c r="A653" s="1"/>
      <x:c r="B653" s="1"/>
      <x:c r="C653" s="1"/>
      <x:c r="D653" s="1"/>
      <x:c r="E653" s="1"/>
      <x:c r="F653" s="11"/>
    </x:row>
    <x:row r="654" spans="1:6" x14ac:dyDescent="0.25">
      <x:c r="A654" s="1"/>
      <x:c r="B654" s="1"/>
      <x:c r="C654" s="1"/>
      <x:c r="D654" s="1"/>
      <x:c r="E654" s="1"/>
      <x:c r="F654" s="11"/>
    </x:row>
    <x:row r="655" spans="1:6" x14ac:dyDescent="0.25">
      <x:c r="A655" s="1"/>
      <x:c r="B655" s="1"/>
      <x:c r="C655" s="1"/>
      <x:c r="D655" s="1"/>
      <x:c r="E655" s="1"/>
      <x:c r="F655" s="11"/>
    </x:row>
    <x:row r="656" spans="1:6" x14ac:dyDescent="0.25">
      <x:c r="A656" s="1"/>
      <x:c r="B656" s="1"/>
      <x:c r="C656" s="1"/>
      <x:c r="D656" s="1"/>
      <x:c r="E656" s="1"/>
      <x:c r="F656" s="11"/>
    </x:row>
    <x:row r="657" spans="1:6" x14ac:dyDescent="0.25">
      <x:c r="A657" s="1"/>
      <x:c r="B657" s="1"/>
      <x:c r="C657" s="1"/>
      <x:c r="D657" s="1"/>
      <x:c r="E657" s="1"/>
      <x:c r="F657" s="11"/>
    </x:row>
    <x:row r="658" spans="1:6" x14ac:dyDescent="0.25">
      <x:c r="A658" s="1"/>
      <x:c r="B658" s="1"/>
      <x:c r="C658" s="1"/>
      <x:c r="D658" s="1"/>
      <x:c r="E658" s="1"/>
      <x:c r="F658" s="11"/>
    </x:row>
    <x:row r="659" spans="1:6" x14ac:dyDescent="0.25">
      <x:c r="A659" s="1"/>
      <x:c r="B659" s="1"/>
      <x:c r="C659" s="1"/>
      <x:c r="D659" s="1"/>
      <x:c r="E659" s="1"/>
      <x:c r="F659" s="11"/>
    </x:row>
    <x:row r="660" spans="1:6" x14ac:dyDescent="0.25">
      <x:c r="A660" s="1"/>
      <x:c r="B660" s="1"/>
      <x:c r="C660" s="1"/>
      <x:c r="D660" s="1"/>
      <x:c r="E660" s="1"/>
      <x:c r="F660" s="11"/>
    </x:row>
    <x:row r="661" spans="1:6" x14ac:dyDescent="0.25">
      <x:c r="A661" s="1"/>
      <x:c r="B661" s="1"/>
      <x:c r="C661" s="1"/>
      <x:c r="D661" s="1"/>
      <x:c r="E661" s="1"/>
      <x:c r="F661" s="11"/>
    </x:row>
    <x:row r="662" spans="1:6" x14ac:dyDescent="0.25">
      <x:c r="A662" s="1"/>
      <x:c r="B662" s="1"/>
      <x:c r="C662" s="1"/>
      <x:c r="D662" s="1"/>
      <x:c r="E662" s="1"/>
      <x:c r="F662" s="11"/>
    </x:row>
    <x:row r="663" spans="1:6" x14ac:dyDescent="0.25">
      <x:c r="A663" s="1"/>
      <x:c r="B663" s="1"/>
      <x:c r="C663" s="1"/>
      <x:c r="D663" s="1"/>
      <x:c r="E663" s="1"/>
      <x:c r="F663" s="11"/>
    </x:row>
    <x:row r="664" spans="1:6" x14ac:dyDescent="0.25">
      <x:c r="A664" s="1"/>
      <x:c r="B664" s="1"/>
      <x:c r="C664" s="1"/>
      <x:c r="D664" s="1"/>
      <x:c r="E664" s="1"/>
      <x:c r="F664" s="11"/>
    </x:row>
    <x:row r="665" spans="1:6" x14ac:dyDescent="0.25">
      <x:c r="A665" s="1"/>
      <x:c r="B665" s="1"/>
      <x:c r="C665" s="1"/>
      <x:c r="D665" s="1"/>
      <x:c r="E665" s="1"/>
      <x:c r="F665" s="11"/>
    </x:row>
    <x:row r="666" spans="1:6" x14ac:dyDescent="0.25">
      <x:c r="A666" s="1"/>
      <x:c r="B666" s="1"/>
      <x:c r="C666" s="1"/>
      <x:c r="D666" s="1"/>
      <x:c r="E666" s="1"/>
      <x:c r="F666" s="11"/>
    </x:row>
    <x:row r="667" spans="1:6" x14ac:dyDescent="0.25">
      <x:c r="A667" s="1"/>
      <x:c r="B667" s="1"/>
      <x:c r="C667" s="1"/>
      <x:c r="D667" s="1"/>
      <x:c r="E667" s="1"/>
      <x:c r="F667" s="11"/>
    </x:row>
    <x:row r="668" spans="1:6" x14ac:dyDescent="0.25">
      <x:c r="A668" s="1"/>
      <x:c r="B668" s="1"/>
      <x:c r="C668" s="1"/>
      <x:c r="D668" s="1"/>
      <x:c r="E668" s="1"/>
      <x:c r="F668" s="11"/>
    </x:row>
    <x:row r="669" spans="1:6" x14ac:dyDescent="0.25">
      <x:c r="A669" s="1"/>
      <x:c r="B669" s="1"/>
      <x:c r="C669" s="1"/>
      <x:c r="D669" s="1"/>
      <x:c r="E669" s="1"/>
      <x:c r="F669" s="11"/>
    </x:row>
    <x:row r="670" spans="1:6" x14ac:dyDescent="0.25">
      <x:c r="A670" s="1"/>
      <x:c r="B670" s="1"/>
      <x:c r="C670" s="1"/>
      <x:c r="D670" s="1"/>
      <x:c r="E670" s="1"/>
      <x:c r="F670" s="11"/>
    </x:row>
    <x:row r="671" spans="1:6" x14ac:dyDescent="0.25">
      <x:c r="A671" s="1"/>
      <x:c r="B671" s="1"/>
      <x:c r="C671" s="1"/>
      <x:c r="D671" s="1"/>
      <x:c r="E671" s="1"/>
      <x:c r="F671" s="11"/>
    </x:row>
    <x:row r="672" spans="1:6" x14ac:dyDescent="0.25">
      <x:c r="A672" s="1"/>
      <x:c r="B672" s="1"/>
      <x:c r="C672" s="1"/>
      <x:c r="D672" s="1"/>
      <x:c r="E672" s="1"/>
      <x:c r="F672" s="11"/>
    </x:row>
    <x:row r="673" spans="1:6" x14ac:dyDescent="0.25">
      <x:c r="A673" s="1"/>
      <x:c r="B673" s="1"/>
      <x:c r="C673" s="1"/>
      <x:c r="D673" s="1"/>
      <x:c r="E673" s="1"/>
      <x:c r="F673" s="11"/>
    </x:row>
    <x:row r="674" spans="1:6" x14ac:dyDescent="0.25">
      <x:c r="A674" s="1"/>
      <x:c r="B674" s="1"/>
      <x:c r="C674" s="1"/>
      <x:c r="D674" s="1"/>
      <x:c r="E674" s="1"/>
      <x:c r="F674" s="11"/>
    </x:row>
    <x:row r="675" spans="1:6" x14ac:dyDescent="0.25">
      <x:c r="A675" s="1"/>
      <x:c r="B675" s="1"/>
      <x:c r="C675" s="1"/>
      <x:c r="D675" s="1"/>
      <x:c r="E675" s="1"/>
      <x:c r="F675" s="11"/>
    </x:row>
    <x:row r="676" spans="1:6" x14ac:dyDescent="0.25">
      <x:c r="A676" s="1"/>
      <x:c r="B676" s="1"/>
      <x:c r="C676" s="1"/>
      <x:c r="D676" s="1"/>
      <x:c r="E676" s="1"/>
      <x:c r="F676" s="11"/>
    </x:row>
    <x:row r="677" spans="1:6" x14ac:dyDescent="0.25">
      <x:c r="A677" s="1"/>
      <x:c r="B677" s="1"/>
      <x:c r="C677" s="1"/>
      <x:c r="D677" s="1"/>
      <x:c r="E677" s="1"/>
      <x:c r="F677" s="11"/>
    </x:row>
    <x:row r="678" spans="1:6" x14ac:dyDescent="0.25">
      <x:c r="A678" s="1"/>
      <x:c r="B678" s="1"/>
      <x:c r="C678" s="1"/>
      <x:c r="D678" s="1"/>
      <x:c r="E678" s="1"/>
      <x:c r="F678" s="11"/>
    </x:row>
    <x:row r="679" spans="1:6" x14ac:dyDescent="0.25">
      <x:c r="A679" s="1"/>
      <x:c r="B679" s="1"/>
      <x:c r="C679" s="1"/>
      <x:c r="D679" s="1"/>
      <x:c r="E679" s="1"/>
      <x:c r="F679" s="11"/>
    </x:row>
    <x:row r="680" spans="1:6" x14ac:dyDescent="0.25">
      <x:c r="A680" s="1"/>
      <x:c r="B680" s="1"/>
      <x:c r="C680" s="1"/>
      <x:c r="D680" s="1"/>
      <x:c r="E680" s="1"/>
      <x:c r="F680" s="11"/>
    </x:row>
    <x:row r="681" spans="1:6" x14ac:dyDescent="0.25">
      <x:c r="A681" s="1"/>
      <x:c r="B681" s="1"/>
      <x:c r="C681" s="1"/>
      <x:c r="D681" s="1"/>
      <x:c r="E681" s="1"/>
      <x:c r="F681" s="11"/>
    </x:row>
    <x:row r="682" spans="1:6" x14ac:dyDescent="0.25">
      <x:c r="A682" s="1"/>
      <x:c r="B682" s="1"/>
      <x:c r="C682" s="1"/>
      <x:c r="D682" s="1"/>
      <x:c r="E682" s="1"/>
      <x:c r="F682" s="11"/>
    </x:row>
    <x:row r="683" spans="1:6" x14ac:dyDescent="0.25">
      <x:c r="A683" s="1"/>
      <x:c r="B683" s="1"/>
      <x:c r="C683" s="1"/>
      <x:c r="D683" s="1"/>
      <x:c r="E683" s="1"/>
      <x:c r="F683" s="11"/>
    </x:row>
    <x:row r="684" spans="1:6" x14ac:dyDescent="0.25">
      <x:c r="A684" s="1"/>
      <x:c r="B684" s="1"/>
      <x:c r="C684" s="1"/>
      <x:c r="D684" s="1"/>
      <x:c r="E684" s="1"/>
      <x:c r="F684" s="11"/>
    </x:row>
    <x:row r="685" spans="1:6" x14ac:dyDescent="0.25">
      <x:c r="A685" s="1"/>
      <x:c r="B685" s="1"/>
      <x:c r="C685" s="1"/>
      <x:c r="D685" s="1"/>
      <x:c r="E685" s="1"/>
      <x:c r="F685" s="11"/>
    </x:row>
    <x:row r="686" spans="1:6" x14ac:dyDescent="0.25">
      <x:c r="A686" s="1"/>
      <x:c r="B686" s="1"/>
      <x:c r="C686" s="1"/>
      <x:c r="D686" s="1"/>
      <x:c r="E686" s="1"/>
      <x:c r="F686" s="11"/>
    </x:row>
    <x:row r="687" spans="1:6" x14ac:dyDescent="0.25">
      <x:c r="A687" s="1"/>
      <x:c r="B687" s="1"/>
      <x:c r="C687" s="1"/>
      <x:c r="D687" s="1"/>
      <x:c r="E687" s="1"/>
      <x:c r="F687" s="11"/>
    </x:row>
    <x:row r="688" spans="1:6" x14ac:dyDescent="0.25">
      <x:c r="A688" s="1"/>
      <x:c r="B688" s="1"/>
      <x:c r="C688" s="1"/>
      <x:c r="D688" s="1"/>
      <x:c r="E688" s="1"/>
      <x:c r="F688" s="11"/>
    </x:row>
    <x:row r="689" spans="1:6" x14ac:dyDescent="0.25">
      <x:c r="A689" s="1"/>
      <x:c r="B689" s="1"/>
      <x:c r="C689" s="1"/>
      <x:c r="D689" s="1"/>
      <x:c r="E689" s="1"/>
      <x:c r="F689" s="11"/>
    </x:row>
    <x:row r="690" spans="1:6" x14ac:dyDescent="0.25">
      <x:c r="A690" s="1"/>
      <x:c r="B690" s="1"/>
      <x:c r="C690" s="1"/>
      <x:c r="D690" s="1"/>
      <x:c r="E690" s="1"/>
      <x:c r="F690" s="11"/>
    </x:row>
    <x:row r="691" spans="1:6" x14ac:dyDescent="0.25">
      <x:c r="A691" s="1"/>
      <x:c r="B691" s="1"/>
      <x:c r="C691" s="1"/>
      <x:c r="D691" s="1"/>
      <x:c r="E691" s="1"/>
      <x:c r="F691" s="11"/>
    </x:row>
    <x:row r="692" spans="1:6" x14ac:dyDescent="0.25">
      <x:c r="A692" s="1"/>
      <x:c r="B692" s="1"/>
      <x:c r="C692" s="1"/>
      <x:c r="D692" s="1"/>
      <x:c r="E692" s="1"/>
      <x:c r="F692" s="11"/>
    </x:row>
    <x:row r="693" spans="1:6" x14ac:dyDescent="0.25">
      <x:c r="A693" s="1"/>
      <x:c r="B693" s="1"/>
      <x:c r="C693" s="1"/>
      <x:c r="D693" s="1"/>
      <x:c r="E693" s="1"/>
      <x:c r="F693" s="11"/>
    </x:row>
    <x:row r="694" spans="1:6" x14ac:dyDescent="0.25">
      <x:c r="A694" s="1"/>
      <x:c r="B694" s="1"/>
      <x:c r="C694" s="1"/>
      <x:c r="D694" s="1"/>
      <x:c r="E694" s="1"/>
      <x:c r="F694" s="11"/>
    </x:row>
    <x:row r="695" spans="1:6" x14ac:dyDescent="0.25">
      <x:c r="A695" s="1"/>
      <x:c r="B695" s="1"/>
      <x:c r="C695" s="1"/>
      <x:c r="D695" s="1"/>
      <x:c r="E695" s="1"/>
      <x:c r="F695" s="11"/>
    </x:row>
    <x:row r="696" spans="1:6" x14ac:dyDescent="0.25">
      <x:c r="A696" s="1"/>
      <x:c r="B696" s="1"/>
      <x:c r="C696" s="1"/>
      <x:c r="D696" s="1"/>
      <x:c r="E696" s="1"/>
      <x:c r="F696" s="11"/>
    </x:row>
    <x:row r="697" spans="1:6" x14ac:dyDescent="0.25">
      <x:c r="A697" s="1"/>
      <x:c r="B697" s="1"/>
      <x:c r="C697" s="1"/>
      <x:c r="D697" s="1"/>
      <x:c r="E697" s="1"/>
      <x:c r="F697" s="11"/>
    </x:row>
    <x:row r="698" spans="1:6" x14ac:dyDescent="0.25">
      <x:c r="A698" s="1"/>
      <x:c r="B698" s="1"/>
      <x:c r="C698" s="1"/>
      <x:c r="D698" s="1"/>
      <x:c r="E698" s="1"/>
      <x:c r="F698" s="11"/>
    </x:row>
    <x:row r="699" spans="1:6" x14ac:dyDescent="0.25">
      <x:c r="A699" s="1"/>
      <x:c r="B699" s="1"/>
      <x:c r="C699" s="1"/>
      <x:c r="D699" s="1"/>
      <x:c r="E699" s="1"/>
      <x:c r="F699" s="11"/>
    </x:row>
    <x:row r="700" spans="1:6" x14ac:dyDescent="0.25">
      <x:c r="A700" s="1"/>
      <x:c r="B700" s="1"/>
      <x:c r="C700" s="1"/>
      <x:c r="D700" s="1"/>
      <x:c r="E700" s="1"/>
      <x:c r="F700" s="11"/>
    </x:row>
    <x:row r="701" spans="1:6" x14ac:dyDescent="0.25">
      <x:c r="A701" s="1"/>
      <x:c r="B701" s="1"/>
      <x:c r="C701" s="1"/>
      <x:c r="D701" s="1"/>
      <x:c r="E701" s="1"/>
      <x:c r="F701" s="11"/>
    </x:row>
    <x:row r="702" spans="1:6" x14ac:dyDescent="0.25">
      <x:c r="A702" s="1"/>
      <x:c r="B702" s="1"/>
      <x:c r="C702" s="1"/>
      <x:c r="D702" s="1"/>
      <x:c r="E702" s="1"/>
      <x:c r="F702" s="11"/>
    </x:row>
    <x:row r="703" spans="1:6" x14ac:dyDescent="0.25">
      <x:c r="A703" s="1"/>
      <x:c r="B703" s="1"/>
      <x:c r="C703" s="1"/>
      <x:c r="D703" s="1"/>
      <x:c r="E703" s="1"/>
      <x:c r="F703" s="11"/>
    </x:row>
    <x:row r="704" spans="1:6" x14ac:dyDescent="0.25">
      <x:c r="A704" s="1"/>
      <x:c r="B704" s="1"/>
      <x:c r="C704" s="1"/>
      <x:c r="D704" s="1"/>
      <x:c r="E704" s="1"/>
      <x:c r="F704" s="11"/>
    </x:row>
    <x:row r="705" spans="1:6" x14ac:dyDescent="0.25">
      <x:c r="A705" s="1"/>
      <x:c r="B705" s="1"/>
      <x:c r="C705" s="1"/>
      <x:c r="D705" s="1"/>
      <x:c r="E705" s="1"/>
      <x:c r="F705" s="11"/>
    </x:row>
    <x:row r="706" spans="1:6" x14ac:dyDescent="0.25">
      <x:c r="A706" s="1"/>
      <x:c r="B706" s="1"/>
      <x:c r="C706" s="1"/>
      <x:c r="D706" s="1"/>
      <x:c r="E706" s="1"/>
      <x:c r="F706" s="11"/>
    </x:row>
    <x:row r="707" spans="1:6" x14ac:dyDescent="0.25">
      <x:c r="A707" s="1"/>
      <x:c r="B707" s="1"/>
      <x:c r="C707" s="1"/>
      <x:c r="D707" s="1"/>
      <x:c r="E707" s="1"/>
      <x:c r="F707" s="11"/>
    </x:row>
    <x:row r="708" spans="1:6" x14ac:dyDescent="0.25">
      <x:c r="A708" s="1"/>
      <x:c r="B708" s="1"/>
      <x:c r="C708" s="1"/>
      <x:c r="D708" s="1"/>
      <x:c r="E708" s="1"/>
      <x:c r="F708" s="11"/>
    </x:row>
    <x:row r="709" spans="1:6" x14ac:dyDescent="0.25">
      <x:c r="A709" s="1"/>
      <x:c r="B709" s="1"/>
      <x:c r="C709" s="1"/>
      <x:c r="D709" s="1"/>
      <x:c r="E709" s="1"/>
      <x:c r="F709" s="11"/>
    </x:row>
    <x:row r="710" spans="1:6" x14ac:dyDescent="0.25">
      <x:c r="A710" s="1"/>
      <x:c r="B710" s="1"/>
      <x:c r="C710" s="1"/>
      <x:c r="D710" s="1"/>
      <x:c r="E710" s="1"/>
      <x:c r="F710" s="11"/>
    </x:row>
    <x:row r="711" spans="1:6" x14ac:dyDescent="0.25">
      <x:c r="A711" s="1"/>
      <x:c r="B711" s="1"/>
      <x:c r="C711" s="1"/>
      <x:c r="D711" s="1"/>
      <x:c r="E711" s="1"/>
      <x:c r="F711" s="11"/>
    </x:row>
    <x:row r="712" spans="1:6" x14ac:dyDescent="0.25">
      <x:c r="A712" s="1"/>
      <x:c r="B712" s="1"/>
      <x:c r="C712" s="1"/>
      <x:c r="D712" s="1"/>
      <x:c r="E712" s="1"/>
      <x:c r="F712" s="11"/>
    </x:row>
    <x:row r="713" spans="1:6" x14ac:dyDescent="0.25">
      <x:c r="A713" s="1"/>
      <x:c r="B713" s="1"/>
      <x:c r="C713" s="1"/>
      <x:c r="D713" s="1"/>
      <x:c r="E713" s="1"/>
      <x:c r="F713" s="11"/>
    </x:row>
    <x:row r="714" spans="1:6" x14ac:dyDescent="0.25">
      <x:c r="A714" s="1"/>
      <x:c r="B714" s="1"/>
      <x:c r="C714" s="1"/>
      <x:c r="D714" s="1"/>
      <x:c r="E714" s="1"/>
      <x:c r="F714" s="11"/>
    </x:row>
    <x:row r="715" spans="1:6" x14ac:dyDescent="0.25">
      <x:c r="A715" s="1"/>
      <x:c r="B715" s="1"/>
      <x:c r="C715" s="1"/>
      <x:c r="D715" s="1"/>
      <x:c r="E715" s="1"/>
      <x:c r="F715" s="11"/>
    </x:row>
    <x:row r="716" spans="1:6" x14ac:dyDescent="0.25">
      <x:c r="A716" s="1"/>
      <x:c r="B716" s="1"/>
      <x:c r="C716" s="1"/>
      <x:c r="D716" s="1"/>
      <x:c r="E716" s="1"/>
      <x:c r="F716" s="11"/>
    </x:row>
    <x:row r="717" spans="1:6" x14ac:dyDescent="0.25">
      <x:c r="A717" s="1"/>
      <x:c r="B717" s="1"/>
      <x:c r="C717" s="1"/>
      <x:c r="D717" s="1"/>
      <x:c r="E717" s="1"/>
      <x:c r="F717" s="11"/>
    </x:row>
    <x:row r="718" spans="1:6" x14ac:dyDescent="0.25">
      <x:c r="A718" s="1"/>
      <x:c r="B718" s="1"/>
      <x:c r="C718" s="1"/>
      <x:c r="D718" s="1"/>
      <x:c r="E718" s="1"/>
      <x:c r="F718" s="11"/>
    </x:row>
    <x:row r="719" spans="1:6" x14ac:dyDescent="0.25">
      <x:c r="A719" s="1"/>
      <x:c r="B719" s="1"/>
      <x:c r="C719" s="1"/>
      <x:c r="D719" s="1"/>
      <x:c r="E719" s="1"/>
      <x:c r="F719" s="11"/>
    </x:row>
    <x:row r="720" spans="1:6" x14ac:dyDescent="0.25">
      <x:c r="A720" s="1"/>
      <x:c r="B720" s="1"/>
      <x:c r="C720" s="1"/>
      <x:c r="D720" s="1"/>
      <x:c r="E720" s="1"/>
      <x:c r="F720" s="11"/>
    </x:row>
    <x:row r="721" spans="1:6" x14ac:dyDescent="0.25">
      <x:c r="A721" s="1"/>
      <x:c r="B721" s="1"/>
      <x:c r="C721" s="1"/>
      <x:c r="D721" s="1"/>
      <x:c r="E721" s="1"/>
      <x:c r="F721" s="11"/>
    </x:row>
    <x:row r="722" spans="1:6" x14ac:dyDescent="0.25">
      <x:c r="A722" s="1"/>
      <x:c r="B722" s="1"/>
      <x:c r="C722" s="1"/>
      <x:c r="D722" s="1"/>
      <x:c r="E722" s="1"/>
      <x:c r="F722" s="11"/>
    </x:row>
    <x:row r="723" spans="1:6" x14ac:dyDescent="0.25">
      <x:c r="A723" s="1"/>
      <x:c r="B723" s="1"/>
      <x:c r="C723" s="1"/>
      <x:c r="D723" s="1"/>
      <x:c r="E723" s="1"/>
      <x:c r="F723" s="11"/>
    </x:row>
    <x:row r="724" spans="1:6" x14ac:dyDescent="0.25">
      <x:c r="A724" s="1"/>
      <x:c r="B724" s="1"/>
      <x:c r="C724" s="1"/>
      <x:c r="D724" s="1"/>
      <x:c r="E724" s="1"/>
      <x:c r="F724" s="11"/>
    </x:row>
    <x:row r="725" spans="1:6" x14ac:dyDescent="0.25">
      <x:c r="A725" s="1"/>
      <x:c r="B725" s="1"/>
      <x:c r="C725" s="1"/>
      <x:c r="D725" s="1"/>
      <x:c r="E725" s="1"/>
      <x:c r="F725" s="11"/>
    </x:row>
    <x:row r="726" spans="1:6" x14ac:dyDescent="0.25">
      <x:c r="A726" s="1"/>
      <x:c r="B726" s="1"/>
      <x:c r="C726" s="1"/>
      <x:c r="D726" s="1"/>
      <x:c r="E726" s="1"/>
      <x:c r="F726" s="11"/>
    </x:row>
    <x:row r="727" spans="1:6" x14ac:dyDescent="0.25">
      <x:c r="A727" s="1"/>
      <x:c r="B727" s="1"/>
      <x:c r="C727" s="1"/>
      <x:c r="D727" s="1"/>
      <x:c r="E727" s="1"/>
      <x:c r="F727" s="11"/>
    </x:row>
    <x:row r="728" spans="1:6" x14ac:dyDescent="0.25">
      <x:c r="A728" s="1"/>
      <x:c r="B728" s="1"/>
      <x:c r="C728" s="1"/>
      <x:c r="D728" s="1"/>
      <x:c r="E728" s="1"/>
      <x:c r="F728" s="11"/>
    </x:row>
    <x:row r="729" spans="1:6" x14ac:dyDescent="0.25">
      <x:c r="A729" s="1"/>
      <x:c r="B729" s="1"/>
      <x:c r="C729" s="1"/>
      <x:c r="D729" s="1"/>
      <x:c r="E729" s="1"/>
      <x:c r="F729" s="11"/>
    </x:row>
    <x:row r="730" spans="1:6" x14ac:dyDescent="0.25">
      <x:c r="A730" s="1"/>
      <x:c r="B730" s="1"/>
      <x:c r="C730" s="1"/>
      <x:c r="D730" s="1"/>
      <x:c r="E730" s="1"/>
      <x:c r="F730" s="11"/>
    </x:row>
    <x:row r="731" spans="1:6" x14ac:dyDescent="0.25">
      <x:c r="A731" s="1"/>
      <x:c r="B731" s="1"/>
      <x:c r="C731" s="1"/>
      <x:c r="D731" s="1"/>
      <x:c r="E731" s="1"/>
      <x:c r="F731" s="11"/>
    </x:row>
    <x:row r="732" spans="1:6" x14ac:dyDescent="0.25">
      <x:c r="A732" s="1"/>
      <x:c r="B732" s="1"/>
      <x:c r="C732" s="1"/>
      <x:c r="D732" s="1"/>
      <x:c r="E732" s="1"/>
      <x:c r="F732" s="11"/>
    </x:row>
    <x:row r="733" spans="1:6" x14ac:dyDescent="0.25">
      <x:c r="A733" s="1"/>
      <x:c r="B733" s="1"/>
      <x:c r="C733" s="1"/>
      <x:c r="D733" s="1"/>
      <x:c r="E733" s="1"/>
      <x:c r="F733" s="11"/>
    </x:row>
    <x:row r="734" spans="1:6" x14ac:dyDescent="0.25">
      <x:c r="A734" s="1"/>
      <x:c r="B734" s="1"/>
      <x:c r="C734" s="1"/>
      <x:c r="D734" s="1"/>
      <x:c r="E734" s="1"/>
      <x:c r="F734" s="11"/>
    </x:row>
    <x:row r="735" spans="1:6" x14ac:dyDescent="0.25">
      <x:c r="A735" s="1"/>
      <x:c r="B735" s="1"/>
      <x:c r="C735" s="1"/>
      <x:c r="D735" s="1"/>
      <x:c r="E735" s="1"/>
      <x:c r="F735" s="11"/>
    </x:row>
    <x:row r="736" spans="1:6" x14ac:dyDescent="0.25">
      <x:c r="A736" s="1"/>
      <x:c r="B736" s="1"/>
      <x:c r="C736" s="1"/>
      <x:c r="D736" s="1"/>
      <x:c r="E736" s="1"/>
      <x:c r="F736" s="11"/>
    </x:row>
    <x:row r="737" spans="1:6" x14ac:dyDescent="0.25">
      <x:c r="A737" s="1"/>
      <x:c r="B737" s="1"/>
      <x:c r="C737" s="1"/>
      <x:c r="D737" s="1"/>
      <x:c r="E737" s="1"/>
      <x:c r="F737" s="11"/>
    </x:row>
    <x:row r="738" spans="1:6" x14ac:dyDescent="0.25">
      <x:c r="A738" s="1"/>
      <x:c r="B738" s="1"/>
      <x:c r="C738" s="1"/>
      <x:c r="D738" s="1"/>
      <x:c r="E738" s="1"/>
      <x:c r="F738" s="11"/>
    </x:row>
    <x:row r="739" spans="1:6" x14ac:dyDescent="0.25">
      <x:c r="A739" s="1"/>
      <x:c r="B739" s="1"/>
      <x:c r="C739" s="1"/>
      <x:c r="D739" s="1"/>
      <x:c r="E739" s="1"/>
      <x:c r="F739" s="11"/>
    </x:row>
    <x:row r="740" spans="1:6" x14ac:dyDescent="0.25">
      <x:c r="A740" s="1"/>
      <x:c r="B740" s="1"/>
      <x:c r="C740" s="1"/>
      <x:c r="D740" s="1"/>
      <x:c r="E740" s="1"/>
      <x:c r="F740" s="11"/>
    </x:row>
    <x:row r="741" spans="1:6" x14ac:dyDescent="0.25">
      <x:c r="A741" s="1"/>
      <x:c r="B741" s="1"/>
      <x:c r="C741" s="1"/>
      <x:c r="D741" s="1"/>
      <x:c r="E741" s="1"/>
      <x:c r="F741" s="11"/>
    </x:row>
    <x:row r="742" spans="1:6" x14ac:dyDescent="0.25">
      <x:c r="A742" s="1"/>
      <x:c r="B742" s="1"/>
      <x:c r="C742" s="1"/>
      <x:c r="D742" s="1"/>
      <x:c r="E742" s="1"/>
      <x:c r="F742" s="11"/>
    </x:row>
    <x:row r="743" spans="1:6" x14ac:dyDescent="0.25">
      <x:c r="A743" s="1"/>
      <x:c r="B743" s="1"/>
      <x:c r="C743" s="1"/>
      <x:c r="D743" s="1"/>
      <x:c r="E743" s="1"/>
      <x:c r="F743" s="11"/>
    </x:row>
    <x:row r="744" spans="1:6" x14ac:dyDescent="0.25">
      <x:c r="A744" s="1"/>
      <x:c r="B744" s="1"/>
      <x:c r="C744" s="1"/>
      <x:c r="D744" s="1"/>
      <x:c r="E744" s="1"/>
      <x:c r="F744" s="11"/>
    </x:row>
    <x:row r="745" spans="1:6" x14ac:dyDescent="0.25">
      <x:c r="A745" s="1"/>
      <x:c r="B745" s="1"/>
      <x:c r="C745" s="1"/>
      <x:c r="D745" s="1"/>
      <x:c r="E745" s="1"/>
      <x:c r="F745" s="11"/>
    </x:row>
    <x:row r="746" spans="1:6" x14ac:dyDescent="0.25">
      <x:c r="A746" s="1"/>
      <x:c r="B746" s="1"/>
      <x:c r="C746" s="1"/>
      <x:c r="D746" s="1"/>
      <x:c r="E746" s="1"/>
      <x:c r="F746" s="11"/>
    </x:row>
    <x:row r="747" spans="1:6" x14ac:dyDescent="0.25">
      <x:c r="A747" s="1"/>
      <x:c r="B747" s="1"/>
      <x:c r="C747" s="1"/>
      <x:c r="D747" s="1"/>
      <x:c r="E747" s="1"/>
      <x:c r="F747" s="11"/>
    </x:row>
    <x:row r="748" spans="1:6" x14ac:dyDescent="0.25">
      <x:c r="A748" s="1"/>
      <x:c r="B748" s="1"/>
      <x:c r="C748" s="1"/>
      <x:c r="D748" s="1"/>
      <x:c r="E748" s="1"/>
      <x:c r="F748" s="11"/>
    </x:row>
    <x:row r="749" spans="1:6" x14ac:dyDescent="0.25">
      <x:c r="A749" s="1"/>
      <x:c r="B749" s="1"/>
      <x:c r="C749" s="1"/>
      <x:c r="D749" s="1"/>
      <x:c r="E749" s="1"/>
      <x:c r="F749" s="11"/>
    </x:row>
    <x:row r="750" spans="1:6" x14ac:dyDescent="0.25">
      <x:c r="A750" s="1"/>
      <x:c r="B750" s="1"/>
      <x:c r="C750" s="1"/>
      <x:c r="D750" s="1"/>
      <x:c r="E750" s="1"/>
      <x:c r="F750" s="11"/>
    </x:row>
    <x:row r="751" spans="1:6" x14ac:dyDescent="0.25">
      <x:c r="A751" s="1"/>
      <x:c r="B751" s="1"/>
      <x:c r="C751" s="1"/>
      <x:c r="D751" s="1"/>
      <x:c r="E751" s="1"/>
      <x:c r="F751" s="11"/>
    </x:row>
    <x:row r="752" spans="1:6" x14ac:dyDescent="0.25">
      <x:c r="A752" s="1"/>
      <x:c r="B752" s="1"/>
      <x:c r="C752" s="1"/>
      <x:c r="D752" s="1"/>
      <x:c r="E752" s="1"/>
      <x:c r="F752" s="11"/>
    </x:row>
    <x:row r="753" spans="1:6" x14ac:dyDescent="0.25">
      <x:c r="A753" s="1"/>
      <x:c r="B753" s="1"/>
      <x:c r="C753" s="1"/>
      <x:c r="D753" s="1"/>
      <x:c r="E753" s="1"/>
      <x:c r="F753" s="11"/>
    </x:row>
    <x:row r="754" spans="1:6" x14ac:dyDescent="0.25">
      <x:c r="A754" s="1"/>
      <x:c r="B754" s="1"/>
      <x:c r="C754" s="1"/>
      <x:c r="D754" s="1"/>
      <x:c r="E754" s="1"/>
      <x:c r="F754" s="11"/>
    </x:row>
    <x:row r="755" spans="1:6" x14ac:dyDescent="0.25">
      <x:c r="A755" s="1"/>
      <x:c r="B755" s="1"/>
      <x:c r="C755" s="1"/>
      <x:c r="D755" s="1"/>
      <x:c r="E755" s="1"/>
      <x:c r="F755" s="11"/>
    </x:row>
    <x:row r="756" spans="1:6" x14ac:dyDescent="0.25">
      <x:c r="A756" s="1"/>
      <x:c r="B756" s="1"/>
      <x:c r="C756" s="1"/>
      <x:c r="D756" s="1"/>
      <x:c r="E756" s="1"/>
      <x:c r="F756" s="11"/>
    </x:row>
    <x:row r="757" spans="1:6" x14ac:dyDescent="0.25">
      <x:c r="A757" s="1"/>
      <x:c r="B757" s="1"/>
      <x:c r="C757" s="1"/>
      <x:c r="D757" s="1"/>
      <x:c r="E757" s="1"/>
      <x:c r="F757" s="11"/>
    </x:row>
    <x:row r="758" spans="1:6" x14ac:dyDescent="0.25">
      <x:c r="A758" s="1"/>
      <x:c r="B758" s="1"/>
      <x:c r="C758" s="1"/>
      <x:c r="D758" s="1"/>
      <x:c r="E758" s="1"/>
      <x:c r="F758" s="11"/>
    </x:row>
    <x:row r="759" spans="1:6" x14ac:dyDescent="0.25">
      <x:c r="A759" s="1"/>
      <x:c r="B759" s="1"/>
      <x:c r="C759" s="1"/>
      <x:c r="D759" s="1"/>
      <x:c r="E759" s="1"/>
      <x:c r="F759" s="11"/>
    </x:row>
    <x:row r="760" spans="1:6" x14ac:dyDescent="0.25">
      <x:c r="A760" s="1"/>
      <x:c r="B760" s="1"/>
      <x:c r="C760" s="1"/>
      <x:c r="D760" s="1"/>
      <x:c r="E760" s="1"/>
      <x:c r="F760" s="11"/>
    </x:row>
    <x:row r="761" spans="1:6" x14ac:dyDescent="0.25">
      <x:c r="A761" s="1"/>
      <x:c r="B761" s="1"/>
      <x:c r="C761" s="1"/>
      <x:c r="D761" s="1"/>
      <x:c r="E761" s="1"/>
      <x:c r="F761" s="11"/>
    </x:row>
    <x:row r="762" spans="1:6" x14ac:dyDescent="0.25">
      <x:c r="A762" s="1"/>
      <x:c r="B762" s="1"/>
      <x:c r="C762" s="1"/>
      <x:c r="D762" s="1"/>
      <x:c r="E762" s="1"/>
      <x:c r="F762" s="11"/>
    </x:row>
    <x:row r="763" spans="1:6" x14ac:dyDescent="0.25">
      <x:c r="A763" s="1"/>
      <x:c r="B763" s="1"/>
      <x:c r="C763" s="1"/>
      <x:c r="D763" s="1"/>
      <x:c r="E763" s="1"/>
      <x:c r="F763" s="11"/>
    </x:row>
    <x:row r="764" spans="1:6" x14ac:dyDescent="0.25">
      <x:c r="A764" s="1"/>
      <x:c r="B764" s="1"/>
      <x:c r="C764" s="1"/>
      <x:c r="D764" s="1"/>
      <x:c r="E764" s="1"/>
      <x:c r="F764" s="11"/>
    </x:row>
    <x:row r="765" spans="1:6" x14ac:dyDescent="0.25">
      <x:c r="A765" s="1"/>
      <x:c r="B765" s="1"/>
      <x:c r="C765" s="1"/>
      <x:c r="D765" s="1"/>
      <x:c r="E765" s="1"/>
      <x:c r="F765" s="11"/>
    </x:row>
    <x:row r="766" spans="1:6" x14ac:dyDescent="0.25">
      <x:c r="A766" s="1"/>
      <x:c r="B766" s="1"/>
      <x:c r="C766" s="1"/>
      <x:c r="D766" s="1"/>
      <x:c r="E766" s="1"/>
      <x:c r="F766" s="11"/>
    </x:row>
    <x:row r="767" spans="1:6" x14ac:dyDescent="0.25">
      <x:c r="A767" s="1"/>
      <x:c r="B767" s="1"/>
      <x:c r="C767" s="1"/>
      <x:c r="D767" s="1"/>
      <x:c r="E767" s="1"/>
      <x:c r="F767" s="11"/>
    </x:row>
    <x:row r="768" spans="1:6" x14ac:dyDescent="0.25">
      <x:c r="A768" s="1"/>
      <x:c r="B768" s="1"/>
      <x:c r="C768" s="1"/>
      <x:c r="D768" s="1"/>
      <x:c r="E768" s="1"/>
      <x:c r="F768" s="11"/>
    </x:row>
    <x:row r="769" spans="1:6" x14ac:dyDescent="0.25">
      <x:c r="A769" s="1"/>
      <x:c r="B769" s="1"/>
      <x:c r="C769" s="1"/>
      <x:c r="D769" s="1"/>
      <x:c r="E769" s="1"/>
      <x:c r="F769" s="11"/>
    </x:row>
    <x:row r="770" spans="1:6" x14ac:dyDescent="0.25">
      <x:c r="A770" s="1"/>
      <x:c r="B770" s="1"/>
      <x:c r="C770" s="1"/>
      <x:c r="D770" s="1"/>
      <x:c r="E770" s="1"/>
      <x:c r="F770" s="11"/>
    </x:row>
    <x:row r="771" spans="1:6" x14ac:dyDescent="0.25">
      <x:c r="A771" s="1"/>
      <x:c r="B771" s="1"/>
      <x:c r="C771" s="1"/>
      <x:c r="D771" s="1"/>
      <x:c r="E771" s="1"/>
      <x:c r="F771" s="11"/>
    </x:row>
    <x:row r="772" spans="1:6" x14ac:dyDescent="0.25">
      <x:c r="A772" s="1"/>
      <x:c r="B772" s="1"/>
      <x:c r="C772" s="1"/>
      <x:c r="D772" s="1"/>
      <x:c r="E772" s="1"/>
      <x:c r="F772" s="11"/>
    </x:row>
    <x:row r="773" spans="1:6" x14ac:dyDescent="0.25">
      <x:c r="A773" s="1"/>
      <x:c r="B773" s="1"/>
      <x:c r="C773" s="1"/>
      <x:c r="D773" s="1"/>
      <x:c r="E773" s="1"/>
      <x:c r="F773" s="11"/>
    </x:row>
    <x:row r="774" spans="1:6" x14ac:dyDescent="0.25">
      <x:c r="A774" s="1"/>
      <x:c r="B774" s="1"/>
      <x:c r="C774" s="1"/>
      <x:c r="D774" s="1"/>
      <x:c r="E774" s="1"/>
      <x:c r="F774" s="11"/>
    </x:row>
    <x:row r="775" spans="1:6" x14ac:dyDescent="0.25">
      <x:c r="A775" s="1"/>
      <x:c r="B775" s="1"/>
      <x:c r="C775" s="1"/>
      <x:c r="D775" s="1"/>
      <x:c r="E775" s="1"/>
      <x:c r="F775" s="11"/>
    </x:row>
    <x:row r="776" spans="1:6" x14ac:dyDescent="0.25">
      <x:c r="A776" s="1"/>
      <x:c r="B776" s="1"/>
      <x:c r="C776" s="1"/>
      <x:c r="D776" s="1"/>
      <x:c r="E776" s="1"/>
      <x:c r="F776" s="11"/>
    </x:row>
    <x:row r="777" spans="1:6" x14ac:dyDescent="0.25">
      <x:c r="A777" s="1"/>
      <x:c r="B777" s="1"/>
      <x:c r="C777" s="1"/>
      <x:c r="D777" s="1"/>
      <x:c r="E777" s="1"/>
      <x:c r="F777" s="11"/>
    </x:row>
    <x:row r="778" spans="1:6" x14ac:dyDescent="0.25">
      <x:c r="A778" s="1"/>
      <x:c r="B778" s="1"/>
      <x:c r="C778" s="1"/>
      <x:c r="D778" s="1"/>
      <x:c r="E778" s="1"/>
      <x:c r="F778" s="11"/>
    </x:row>
    <x:row r="779" spans="1:6" x14ac:dyDescent="0.25">
      <x:c r="A779" s="1"/>
      <x:c r="B779" s="1"/>
      <x:c r="C779" s="1"/>
      <x:c r="D779" s="1"/>
      <x:c r="E779" s="1"/>
      <x:c r="F779" s="11"/>
    </x:row>
    <x:row r="780" spans="1:6" x14ac:dyDescent="0.25">
      <x:c r="A780" s="1"/>
      <x:c r="B780" s="1"/>
      <x:c r="C780" s="1"/>
      <x:c r="D780" s="1"/>
      <x:c r="E780" s="1"/>
      <x:c r="F780" s="11"/>
    </x:row>
    <x:row r="781" spans="1:6" x14ac:dyDescent="0.25">
      <x:c r="A781" s="1"/>
      <x:c r="B781" s="1"/>
      <x:c r="C781" s="1"/>
      <x:c r="D781" s="1"/>
      <x:c r="E781" s="1"/>
      <x:c r="F781" s="11"/>
    </x:row>
    <x:row r="782" spans="1:6" x14ac:dyDescent="0.25">
      <x:c r="A782" s="1"/>
      <x:c r="B782" s="1"/>
      <x:c r="C782" s="1"/>
      <x:c r="D782" s="1"/>
      <x:c r="E782" s="1"/>
      <x:c r="F782" s="11"/>
    </x:row>
    <x:row r="783" spans="1:6" x14ac:dyDescent="0.25">
      <x:c r="A783" s="1"/>
      <x:c r="B783" s="1"/>
      <x:c r="C783" s="1"/>
      <x:c r="D783" s="1"/>
      <x:c r="E783" s="1"/>
      <x:c r="F783" s="11"/>
    </x:row>
    <x:row r="784" spans="1:6" x14ac:dyDescent="0.25">
      <x:c r="A784" s="1"/>
      <x:c r="B784" s="1"/>
      <x:c r="C784" s="1"/>
      <x:c r="D784" s="1"/>
      <x:c r="E784" s="1"/>
      <x:c r="F784" s="11"/>
    </x:row>
    <x:row r="785" spans="1:6" x14ac:dyDescent="0.25">
      <x:c r="A785" s="1"/>
      <x:c r="B785" s="1"/>
      <x:c r="C785" s="1"/>
      <x:c r="D785" s="1"/>
      <x:c r="E785" s="1"/>
      <x:c r="F785" s="11"/>
    </x:row>
    <x:row r="786" spans="1:6" x14ac:dyDescent="0.25">
      <x:c r="A786" s="1"/>
      <x:c r="B786" s="1"/>
      <x:c r="C786" s="1"/>
      <x:c r="D786" s="1"/>
      <x:c r="E786" s="1"/>
      <x:c r="F786" s="11"/>
    </x:row>
    <x:row r="787" spans="1:6" x14ac:dyDescent="0.25">
      <x:c r="A787" s="1"/>
      <x:c r="B787" s="1"/>
      <x:c r="C787" s="1"/>
      <x:c r="D787" s="1"/>
      <x:c r="E787" s="1"/>
      <x:c r="F787" s="11"/>
    </x:row>
    <x:row r="788" spans="1:6" x14ac:dyDescent="0.25">
      <x:c r="A788" s="1"/>
      <x:c r="B788" s="1"/>
      <x:c r="C788" s="1"/>
      <x:c r="D788" s="1"/>
      <x:c r="E788" s="1"/>
      <x:c r="F788" s="11"/>
    </x:row>
    <x:row r="789" spans="1:6" x14ac:dyDescent="0.25">
      <x:c r="A789" s="1"/>
      <x:c r="B789" s="1"/>
      <x:c r="C789" s="1"/>
      <x:c r="D789" s="1"/>
      <x:c r="E789" s="1"/>
      <x:c r="F789" s="11"/>
    </x:row>
    <x:row r="790" spans="1:6" x14ac:dyDescent="0.25">
      <x:c r="A790" s="1"/>
      <x:c r="B790" s="1"/>
      <x:c r="C790" s="1"/>
      <x:c r="D790" s="1"/>
      <x:c r="E790" s="1"/>
      <x:c r="F790" s="11"/>
    </x:row>
    <x:row r="791" spans="1:6" x14ac:dyDescent="0.25">
      <x:c r="A791" s="1"/>
      <x:c r="B791" s="1"/>
      <x:c r="C791" s="1"/>
      <x:c r="D791" s="1"/>
      <x:c r="E791" s="1"/>
      <x:c r="F791" s="11"/>
    </x:row>
    <x:row r="792" spans="1:6" x14ac:dyDescent="0.25">
      <x:c r="A792" s="1"/>
      <x:c r="B792" s="1"/>
      <x:c r="C792" s="1"/>
      <x:c r="D792" s="1"/>
      <x:c r="E792" s="1"/>
      <x:c r="F792" s="11"/>
    </x:row>
    <x:row r="793" spans="1:6" x14ac:dyDescent="0.25">
      <x:c r="A793" s="1"/>
      <x:c r="B793" s="1"/>
      <x:c r="C793" s="1"/>
      <x:c r="D793" s="1"/>
      <x:c r="E793" s="1"/>
      <x:c r="F793" s="11"/>
    </x:row>
    <x:row r="794" spans="1:6" x14ac:dyDescent="0.25">
      <x:c r="A794" s="1"/>
      <x:c r="B794" s="1"/>
      <x:c r="C794" s="1"/>
      <x:c r="D794" s="1"/>
      <x:c r="E794" s="1"/>
      <x:c r="F794" s="11"/>
    </x:row>
    <x:row r="795" spans="1:6" x14ac:dyDescent="0.25">
      <x:c r="A795" s="1"/>
      <x:c r="B795" s="1"/>
      <x:c r="C795" s="1"/>
      <x:c r="D795" s="1"/>
      <x:c r="E795" s="1"/>
      <x:c r="F795" s="11"/>
    </x:row>
    <x:row r="796" spans="1:6" x14ac:dyDescent="0.25">
      <x:c r="A796" s="1"/>
      <x:c r="B796" s="1"/>
      <x:c r="C796" s="1"/>
      <x:c r="D796" s="1"/>
      <x:c r="E796" s="1"/>
      <x:c r="F796" s="11"/>
    </x:row>
    <x:row r="797" spans="1:6" x14ac:dyDescent="0.25">
      <x:c r="A797" s="1"/>
      <x:c r="B797" s="1"/>
      <x:c r="C797" s="1"/>
      <x:c r="D797" s="1"/>
      <x:c r="E797" s="1"/>
      <x:c r="F797" s="11"/>
    </x:row>
    <x:row r="798" spans="1:6" x14ac:dyDescent="0.25">
      <x:c r="A798" s="1"/>
      <x:c r="B798" s="1"/>
      <x:c r="C798" s="1"/>
      <x:c r="D798" s="1"/>
      <x:c r="E798" s="1"/>
      <x:c r="F798" s="11"/>
    </x:row>
    <x:row r="799" spans="1:6" x14ac:dyDescent="0.25">
      <x:c r="A799" s="1"/>
      <x:c r="B799" s="1"/>
      <x:c r="C799" s="1"/>
      <x:c r="D799" s="1"/>
      <x:c r="E799" s="1"/>
      <x:c r="F799" s="11"/>
    </x:row>
    <x:row r="800" spans="1:6" x14ac:dyDescent="0.25">
      <x:c r="A800" s="1"/>
      <x:c r="B800" s="1"/>
      <x:c r="C800" s="1"/>
      <x:c r="D800" s="1"/>
      <x:c r="E800" s="1"/>
      <x:c r="F800" s="11"/>
    </x:row>
    <x:row r="801" spans="1:6" x14ac:dyDescent="0.25">
      <x:c r="A801" s="1"/>
      <x:c r="B801" s="1"/>
      <x:c r="C801" s="1"/>
      <x:c r="D801" s="1"/>
      <x:c r="E801" s="1"/>
      <x:c r="F801" s="11"/>
    </x:row>
    <x:row r="802" spans="1:6" x14ac:dyDescent="0.25">
      <x:c r="A802" s="1"/>
      <x:c r="B802" s="1"/>
      <x:c r="C802" s="1"/>
      <x:c r="D802" s="1"/>
      <x:c r="E802" s="1"/>
      <x:c r="F802" s="11"/>
    </x:row>
    <x:row r="803" spans="1:6" x14ac:dyDescent="0.25">
      <x:c r="A803" s="1"/>
      <x:c r="B803" s="1"/>
      <x:c r="C803" s="1"/>
      <x:c r="D803" s="1"/>
      <x:c r="E803" s="1"/>
      <x:c r="F803" s="11"/>
    </x:row>
    <x:row r="804" spans="1:6" x14ac:dyDescent="0.25">
      <x:c r="A804" s="1"/>
      <x:c r="B804" s="1"/>
      <x:c r="C804" s="1"/>
      <x:c r="D804" s="1"/>
      <x:c r="E804" s="1"/>
      <x:c r="F804" s="11"/>
    </x:row>
    <x:row r="805" spans="1:6" x14ac:dyDescent="0.25">
      <x:c r="A805" s="1"/>
      <x:c r="B805" s="1"/>
      <x:c r="C805" s="1"/>
      <x:c r="D805" s="1"/>
      <x:c r="E805" s="1"/>
      <x:c r="F805" s="11"/>
    </x:row>
    <x:row r="806" spans="1:6" x14ac:dyDescent="0.25">
      <x:c r="A806" s="1"/>
      <x:c r="B806" s="1"/>
      <x:c r="C806" s="1"/>
      <x:c r="D806" s="1"/>
      <x:c r="E806" s="1"/>
      <x:c r="F806" s="11"/>
    </x:row>
    <x:row r="807" spans="1:6" x14ac:dyDescent="0.25">
      <x:c r="A807" s="1"/>
      <x:c r="B807" s="1"/>
      <x:c r="C807" s="1"/>
      <x:c r="D807" s="1"/>
      <x:c r="E807" s="1"/>
      <x:c r="F807" s="11"/>
    </x:row>
    <x:row r="808" spans="1:6" x14ac:dyDescent="0.25">
      <x:c r="A808" s="1"/>
      <x:c r="B808" s="1"/>
      <x:c r="C808" s="1"/>
      <x:c r="D808" s="1"/>
      <x:c r="E808" s="1"/>
      <x:c r="F808" s="11"/>
    </x:row>
    <x:row r="809" spans="1:6" x14ac:dyDescent="0.25">
      <x:c r="A809" s="1"/>
      <x:c r="B809" s="1"/>
      <x:c r="C809" s="1"/>
      <x:c r="D809" s="1"/>
      <x:c r="E809" s="1"/>
      <x:c r="F809" s="11"/>
    </x:row>
    <x:row r="810" spans="1:6" x14ac:dyDescent="0.25">
      <x:c r="A810" s="1"/>
      <x:c r="B810" s="1"/>
      <x:c r="C810" s="1"/>
      <x:c r="D810" s="1"/>
      <x:c r="E810" s="1"/>
      <x:c r="F810" s="11"/>
    </x:row>
    <x:row r="811" spans="1:6" x14ac:dyDescent="0.25">
      <x:c r="A811" s="1"/>
      <x:c r="B811" s="1"/>
      <x:c r="C811" s="1"/>
      <x:c r="D811" s="1"/>
      <x:c r="E811" s="1"/>
      <x:c r="F811" s="11"/>
    </x:row>
    <x:row r="812" spans="1:6" x14ac:dyDescent="0.25">
      <x:c r="A812" s="1"/>
      <x:c r="B812" s="1"/>
      <x:c r="C812" s="1"/>
      <x:c r="D812" s="1"/>
      <x:c r="E812" s="1"/>
      <x:c r="F812" s="11"/>
    </x:row>
    <x:row r="813" spans="1:6" x14ac:dyDescent="0.25">
      <x:c r="A813" s="1"/>
      <x:c r="B813" s="1"/>
      <x:c r="C813" s="1"/>
      <x:c r="D813" s="1"/>
      <x:c r="E813" s="1"/>
      <x:c r="F813" s="11"/>
    </x:row>
    <x:row r="814" spans="1:6" x14ac:dyDescent="0.25">
      <x:c r="A814" s="1"/>
      <x:c r="B814" s="1"/>
      <x:c r="C814" s="1"/>
      <x:c r="D814" s="1"/>
      <x:c r="E814" s="1"/>
      <x:c r="F814" s="11"/>
    </x:row>
    <x:row r="815" spans="1:6" x14ac:dyDescent="0.25">
      <x:c r="A815" s="1"/>
      <x:c r="B815" s="1"/>
      <x:c r="C815" s="1"/>
      <x:c r="D815" s="1"/>
      <x:c r="E815" s="1"/>
      <x:c r="F815" s="11"/>
    </x:row>
    <x:row r="816" spans="1:6" x14ac:dyDescent="0.25">
      <x:c r="A816" s="1"/>
      <x:c r="B816" s="1"/>
      <x:c r="C816" s="1"/>
      <x:c r="D816" s="1"/>
      <x:c r="E816" s="1"/>
      <x:c r="F816" s="11"/>
    </x:row>
    <x:row r="817" spans="1:6" x14ac:dyDescent="0.25">
      <x:c r="A817" s="1"/>
      <x:c r="B817" s="1"/>
      <x:c r="C817" s="1"/>
      <x:c r="D817" s="1"/>
      <x:c r="E817" s="1"/>
      <x:c r="F817" s="11"/>
    </x:row>
    <x:row r="818" spans="1:6" x14ac:dyDescent="0.25">
      <x:c r="A818" s="1"/>
      <x:c r="B818" s="1"/>
      <x:c r="C818" s="1"/>
      <x:c r="D818" s="1"/>
      <x:c r="E818" s="1"/>
      <x:c r="F818" s="11"/>
    </x:row>
    <x:row r="819" spans="1:6" x14ac:dyDescent="0.25">
      <x:c r="A819" s="1"/>
      <x:c r="B819" s="1"/>
      <x:c r="C819" s="1"/>
      <x:c r="D819" s="1"/>
      <x:c r="E819" s="1"/>
      <x:c r="F819" s="11"/>
    </x:row>
    <x:row r="820" spans="1:6" x14ac:dyDescent="0.25">
      <x:c r="A820" s="1"/>
      <x:c r="B820" s="1"/>
      <x:c r="C820" s="1"/>
      <x:c r="D820" s="1"/>
      <x:c r="E820" s="1"/>
      <x:c r="F820" s="11"/>
    </x:row>
    <x:row r="821" spans="1:6" x14ac:dyDescent="0.25">
      <x:c r="A821" s="1"/>
      <x:c r="B821" s="1"/>
      <x:c r="C821" s="1"/>
      <x:c r="D821" s="1"/>
      <x:c r="E821" s="1"/>
      <x:c r="F821" s="11"/>
    </x:row>
    <x:row r="822" spans="1:6" x14ac:dyDescent="0.25">
      <x:c r="A822" s="1"/>
      <x:c r="B822" s="1"/>
      <x:c r="C822" s="1"/>
      <x:c r="D822" s="1"/>
      <x:c r="E822" s="1"/>
      <x:c r="F822" s="11"/>
    </x:row>
    <x:row r="823" spans="1:6" x14ac:dyDescent="0.25">
      <x:c r="A823" s="1"/>
      <x:c r="B823" s="1"/>
      <x:c r="C823" s="1"/>
      <x:c r="D823" s="1"/>
      <x:c r="E823" s="1"/>
      <x:c r="F823" s="11"/>
    </x:row>
    <x:row r="824" spans="1:6" x14ac:dyDescent="0.25">
      <x:c r="A824" s="1"/>
      <x:c r="B824" s="1"/>
      <x:c r="C824" s="1"/>
      <x:c r="D824" s="1"/>
      <x:c r="E824" s="1"/>
      <x:c r="F824" s="11"/>
    </x:row>
    <x:row r="825" spans="1:6" x14ac:dyDescent="0.25">
      <x:c r="A825" s="1"/>
      <x:c r="B825" s="1"/>
      <x:c r="C825" s="1"/>
      <x:c r="D825" s="1"/>
      <x:c r="E825" s="1"/>
      <x:c r="F825" s="11"/>
    </x:row>
    <x:row r="826" spans="1:6" x14ac:dyDescent="0.25">
      <x:c r="A826" s="1"/>
      <x:c r="B826" s="1"/>
      <x:c r="C826" s="1"/>
      <x:c r="D826" s="1"/>
      <x:c r="E826" s="1"/>
      <x:c r="F826" s="11"/>
    </x:row>
    <x:row r="827" spans="1:6" x14ac:dyDescent="0.25">
      <x:c r="A827" s="1"/>
      <x:c r="B827" s="1"/>
      <x:c r="C827" s="1"/>
      <x:c r="D827" s="1"/>
      <x:c r="E827" s="1"/>
      <x:c r="F827" s="11"/>
    </x:row>
    <x:row r="828" spans="1:6" x14ac:dyDescent="0.25">
      <x:c r="A828" s="1"/>
      <x:c r="B828" s="1"/>
      <x:c r="C828" s="1"/>
      <x:c r="D828" s="1"/>
      <x:c r="E828" s="1"/>
      <x:c r="F828" s="11"/>
    </x:row>
    <x:row r="829" spans="1:6" x14ac:dyDescent="0.25">
      <x:c r="A829" s="1"/>
      <x:c r="B829" s="1"/>
      <x:c r="C829" s="1"/>
      <x:c r="D829" s="1"/>
      <x:c r="E829" s="1"/>
      <x:c r="F829" s="11"/>
    </x:row>
    <x:row r="830" spans="1:6" x14ac:dyDescent="0.25">
      <x:c r="A830" s="1"/>
      <x:c r="B830" s="1"/>
      <x:c r="C830" s="1"/>
      <x:c r="D830" s="1"/>
      <x:c r="E830" s="1"/>
      <x:c r="F830" s="11"/>
    </x:row>
    <x:row r="831" spans="1:6" x14ac:dyDescent="0.25">
      <x:c r="A831" s="1"/>
      <x:c r="B831" s="1"/>
      <x:c r="C831" s="1"/>
      <x:c r="D831" s="1"/>
      <x:c r="E831" s="1"/>
      <x:c r="F831" s="11"/>
    </x:row>
    <x:row r="832" spans="1:6" x14ac:dyDescent="0.25">
      <x:c r="A832" s="1"/>
      <x:c r="B832" s="1"/>
      <x:c r="C832" s="1"/>
      <x:c r="D832" s="1"/>
      <x:c r="E832" s="1"/>
      <x:c r="F832" s="11"/>
    </x:row>
    <x:row r="833" spans="1:6" x14ac:dyDescent="0.25">
      <x:c r="A833" s="1"/>
      <x:c r="B833" s="1"/>
      <x:c r="C833" s="1"/>
      <x:c r="D833" s="1"/>
      <x:c r="E833" s="1"/>
      <x:c r="F833" s="11"/>
    </x:row>
    <x:row r="834" spans="1:6" x14ac:dyDescent="0.25">
      <x:c r="A834" s="1"/>
      <x:c r="B834" s="1"/>
      <x:c r="C834" s="1"/>
      <x:c r="D834" s="1"/>
      <x:c r="E834" s="1"/>
      <x:c r="F834" s="11"/>
    </x:row>
    <x:row r="835" spans="1:6" x14ac:dyDescent="0.25">
      <x:c r="A835" s="1"/>
      <x:c r="B835" s="1"/>
      <x:c r="C835" s="1"/>
      <x:c r="D835" s="1"/>
      <x:c r="E835" s="1"/>
      <x:c r="F835" s="11"/>
    </x:row>
    <x:row r="836" spans="1:6" x14ac:dyDescent="0.25">
      <x:c r="A836" s="1"/>
      <x:c r="B836" s="1"/>
      <x:c r="C836" s="1"/>
      <x:c r="D836" s="1"/>
      <x:c r="E836" s="1"/>
      <x:c r="F836" s="11"/>
    </x:row>
    <x:row r="837" spans="1:6" x14ac:dyDescent="0.25">
      <x:c r="A837" s="1"/>
      <x:c r="B837" s="1"/>
      <x:c r="C837" s="1"/>
      <x:c r="D837" s="1"/>
      <x:c r="E837" s="1"/>
      <x:c r="F837" s="11"/>
    </x:row>
    <x:row r="838" spans="1:6" x14ac:dyDescent="0.25">
      <x:c r="A838" s="1"/>
      <x:c r="B838" s="1"/>
      <x:c r="C838" s="1"/>
      <x:c r="D838" s="1"/>
      <x:c r="E838" s="1"/>
      <x:c r="F838" s="11"/>
    </x:row>
    <x:row r="839" spans="1:6" x14ac:dyDescent="0.25">
      <x:c r="A839" s="1"/>
      <x:c r="B839" s="1"/>
      <x:c r="C839" s="1"/>
      <x:c r="D839" s="1"/>
      <x:c r="E839" s="1"/>
      <x:c r="F839" s="11"/>
    </x:row>
    <x:row r="840" spans="1:6" x14ac:dyDescent="0.25">
      <x:c r="A840" s="1"/>
      <x:c r="B840" s="1"/>
      <x:c r="C840" s="1"/>
      <x:c r="D840" s="1"/>
      <x:c r="E840" s="1"/>
      <x:c r="F840" s="11"/>
    </x:row>
    <x:row r="841" spans="1:6" x14ac:dyDescent="0.25">
      <x:c r="A841" s="1"/>
      <x:c r="B841" s="1"/>
      <x:c r="C841" s="1"/>
      <x:c r="D841" s="1"/>
      <x:c r="E841" s="1"/>
      <x:c r="F841" s="11"/>
    </x:row>
    <x:row r="842" spans="1:6" x14ac:dyDescent="0.25">
      <x:c r="A842" s="1"/>
      <x:c r="B842" s="1"/>
      <x:c r="C842" s="1"/>
      <x:c r="D842" s="1"/>
      <x:c r="E842" s="1"/>
      <x:c r="F842" s="11"/>
    </x:row>
    <x:row r="843" spans="1:6" x14ac:dyDescent="0.25">
      <x:c r="A843" s="1"/>
      <x:c r="B843" s="1"/>
      <x:c r="C843" s="1"/>
      <x:c r="D843" s="1"/>
      <x:c r="E843" s="1"/>
      <x:c r="F843" s="11"/>
    </x:row>
    <x:row r="844" spans="1:6" x14ac:dyDescent="0.25">
      <x:c r="A844" s="1"/>
      <x:c r="B844" s="1"/>
      <x:c r="C844" s="1"/>
      <x:c r="D844" s="1"/>
      <x:c r="E844" s="1"/>
      <x:c r="F844" s="11"/>
    </x:row>
    <x:row r="845" spans="1:6" x14ac:dyDescent="0.25">
      <x:c r="A845" s="1"/>
      <x:c r="B845" s="1"/>
      <x:c r="C845" s="1"/>
      <x:c r="D845" s="1"/>
      <x:c r="E845" s="1"/>
      <x:c r="F845" s="11"/>
    </x:row>
    <x:row r="846" spans="1:6" x14ac:dyDescent="0.25">
      <x:c r="A846" s="1"/>
      <x:c r="B846" s="1"/>
      <x:c r="C846" s="1"/>
      <x:c r="D846" s="1"/>
      <x:c r="E846" s="1"/>
      <x:c r="F846" s="11"/>
    </x:row>
    <x:row r="847" spans="1:6" x14ac:dyDescent="0.25">
      <x:c r="A847" s="1"/>
      <x:c r="B847" s="1"/>
      <x:c r="C847" s="1"/>
      <x:c r="D847" s="1"/>
      <x:c r="E847" s="1"/>
      <x:c r="F847" s="11"/>
    </x:row>
    <x:row r="848" spans="1:6" x14ac:dyDescent="0.25">
      <x:c r="A848" s="1"/>
      <x:c r="B848" s="1"/>
      <x:c r="C848" s="1"/>
      <x:c r="D848" s="1"/>
      <x:c r="E848" s="1"/>
      <x:c r="F848" s="11"/>
    </x:row>
    <x:row r="849" spans="1:6" x14ac:dyDescent="0.25">
      <x:c r="A849" s="1"/>
      <x:c r="B849" s="1"/>
      <x:c r="C849" s="1"/>
      <x:c r="D849" s="1"/>
      <x:c r="E849" s="1"/>
      <x:c r="F849" s="11"/>
    </x:row>
    <x:row r="850" spans="1:6" x14ac:dyDescent="0.25">
      <x:c r="A850" s="1"/>
      <x:c r="B850" s="1"/>
      <x:c r="C850" s="1"/>
      <x:c r="D850" s="1"/>
      <x:c r="E850" s="1"/>
      <x:c r="F850" s="11"/>
    </x:row>
    <x:row r="851" spans="1:6" x14ac:dyDescent="0.25">
      <x:c r="A851" s="1"/>
      <x:c r="B851" s="1"/>
      <x:c r="C851" s="1"/>
      <x:c r="D851" s="1"/>
      <x:c r="E851" s="1"/>
      <x:c r="F851" s="11"/>
    </x:row>
    <x:row r="852" spans="1:6" x14ac:dyDescent="0.25">
      <x:c r="A852" s="1"/>
      <x:c r="B852" s="1"/>
      <x:c r="C852" s="1"/>
      <x:c r="D852" s="1"/>
      <x:c r="E852" s="1"/>
      <x:c r="F852" s="11"/>
    </x:row>
    <x:row r="853" spans="1:6" x14ac:dyDescent="0.25">
      <x:c r="A853" s="1"/>
      <x:c r="B853" s="1"/>
      <x:c r="C853" s="1"/>
      <x:c r="D853" s="1"/>
      <x:c r="E853" s="1"/>
      <x:c r="F853" s="11"/>
    </x:row>
    <x:row r="854" spans="1:6" x14ac:dyDescent="0.25">
      <x:c r="A854" s="1"/>
      <x:c r="B854" s="1"/>
      <x:c r="C854" s="1"/>
      <x:c r="D854" s="1"/>
      <x:c r="E854" s="1"/>
      <x:c r="F854" s="11"/>
    </x:row>
    <x:row r="855" spans="1:6" x14ac:dyDescent="0.25">
      <x:c r="A855" s="1"/>
      <x:c r="B855" s="1"/>
      <x:c r="C855" s="1"/>
      <x:c r="D855" s="1"/>
      <x:c r="E855" s="1"/>
      <x:c r="F855" s="11"/>
    </x:row>
    <x:row r="856" spans="1:6" x14ac:dyDescent="0.25">
      <x:c r="A856" s="1"/>
      <x:c r="B856" s="1"/>
      <x:c r="C856" s="1"/>
      <x:c r="D856" s="1"/>
      <x:c r="E856" s="1"/>
      <x:c r="F856" s="11"/>
    </x:row>
    <x:row r="857" spans="1:6" x14ac:dyDescent="0.25">
      <x:c r="A857" s="1"/>
      <x:c r="B857" s="1"/>
      <x:c r="C857" s="1"/>
      <x:c r="D857" s="1"/>
      <x:c r="E857" s="1"/>
      <x:c r="F857" s="11"/>
    </x:row>
    <x:row r="858" spans="1:6" x14ac:dyDescent="0.25">
      <x:c r="A858" s="1"/>
      <x:c r="B858" s="1"/>
      <x:c r="C858" s="1"/>
      <x:c r="D858" s="1"/>
      <x:c r="E858" s="1"/>
      <x:c r="F858" s="11"/>
    </x:row>
    <x:row r="859" spans="1:6" x14ac:dyDescent="0.25">
      <x:c r="A859" s="1"/>
      <x:c r="B859" s="1"/>
      <x:c r="C859" s="1"/>
      <x:c r="D859" s="1"/>
      <x:c r="E859" s="1"/>
      <x:c r="F859" s="11"/>
    </x:row>
    <x:row r="860" spans="1:6" x14ac:dyDescent="0.25">
      <x:c r="A860" s="1"/>
      <x:c r="B860" s="1"/>
      <x:c r="C860" s="1"/>
      <x:c r="D860" s="1"/>
      <x:c r="E860" s="1"/>
      <x:c r="F860" s="11"/>
    </x:row>
    <x:row r="861" spans="1:6" x14ac:dyDescent="0.25">
      <x:c r="A861" s="1"/>
      <x:c r="B861" s="1"/>
      <x:c r="C861" s="1"/>
      <x:c r="D861" s="1"/>
      <x:c r="E861" s="1"/>
      <x:c r="F861" s="11"/>
    </x:row>
    <x:row r="862" spans="1:6" x14ac:dyDescent="0.25">
      <x:c r="A862" s="1"/>
      <x:c r="B862" s="1"/>
      <x:c r="C862" s="1"/>
      <x:c r="D862" s="1"/>
      <x:c r="E862" s="1"/>
      <x:c r="F862" s="11"/>
    </x:row>
    <x:row r="863" spans="1:6" x14ac:dyDescent="0.25">
      <x:c r="A863" s="1"/>
      <x:c r="B863" s="1"/>
      <x:c r="C863" s="1"/>
      <x:c r="D863" s="1"/>
      <x:c r="E863" s="1"/>
      <x:c r="F863" s="11"/>
    </x:row>
    <x:row r="864" spans="1:6" x14ac:dyDescent="0.25">
      <x:c r="A864" s="1"/>
      <x:c r="B864" s="1"/>
      <x:c r="C864" s="1"/>
      <x:c r="D864" s="1"/>
      <x:c r="E864" s="1"/>
      <x:c r="F864" s="11"/>
    </x:row>
    <x:row r="865" spans="1:6" x14ac:dyDescent="0.25">
      <x:c r="A865" s="1"/>
      <x:c r="B865" s="1"/>
      <x:c r="C865" s="1"/>
      <x:c r="D865" s="1"/>
      <x:c r="E865" s="1"/>
      <x:c r="F865" s="11"/>
    </x:row>
    <x:row r="866" spans="1:6" x14ac:dyDescent="0.25">
      <x:c r="A866" s="1"/>
      <x:c r="B866" s="1"/>
      <x:c r="C866" s="1"/>
      <x:c r="D866" s="1"/>
      <x:c r="E866" s="1"/>
      <x:c r="F866" s="11"/>
    </x:row>
    <x:row r="867" spans="1:6" x14ac:dyDescent="0.25">
      <x:c r="A867" s="1"/>
      <x:c r="B867" s="1"/>
      <x:c r="C867" s="1"/>
      <x:c r="D867" s="1"/>
      <x:c r="E867" s="1"/>
      <x:c r="F867" s="11"/>
    </x:row>
    <x:row r="868" spans="1:6" x14ac:dyDescent="0.25">
      <x:c r="A868" s="1"/>
      <x:c r="B868" s="1"/>
      <x:c r="C868" s="1"/>
      <x:c r="D868" s="1"/>
      <x:c r="E868" s="1"/>
      <x:c r="F868" s="11"/>
    </x:row>
    <x:row r="869" spans="1:6" x14ac:dyDescent="0.25">
      <x:c r="A869" s="1"/>
      <x:c r="B869" s="1"/>
      <x:c r="C869" s="1"/>
      <x:c r="D869" s="1"/>
      <x:c r="E869" s="1"/>
      <x:c r="F869" s="11"/>
    </x:row>
    <x:row r="870" spans="1:6" x14ac:dyDescent="0.25">
      <x:c r="A870" s="1"/>
      <x:c r="B870" s="1"/>
      <x:c r="C870" s="1"/>
      <x:c r="D870" s="1"/>
      <x:c r="E870" s="1"/>
      <x:c r="F870" s="11"/>
    </x:row>
    <x:row r="871" spans="1:6" x14ac:dyDescent="0.25">
      <x:c r="A871" s="1"/>
      <x:c r="B871" s="1"/>
      <x:c r="C871" s="1"/>
      <x:c r="D871" s="1"/>
      <x:c r="E871" s="1"/>
      <x:c r="F871" s="11"/>
    </x:row>
    <x:row r="872" spans="1:6" x14ac:dyDescent="0.25">
      <x:c r="A872" s="1"/>
      <x:c r="B872" s="1"/>
      <x:c r="C872" s="1"/>
      <x:c r="D872" s="1"/>
      <x:c r="E872" s="1"/>
      <x:c r="F872" s="11"/>
    </x:row>
    <x:row r="873" spans="1:6" x14ac:dyDescent="0.25">
      <x:c r="A873" s="1"/>
      <x:c r="B873" s="1"/>
      <x:c r="C873" s="1"/>
      <x:c r="D873" s="1"/>
      <x:c r="E873" s="1"/>
      <x:c r="F873" s="11"/>
    </x:row>
    <x:row r="874" spans="1:6" x14ac:dyDescent="0.25">
      <x:c r="A874" s="1"/>
      <x:c r="B874" s="1"/>
      <x:c r="C874" s="1"/>
      <x:c r="D874" s="1"/>
      <x:c r="E874" s="1"/>
      <x:c r="F874" s="11"/>
    </x:row>
    <x:row r="875" spans="1:6" x14ac:dyDescent="0.25">
      <x:c r="A875" s="1"/>
      <x:c r="B875" s="1"/>
      <x:c r="C875" s="1"/>
      <x:c r="D875" s="1"/>
      <x:c r="E875" s="1"/>
      <x:c r="F875" s="11"/>
    </x:row>
    <x:row r="876" spans="1:6" x14ac:dyDescent="0.25">
      <x:c r="A876" s="1"/>
      <x:c r="B876" s="1"/>
      <x:c r="C876" s="1"/>
      <x:c r="D876" s="1"/>
      <x:c r="E876" s="1"/>
      <x:c r="F876" s="11"/>
    </x:row>
    <x:row r="877" spans="1:6" x14ac:dyDescent="0.25">
      <x:c r="A877" s="1"/>
      <x:c r="B877" s="1"/>
      <x:c r="C877" s="1"/>
      <x:c r="D877" s="1"/>
      <x:c r="E877" s="1"/>
      <x:c r="F877" s="11"/>
    </x:row>
    <x:row r="878" spans="1:6" x14ac:dyDescent="0.25">
      <x:c r="A878" s="1"/>
      <x:c r="B878" s="1"/>
      <x:c r="C878" s="1"/>
      <x:c r="D878" s="1"/>
      <x:c r="E878" s="1"/>
      <x:c r="F878" s="11"/>
    </x:row>
    <x:row r="879" spans="1:6" x14ac:dyDescent="0.25">
      <x:c r="A879" s="1"/>
      <x:c r="B879" s="1"/>
      <x:c r="C879" s="1"/>
      <x:c r="D879" s="1"/>
      <x:c r="E879" s="1"/>
      <x:c r="F879" s="11"/>
    </x:row>
    <x:row r="880" spans="1:6" x14ac:dyDescent="0.25">
      <x:c r="A880" s="1"/>
      <x:c r="B880" s="1"/>
      <x:c r="C880" s="1"/>
      <x:c r="D880" s="1"/>
      <x:c r="E880" s="1"/>
      <x:c r="F880" s="11"/>
    </x:row>
    <x:row r="881" spans="1:6" x14ac:dyDescent="0.25">
      <x:c r="A881" s="1"/>
      <x:c r="B881" s="1"/>
      <x:c r="C881" s="1"/>
      <x:c r="D881" s="1"/>
      <x:c r="E881" s="1"/>
      <x:c r="F881" s="11"/>
    </x:row>
    <x:row r="882" spans="1:6" x14ac:dyDescent="0.25">
      <x:c r="A882" s="1"/>
      <x:c r="B882" s="1"/>
      <x:c r="C882" s="1"/>
      <x:c r="D882" s="1"/>
      <x:c r="E882" s="1"/>
      <x:c r="F882" s="11"/>
    </x:row>
    <x:row r="883" spans="1:6" x14ac:dyDescent="0.25">
      <x:c r="A883" s="1"/>
      <x:c r="B883" s="1"/>
      <x:c r="C883" s="1"/>
      <x:c r="D883" s="1"/>
      <x:c r="E883" s="1"/>
      <x:c r="F883" s="11"/>
    </x:row>
    <x:row r="884" spans="1:6" x14ac:dyDescent="0.25">
      <x:c r="A884" s="1"/>
      <x:c r="B884" s="1"/>
      <x:c r="C884" s="1"/>
      <x:c r="D884" s="1"/>
      <x:c r="E884" s="1"/>
      <x:c r="F884" s="11"/>
    </x:row>
    <x:row r="885" spans="1:6" x14ac:dyDescent="0.25">
      <x:c r="A885" s="1"/>
      <x:c r="B885" s="1"/>
      <x:c r="C885" s="1"/>
      <x:c r="D885" s="1"/>
      <x:c r="E885" s="1"/>
      <x:c r="F885" s="11"/>
    </x:row>
    <x:row r="886" spans="1:6" x14ac:dyDescent="0.25">
      <x:c r="A886" s="1"/>
      <x:c r="B886" s="1"/>
      <x:c r="C886" s="1"/>
      <x:c r="D886" s="1"/>
      <x:c r="E886" s="1"/>
      <x:c r="F886" s="11"/>
    </x:row>
    <x:row r="887" spans="1:6" x14ac:dyDescent="0.25">
      <x:c r="A887" s="1"/>
      <x:c r="B887" s="1"/>
      <x:c r="C887" s="1"/>
      <x:c r="D887" s="1"/>
      <x:c r="E887" s="1"/>
      <x:c r="F887" s="11"/>
    </x:row>
    <x:row r="888" spans="1:6" x14ac:dyDescent="0.25">
      <x:c r="A888" s="1"/>
      <x:c r="B888" s="1"/>
      <x:c r="C888" s="1"/>
      <x:c r="D888" s="1"/>
      <x:c r="E888" s="1"/>
      <x:c r="F888" s="11"/>
    </x:row>
    <x:row r="889" spans="1:6" x14ac:dyDescent="0.25">
      <x:c r="A889" s="1"/>
      <x:c r="B889" s="1"/>
      <x:c r="C889" s="1"/>
      <x:c r="D889" s="1"/>
      <x:c r="E889" s="1"/>
      <x:c r="F889" s="11"/>
    </x:row>
    <x:row r="890" spans="1:6" x14ac:dyDescent="0.25">
      <x:c r="A890" s="1"/>
      <x:c r="B890" s="1"/>
      <x:c r="C890" s="1"/>
      <x:c r="D890" s="1"/>
      <x:c r="E890" s="1"/>
      <x:c r="F890" s="11"/>
    </x:row>
    <x:row r="891" spans="1:6" x14ac:dyDescent="0.25">
      <x:c r="A891" s="1"/>
      <x:c r="B891" s="1"/>
      <x:c r="C891" s="1"/>
      <x:c r="D891" s="1"/>
      <x:c r="E891" s="1"/>
      <x:c r="F891" s="11"/>
    </x:row>
    <x:row r="892" spans="1:6" x14ac:dyDescent="0.25">
      <x:c r="A892" s="1"/>
      <x:c r="B892" s="1"/>
      <x:c r="C892" s="1"/>
      <x:c r="D892" s="1"/>
      <x:c r="E892" s="1"/>
      <x:c r="F892" s="11"/>
    </x:row>
    <x:row r="893" spans="1:6" x14ac:dyDescent="0.25">
      <x:c r="A893" s="1"/>
      <x:c r="B893" s="1"/>
      <x:c r="C893" s="1"/>
      <x:c r="D893" s="1"/>
      <x:c r="E893" s="1"/>
      <x:c r="F893" s="11"/>
    </x:row>
    <x:row r="894" spans="1:6" x14ac:dyDescent="0.25">
      <x:c r="A894" s="1"/>
      <x:c r="B894" s="1"/>
      <x:c r="C894" s="1"/>
      <x:c r="D894" s="1"/>
      <x:c r="E894" s="1"/>
      <x:c r="F894" s="11"/>
    </x:row>
    <x:row r="895" spans="1:6" x14ac:dyDescent="0.25">
      <x:c r="A895" s="1"/>
      <x:c r="B895" s="1"/>
      <x:c r="C895" s="1"/>
      <x:c r="D895" s="1"/>
      <x:c r="E895" s="1"/>
      <x:c r="F895" s="11"/>
    </x:row>
    <x:row r="896" spans="1:6" x14ac:dyDescent="0.25">
      <x:c r="A896" s="1"/>
      <x:c r="B896" s="1"/>
      <x:c r="C896" s="1"/>
      <x:c r="D896" s="1"/>
      <x:c r="E896" s="1"/>
      <x:c r="F896" s="11"/>
    </x:row>
    <x:row r="897" spans="1:6" x14ac:dyDescent="0.25">
      <x:c r="A897" s="1"/>
      <x:c r="B897" s="1"/>
      <x:c r="C897" s="1"/>
      <x:c r="D897" s="1"/>
      <x:c r="E897" s="1"/>
      <x:c r="F897" s="11"/>
    </x:row>
    <x:row r="898" spans="1:6" x14ac:dyDescent="0.25">
      <x:c r="A898" s="1"/>
      <x:c r="B898" s="1"/>
      <x:c r="C898" s="1"/>
      <x:c r="D898" s="1"/>
      <x:c r="E898" s="1"/>
      <x:c r="F898" s="11"/>
    </x:row>
    <x:row r="899" spans="1:6" x14ac:dyDescent="0.25">
      <x:c r="A899" s="1"/>
      <x:c r="B899" s="1"/>
      <x:c r="C899" s="1"/>
      <x:c r="D899" s="1"/>
      <x:c r="E899" s="1"/>
      <x:c r="F899" s="11"/>
    </x:row>
    <x:row r="900" spans="1:6" x14ac:dyDescent="0.25">
      <x:c r="A900" s="1"/>
      <x:c r="B900" s="1"/>
      <x:c r="C900" s="1"/>
      <x:c r="D900" s="1"/>
      <x:c r="E900" s="1"/>
      <x:c r="F900" s="11"/>
    </x:row>
    <x:row r="901" spans="1:6" x14ac:dyDescent="0.25">
      <x:c r="A901" s="1"/>
      <x:c r="B901" s="1"/>
      <x:c r="C901" s="1"/>
      <x:c r="D901" s="1"/>
      <x:c r="E901" s="1"/>
      <x:c r="F901" s="11"/>
    </x:row>
    <x:row r="902" spans="1:6" x14ac:dyDescent="0.25">
      <x:c r="A902" s="1"/>
      <x:c r="B902" s="1"/>
      <x:c r="C902" s="1"/>
      <x:c r="D902" s="1"/>
      <x:c r="E902" s="1"/>
      <x:c r="F902" s="11"/>
    </x:row>
    <x:row r="903" spans="1:6" x14ac:dyDescent="0.25">
      <x:c r="A903" s="1"/>
      <x:c r="B903" s="1"/>
      <x:c r="C903" s="1"/>
      <x:c r="D903" s="1"/>
      <x:c r="E903" s="1"/>
      <x:c r="F903" s="11"/>
    </x:row>
    <x:row r="904" spans="1:6" x14ac:dyDescent="0.25">
      <x:c r="A904" s="1"/>
      <x:c r="B904" s="1"/>
      <x:c r="C904" s="1"/>
      <x:c r="D904" s="1"/>
      <x:c r="E904" s="1"/>
      <x:c r="F904" s="11"/>
    </x:row>
    <x:row r="905" spans="1:6" x14ac:dyDescent="0.25">
      <x:c r="A905" s="1"/>
      <x:c r="B905" s="1"/>
      <x:c r="C905" s="1"/>
      <x:c r="D905" s="1"/>
      <x:c r="E905" s="1"/>
      <x:c r="F905" s="11"/>
    </x:row>
    <x:row r="906" spans="1:6" x14ac:dyDescent="0.25">
      <x:c r="A906" s="1"/>
      <x:c r="B906" s="1"/>
      <x:c r="C906" s="1"/>
      <x:c r="D906" s="1"/>
      <x:c r="E906" s="1"/>
      <x:c r="F906" s="11"/>
    </x:row>
    <x:row r="907" spans="1:6" x14ac:dyDescent="0.25">
      <x:c r="A907" s="1"/>
      <x:c r="B907" s="1"/>
      <x:c r="C907" s="1"/>
      <x:c r="D907" s="1"/>
      <x:c r="E907" s="1"/>
      <x:c r="F907" s="11"/>
    </x:row>
    <x:row r="908" spans="1:6" x14ac:dyDescent="0.25">
      <x:c r="A908" s="1"/>
      <x:c r="B908" s="1"/>
      <x:c r="C908" s="1"/>
      <x:c r="D908" s="1"/>
      <x:c r="E908" s="1"/>
      <x:c r="F908" s="11"/>
    </x:row>
    <x:row r="909" spans="1:6" x14ac:dyDescent="0.25">
      <x:c r="A909" s="1"/>
      <x:c r="B909" s="1"/>
      <x:c r="C909" s="1"/>
      <x:c r="D909" s="1"/>
      <x:c r="E909" s="1"/>
      <x:c r="F909" s="11"/>
    </x:row>
    <x:row r="910" spans="1:6" x14ac:dyDescent="0.25">
      <x:c r="A910" s="1"/>
      <x:c r="B910" s="1"/>
      <x:c r="C910" s="1"/>
      <x:c r="D910" s="1"/>
      <x:c r="E910" s="1"/>
      <x:c r="F910" s="11"/>
    </x:row>
    <x:row r="911" spans="1:6" x14ac:dyDescent="0.25">
      <x:c r="A911" s="1"/>
      <x:c r="B911" s="1"/>
      <x:c r="C911" s="1"/>
      <x:c r="D911" s="1"/>
      <x:c r="E911" s="1"/>
      <x:c r="F911" s="11"/>
    </x:row>
    <x:row r="912" spans="1:6" x14ac:dyDescent="0.25">
      <x:c r="A912" s="1"/>
      <x:c r="B912" s="1"/>
      <x:c r="C912" s="1"/>
      <x:c r="D912" s="1"/>
      <x:c r="E912" s="1"/>
      <x:c r="F912" s="11"/>
    </x:row>
    <x:row r="913" spans="1:6" x14ac:dyDescent="0.25">
      <x:c r="A913" s="1"/>
      <x:c r="B913" s="1"/>
      <x:c r="C913" s="1"/>
      <x:c r="D913" s="1"/>
      <x:c r="E913" s="1"/>
      <x:c r="F913" s="11"/>
    </x:row>
    <x:row r="914" spans="1:6" x14ac:dyDescent="0.25">
      <x:c r="A914" s="1"/>
      <x:c r="B914" s="1"/>
      <x:c r="C914" s="1"/>
      <x:c r="D914" s="1"/>
      <x:c r="E914" s="1"/>
      <x:c r="F914" s="11"/>
    </x:row>
    <x:row r="915" spans="1:6" x14ac:dyDescent="0.25">
      <x:c r="A915" s="1"/>
      <x:c r="B915" s="1"/>
      <x:c r="C915" s="1"/>
      <x:c r="D915" s="1"/>
      <x:c r="E915" s="1"/>
      <x:c r="F915" s="11"/>
    </x:row>
    <x:row r="916" spans="1:6" x14ac:dyDescent="0.25">
      <x:c r="A916" s="1"/>
      <x:c r="B916" s="1"/>
      <x:c r="C916" s="1"/>
      <x:c r="D916" s="1"/>
      <x:c r="E916" s="1"/>
      <x:c r="F916" s="11"/>
    </x:row>
    <x:row r="917" spans="1:6" x14ac:dyDescent="0.25">
      <x:c r="A917" s="1"/>
      <x:c r="B917" s="1"/>
      <x:c r="C917" s="1"/>
      <x:c r="D917" s="1"/>
      <x:c r="E917" s="1"/>
      <x:c r="F917" s="11"/>
    </x:row>
    <x:row r="918" spans="1:6" x14ac:dyDescent="0.25">
      <x:c r="A918" s="1"/>
      <x:c r="B918" s="1"/>
      <x:c r="C918" s="1"/>
      <x:c r="D918" s="1"/>
      <x:c r="E918" s="1"/>
      <x:c r="F918" s="11"/>
    </x:row>
    <x:row r="919" spans="1:6" x14ac:dyDescent="0.25">
      <x:c r="A919" s="1"/>
      <x:c r="B919" s="1"/>
      <x:c r="C919" s="1"/>
      <x:c r="D919" s="1"/>
      <x:c r="E919" s="1"/>
      <x:c r="F919" s="11"/>
    </x:row>
    <x:row r="920" spans="1:6" x14ac:dyDescent="0.25">
      <x:c r="A920" s="1"/>
      <x:c r="B920" s="1"/>
      <x:c r="C920" s="1"/>
      <x:c r="D920" s="1"/>
      <x:c r="E920" s="1"/>
      <x:c r="F920" s="11"/>
    </x:row>
    <x:row r="921" spans="1:6" x14ac:dyDescent="0.25">
      <x:c r="A921" s="1"/>
      <x:c r="B921" s="1"/>
      <x:c r="C921" s="1"/>
      <x:c r="D921" s="1"/>
      <x:c r="E921" s="1"/>
      <x:c r="F921" s="11"/>
    </x:row>
    <x:row r="922" spans="1:6" x14ac:dyDescent="0.25">
      <x:c r="A922" s="1"/>
      <x:c r="B922" s="1"/>
      <x:c r="C922" s="1"/>
      <x:c r="D922" s="1"/>
      <x:c r="E922" s="1"/>
      <x:c r="F922" s="11"/>
    </x:row>
    <x:row r="923" spans="1:6" x14ac:dyDescent="0.25">
      <x:c r="A923" s="1"/>
      <x:c r="B923" s="1"/>
      <x:c r="C923" s="1"/>
      <x:c r="D923" s="1"/>
      <x:c r="E923" s="1"/>
      <x:c r="F923" s="11"/>
    </x:row>
    <x:row r="924" spans="1:6" x14ac:dyDescent="0.25">
      <x:c r="A924" s="1"/>
      <x:c r="B924" s="1"/>
      <x:c r="C924" s="1"/>
      <x:c r="D924" s="1"/>
      <x:c r="E924" s="1"/>
      <x:c r="F924" s="11"/>
    </x:row>
    <x:row r="925" spans="1:6" x14ac:dyDescent="0.25">
      <x:c r="A925" s="1"/>
      <x:c r="B925" s="1"/>
      <x:c r="C925" s="1"/>
      <x:c r="D925" s="1"/>
      <x:c r="E925" s="1"/>
      <x:c r="F925" s="11"/>
    </x:row>
    <x:row r="926" spans="1:6" x14ac:dyDescent="0.25">
      <x:c r="A926" s="1"/>
      <x:c r="B926" s="1"/>
      <x:c r="C926" s="1"/>
      <x:c r="D926" s="1"/>
      <x:c r="E926" s="1"/>
      <x:c r="F926" s="11"/>
    </x:row>
    <x:row r="927" spans="1:6" x14ac:dyDescent="0.25">
      <x:c r="A927" s="1"/>
      <x:c r="B927" s="1"/>
      <x:c r="C927" s="1"/>
      <x:c r="D927" s="1"/>
      <x:c r="E927" s="1"/>
      <x:c r="F927" s="11"/>
    </x:row>
    <x:row r="928" spans="1:6" x14ac:dyDescent="0.25">
      <x:c r="A928" s="1"/>
      <x:c r="B928" s="1"/>
      <x:c r="C928" s="1"/>
      <x:c r="D928" s="1"/>
      <x:c r="E928" s="1"/>
      <x:c r="F928" s="11"/>
    </x:row>
    <x:row r="929" spans="1:6" x14ac:dyDescent="0.25">
      <x:c r="A929" s="1"/>
      <x:c r="B929" s="1"/>
      <x:c r="C929" s="1"/>
      <x:c r="D929" s="1"/>
      <x:c r="E929" s="1"/>
      <x:c r="F929" s="11"/>
    </x:row>
    <x:row r="930" spans="1:6" x14ac:dyDescent="0.25">
      <x:c r="A930" s="1"/>
      <x:c r="B930" s="1"/>
      <x:c r="C930" s="1"/>
      <x:c r="D930" s="1"/>
      <x:c r="E930" s="1"/>
      <x:c r="F930" s="11"/>
    </x:row>
    <x:row r="931" spans="1:6" x14ac:dyDescent="0.25">
      <x:c r="A931" s="1"/>
      <x:c r="B931" s="1"/>
      <x:c r="C931" s="1"/>
      <x:c r="D931" s="1"/>
      <x:c r="E931" s="1"/>
      <x:c r="F931" s="11"/>
    </x:row>
    <x:row r="932" spans="1:6" x14ac:dyDescent="0.25">
      <x:c r="A932" s="1"/>
      <x:c r="B932" s="1"/>
      <x:c r="C932" s="1"/>
      <x:c r="D932" s="1"/>
      <x:c r="E932" s="1"/>
      <x:c r="F932" s="11"/>
    </x:row>
    <x:row r="933" spans="1:6" x14ac:dyDescent="0.25">
      <x:c r="A933" s="1"/>
      <x:c r="B933" s="1"/>
      <x:c r="C933" s="1"/>
      <x:c r="D933" s="1"/>
      <x:c r="E933" s="1"/>
      <x:c r="F933" s="11"/>
    </x:row>
    <x:row r="934" spans="1:6" x14ac:dyDescent="0.25">
      <x:c r="A934" s="1"/>
      <x:c r="B934" s="1"/>
      <x:c r="C934" s="1"/>
      <x:c r="D934" s="1"/>
      <x:c r="E934" s="1"/>
      <x:c r="F934" s="11"/>
    </x:row>
    <x:row r="935" spans="1:6" x14ac:dyDescent="0.25">
      <x:c r="A935" s="1"/>
      <x:c r="B935" s="1"/>
      <x:c r="C935" s="1"/>
      <x:c r="D935" s="1"/>
      <x:c r="E935" s="1"/>
      <x:c r="F935" s="11"/>
    </x:row>
    <x:row r="936" spans="1:6" x14ac:dyDescent="0.25">
      <x:c r="A936" s="1"/>
      <x:c r="B936" s="1"/>
      <x:c r="C936" s="1"/>
      <x:c r="D936" s="1"/>
      <x:c r="E936" s="1"/>
      <x:c r="F936" s="11"/>
    </x:row>
    <x:row r="937" spans="1:6" x14ac:dyDescent="0.25">
      <x:c r="A937" s="1"/>
      <x:c r="B937" s="1"/>
      <x:c r="C937" s="1"/>
      <x:c r="D937" s="1"/>
      <x:c r="E937" s="1"/>
      <x:c r="F937" s="11"/>
    </x:row>
    <x:row r="938" spans="1:6" x14ac:dyDescent="0.25">
      <x:c r="A938" s="1"/>
      <x:c r="B938" s="1"/>
      <x:c r="C938" s="1"/>
      <x:c r="D938" s="1"/>
      <x:c r="E938" s="1"/>
      <x:c r="F938" s="11"/>
    </x:row>
    <x:row r="939" spans="1:6" x14ac:dyDescent="0.25">
      <x:c r="A939" s="1"/>
      <x:c r="B939" s="1"/>
      <x:c r="C939" s="1"/>
      <x:c r="D939" s="1"/>
      <x:c r="E939" s="1"/>
      <x:c r="F939" s="11"/>
    </x:row>
    <x:row r="940" spans="1:6" x14ac:dyDescent="0.25">
      <x:c r="A940" s="1"/>
      <x:c r="B940" s="1"/>
      <x:c r="C940" s="1"/>
      <x:c r="D940" s="1"/>
      <x:c r="E940" s="1"/>
      <x:c r="F940" s="11"/>
    </x:row>
    <x:row r="941" spans="1:6" x14ac:dyDescent="0.25">
      <x:c r="A941" s="1"/>
      <x:c r="B941" s="1"/>
      <x:c r="C941" s="1"/>
      <x:c r="D941" s="1"/>
      <x:c r="E941" s="1"/>
      <x:c r="F941" s="11"/>
    </x:row>
    <x:row r="942" spans="1:6" x14ac:dyDescent="0.25">
      <x:c r="A942" s="1"/>
      <x:c r="B942" s="1"/>
      <x:c r="C942" s="1"/>
      <x:c r="D942" s="1"/>
      <x:c r="E942" s="1"/>
      <x:c r="F942" s="11"/>
    </x:row>
    <x:row r="943" spans="1:6" x14ac:dyDescent="0.25">
      <x:c r="A943" s="1"/>
      <x:c r="B943" s="1"/>
      <x:c r="C943" s="1"/>
      <x:c r="D943" s="1"/>
      <x:c r="E943" s="1"/>
      <x:c r="F943" s="11"/>
    </x:row>
    <x:row r="944" spans="1:6" x14ac:dyDescent="0.25">
      <x:c r="A944" s="1"/>
      <x:c r="B944" s="1"/>
      <x:c r="C944" s="1"/>
      <x:c r="D944" s="1"/>
      <x:c r="E944" s="1"/>
      <x:c r="F944" s="11"/>
    </x:row>
    <x:row r="945" spans="1:6" x14ac:dyDescent="0.25">
      <x:c r="A945" s="1"/>
      <x:c r="B945" s="1"/>
      <x:c r="C945" s="1"/>
      <x:c r="D945" s="1"/>
      <x:c r="E945" s="1"/>
      <x:c r="F945" s="11"/>
    </x:row>
    <x:row r="946" spans="1:6" x14ac:dyDescent="0.25">
      <x:c r="A946" s="1"/>
      <x:c r="B946" s="1"/>
      <x:c r="C946" s="1"/>
      <x:c r="D946" s="1"/>
      <x:c r="E946" s="1"/>
      <x:c r="F946" s="11"/>
    </x:row>
    <x:row r="947" spans="1:6" x14ac:dyDescent="0.25">
      <x:c r="A947" s="1"/>
      <x:c r="B947" s="1"/>
      <x:c r="C947" s="1"/>
      <x:c r="D947" s="1"/>
      <x:c r="E947" s="1"/>
      <x:c r="F947" s="11"/>
    </x:row>
    <x:row r="948" spans="1:6" x14ac:dyDescent="0.25">
      <x:c r="A948" s="1"/>
      <x:c r="B948" s="1"/>
      <x:c r="C948" s="1"/>
      <x:c r="D948" s="1"/>
      <x:c r="E948" s="1"/>
      <x:c r="F948" s="11"/>
    </x:row>
    <x:row r="949" spans="1:6" x14ac:dyDescent="0.25">
      <x:c r="A949" s="1"/>
      <x:c r="B949" s="1"/>
      <x:c r="C949" s="1"/>
      <x:c r="D949" s="1"/>
      <x:c r="E949" s="1"/>
      <x:c r="F949" s="11"/>
    </x:row>
    <x:row r="950" spans="1:6" x14ac:dyDescent="0.25">
      <x:c r="A950" s="1"/>
      <x:c r="B950" s="1"/>
      <x:c r="C950" s="1"/>
      <x:c r="D950" s="1"/>
      <x:c r="E950" s="1"/>
      <x:c r="F950" s="11"/>
    </x:row>
    <x:row r="951" spans="1:6" x14ac:dyDescent="0.25">
      <x:c r="A951" s="1"/>
      <x:c r="B951" s="1"/>
      <x:c r="C951" s="1"/>
      <x:c r="D951" s="1"/>
      <x:c r="E951" s="1"/>
      <x:c r="F951" s="11"/>
    </x:row>
    <x:row r="952" spans="1:6" x14ac:dyDescent="0.25">
      <x:c r="A952" s="1"/>
      <x:c r="B952" s="1"/>
      <x:c r="C952" s="1"/>
      <x:c r="D952" s="1"/>
      <x:c r="E952" s="1"/>
      <x:c r="F952" s="11"/>
    </x:row>
    <x:row r="953" spans="1:6" x14ac:dyDescent="0.25">
      <x:c r="A953" s="1"/>
      <x:c r="B953" s="1"/>
      <x:c r="C953" s="1"/>
      <x:c r="D953" s="1"/>
      <x:c r="E953" s="1"/>
      <x:c r="F953" s="11"/>
    </x:row>
    <x:row r="954" spans="1:6" x14ac:dyDescent="0.25">
      <x:c r="A954" s="1"/>
      <x:c r="B954" s="1"/>
      <x:c r="C954" s="1"/>
      <x:c r="D954" s="1"/>
      <x:c r="E954" s="1"/>
      <x:c r="F954" s="11"/>
    </x:row>
    <x:row r="955" spans="1:6" x14ac:dyDescent="0.25">
      <x:c r="A955" s="1"/>
      <x:c r="B955" s="1"/>
      <x:c r="C955" s="1"/>
      <x:c r="D955" s="1"/>
      <x:c r="E955" s="1"/>
      <x:c r="F955" s="11"/>
    </x:row>
    <x:row r="956" spans="1:6" x14ac:dyDescent="0.25">
      <x:c r="A956" s="1"/>
      <x:c r="B956" s="1"/>
      <x:c r="C956" s="1"/>
      <x:c r="D956" s="1"/>
      <x:c r="E956" s="1"/>
      <x:c r="F956" s="11"/>
    </x:row>
    <x:row r="957" spans="1:6" x14ac:dyDescent="0.25">
      <x:c r="A957" s="1"/>
      <x:c r="B957" s="1"/>
      <x:c r="C957" s="1"/>
      <x:c r="D957" s="1"/>
      <x:c r="E957" s="1"/>
      <x:c r="F957" s="11"/>
    </x:row>
    <x:row r="958" spans="1:6" x14ac:dyDescent="0.25">
      <x:c r="A958" s="1"/>
      <x:c r="B958" s="1"/>
      <x:c r="C958" s="1"/>
      <x:c r="D958" s="1"/>
      <x:c r="E958" s="1"/>
      <x:c r="F958" s="11"/>
    </x:row>
    <x:row r="959" spans="1:6" x14ac:dyDescent="0.25">
      <x:c r="A959" s="1"/>
      <x:c r="B959" s="1"/>
      <x:c r="C959" s="1"/>
      <x:c r="D959" s="1"/>
      <x:c r="E959" s="1"/>
      <x:c r="F959" s="11"/>
    </x:row>
    <x:row r="960" spans="1:6" x14ac:dyDescent="0.25">
      <x:c r="A960" s="1"/>
      <x:c r="B960" s="1"/>
      <x:c r="C960" s="1"/>
      <x:c r="D960" s="1"/>
      <x:c r="E960" s="1"/>
      <x:c r="F960" s="11"/>
    </x:row>
    <x:row r="961" spans="1:6" x14ac:dyDescent="0.25">
      <x:c r="A961" s="1"/>
      <x:c r="B961" s="1"/>
      <x:c r="C961" s="1"/>
      <x:c r="D961" s="1"/>
      <x:c r="E961" s="1"/>
      <x:c r="F961" s="11"/>
    </x:row>
    <x:row r="962" spans="1:6" x14ac:dyDescent="0.25">
      <x:c r="A962" s="1"/>
      <x:c r="B962" s="1"/>
      <x:c r="C962" s="1"/>
      <x:c r="D962" s="1"/>
      <x:c r="E962" s="1"/>
      <x:c r="F962" s="11"/>
    </x:row>
    <x:row r="963" spans="1:6" x14ac:dyDescent="0.25">
      <x:c r="A963" s="1"/>
      <x:c r="B963" s="1"/>
      <x:c r="C963" s="1"/>
      <x:c r="D963" s="1"/>
      <x:c r="E963" s="1"/>
      <x:c r="F963" s="11"/>
    </x:row>
    <x:row r="964" spans="1:6" x14ac:dyDescent="0.25">
      <x:c r="A964" s="1"/>
      <x:c r="B964" s="1"/>
      <x:c r="C964" s="1"/>
      <x:c r="D964" s="1"/>
      <x:c r="E964" s="1"/>
      <x:c r="F964" s="11"/>
    </x:row>
    <x:row r="965" spans="1:6" x14ac:dyDescent="0.25">
      <x:c r="A965" s="1"/>
      <x:c r="B965" s="1"/>
      <x:c r="C965" s="1"/>
      <x:c r="D965" s="1"/>
      <x:c r="E965" s="1"/>
      <x:c r="F965" s="11"/>
    </x:row>
    <x:row r="966" spans="1:6" x14ac:dyDescent="0.25">
      <x:c r="A966" s="1"/>
      <x:c r="B966" s="1"/>
      <x:c r="C966" s="1"/>
      <x:c r="D966" s="1"/>
      <x:c r="E966" s="1"/>
      <x:c r="F966" s="11"/>
    </x:row>
    <x:row r="967" spans="1:6" x14ac:dyDescent="0.25">
      <x:c r="A967" s="1"/>
      <x:c r="B967" s="1"/>
      <x:c r="C967" s="1"/>
      <x:c r="D967" s="1"/>
      <x:c r="E967" s="1"/>
      <x:c r="F967" s="11"/>
    </x:row>
    <x:row r="968" spans="1:6" x14ac:dyDescent="0.25">
      <x:c r="A968" s="1"/>
      <x:c r="B968" s="1"/>
      <x:c r="C968" s="1"/>
      <x:c r="D968" s="1"/>
      <x:c r="E968" s="1"/>
      <x:c r="F968" s="11"/>
    </x:row>
    <x:row r="969" spans="1:6" x14ac:dyDescent="0.25">
      <x:c r="A969" s="1"/>
      <x:c r="B969" s="1"/>
      <x:c r="C969" s="1"/>
      <x:c r="D969" s="1"/>
      <x:c r="E969" s="1"/>
      <x:c r="F969" s="11"/>
    </x:row>
    <x:row r="970" spans="1:6" x14ac:dyDescent="0.25">
      <x:c r="A970" s="1"/>
      <x:c r="B970" s="1"/>
      <x:c r="C970" s="1"/>
      <x:c r="D970" s="1"/>
      <x:c r="E970" s="1"/>
      <x:c r="F970" s="11"/>
    </x:row>
    <x:row r="971" spans="1:6" x14ac:dyDescent="0.25">
      <x:c r="A971" s="1"/>
      <x:c r="B971" s="1"/>
      <x:c r="C971" s="1"/>
      <x:c r="D971" s="1"/>
      <x:c r="E971" s="1"/>
      <x:c r="F971" s="11"/>
    </x:row>
    <x:row r="972" spans="1:6" x14ac:dyDescent="0.25">
      <x:c r="A972" s="1"/>
      <x:c r="B972" s="1"/>
      <x:c r="C972" s="1"/>
      <x:c r="D972" s="1"/>
      <x:c r="E972" s="1"/>
      <x:c r="F972" s="11"/>
    </x:row>
    <x:row r="973" spans="1:6" x14ac:dyDescent="0.25">
      <x:c r="A973" s="1"/>
      <x:c r="B973" s="1"/>
      <x:c r="C973" s="1"/>
      <x:c r="D973" s="1"/>
      <x:c r="E973" s="1"/>
      <x:c r="F973" s="11"/>
    </x:row>
    <x:row r="974" spans="1:6" x14ac:dyDescent="0.25">
      <x:c r="A974" s="1"/>
      <x:c r="B974" s="1"/>
      <x:c r="C974" s="1"/>
      <x:c r="D974" s="1"/>
      <x:c r="E974" s="1"/>
      <x:c r="F974" s="11"/>
    </x:row>
    <x:row r="975" spans="1:6" x14ac:dyDescent="0.25">
      <x:c r="A975" s="1"/>
      <x:c r="B975" s="1"/>
      <x:c r="C975" s="1"/>
      <x:c r="D975" s="1"/>
      <x:c r="E975" s="1"/>
      <x:c r="F975" s="11"/>
    </x:row>
    <x:row r="976" spans="1:6" x14ac:dyDescent="0.25">
      <x:c r="A976" s="1"/>
      <x:c r="B976" s="1"/>
      <x:c r="C976" s="1"/>
      <x:c r="D976" s="1"/>
      <x:c r="E976" s="1"/>
      <x:c r="F976" s="11"/>
    </x:row>
    <x:row r="977" spans="1:6" x14ac:dyDescent="0.25">
      <x:c r="A977" s="1"/>
      <x:c r="B977" s="1"/>
      <x:c r="C977" s="1"/>
      <x:c r="D977" s="1"/>
      <x:c r="E977" s="1"/>
      <x:c r="F977" s="11"/>
    </x:row>
    <x:row r="978" spans="1:6" x14ac:dyDescent="0.25">
      <x:c r="A978" s="1"/>
      <x:c r="B978" s="1"/>
      <x:c r="C978" s="1"/>
      <x:c r="D978" s="1"/>
      <x:c r="E978" s="1"/>
      <x:c r="F978" s="11"/>
    </x:row>
    <x:row r="979" spans="1:6" x14ac:dyDescent="0.25">
      <x:c r="A979" s="1"/>
      <x:c r="B979" s="1"/>
      <x:c r="C979" s="1"/>
      <x:c r="D979" s="1"/>
      <x:c r="E979" s="1"/>
      <x:c r="F979" s="11"/>
    </x:row>
    <x:row r="980" spans="1:6" x14ac:dyDescent="0.25">
      <x:c r="A980" s="1"/>
      <x:c r="B980" s="1"/>
      <x:c r="C980" s="1"/>
      <x:c r="D980" s="1"/>
      <x:c r="E980" s="1"/>
      <x:c r="F980" s="11"/>
    </x:row>
    <x:row r="981" spans="1:6" x14ac:dyDescent="0.25">
      <x:c r="A981" s="1"/>
      <x:c r="B981" s="1"/>
      <x:c r="C981" s="1"/>
      <x:c r="D981" s="1"/>
      <x:c r="E981" s="1"/>
      <x:c r="F981" s="11"/>
    </x:row>
    <x:row r="982" spans="1:6" x14ac:dyDescent="0.25">
      <x:c r="A982" s="1"/>
      <x:c r="B982" s="1"/>
      <x:c r="C982" s="1"/>
      <x:c r="D982" s="1"/>
      <x:c r="E982" s="1"/>
      <x:c r="F982" s="11"/>
    </x:row>
    <x:row r="983" spans="1:6" x14ac:dyDescent="0.25">
      <x:c r="A983" s="1"/>
      <x:c r="B983" s="1"/>
      <x:c r="C983" s="1"/>
      <x:c r="D983" s="1"/>
      <x:c r="E983" s="1"/>
      <x:c r="F983" s="11"/>
    </x:row>
    <x:row r="984" spans="1:6" x14ac:dyDescent="0.25">
      <x:c r="A984" s="1"/>
      <x:c r="B984" s="1"/>
      <x:c r="C984" s="1"/>
      <x:c r="D984" s="1"/>
      <x:c r="E984" s="1"/>
      <x:c r="F984" s="11"/>
    </x:row>
    <x:row r="985" spans="1:6" x14ac:dyDescent="0.25">
      <x:c r="A985" s="1"/>
      <x:c r="B985" s="1"/>
      <x:c r="C985" s="1"/>
      <x:c r="D985" s="1"/>
      <x:c r="E985" s="1"/>
      <x:c r="F985" s="11"/>
    </x:row>
    <x:row r="986" spans="1:6" x14ac:dyDescent="0.25">
      <x:c r="A986" s="1"/>
      <x:c r="B986" s="1"/>
      <x:c r="C986" s="1"/>
      <x:c r="D986" s="1"/>
      <x:c r="E986" s="1"/>
      <x:c r="F986" s="11"/>
    </x:row>
    <x:row r="987" spans="1:6" x14ac:dyDescent="0.25">
      <x:c r="A987" s="1"/>
      <x:c r="B987" s="1"/>
      <x:c r="C987" s="1"/>
      <x:c r="D987" s="1"/>
      <x:c r="E987" s="1"/>
      <x:c r="F987" s="11"/>
    </x:row>
    <x:row r="988" spans="1:6" x14ac:dyDescent="0.25">
      <x:c r="A988" s="1"/>
      <x:c r="B988" s="1"/>
      <x:c r="C988" s="1"/>
      <x:c r="D988" s="1"/>
      <x:c r="E988" s="1"/>
      <x:c r="F988" s="11"/>
    </x:row>
    <x:row r="989" spans="1:6" x14ac:dyDescent="0.25">
      <x:c r="A989" s="1"/>
      <x:c r="B989" s="1"/>
      <x:c r="C989" s="1"/>
      <x:c r="D989" s="1"/>
      <x:c r="E989" s="1"/>
      <x:c r="F989" s="11"/>
    </x:row>
    <x:row r="990" spans="1:6" x14ac:dyDescent="0.25">
      <x:c r="A990" s="1"/>
      <x:c r="B990" s="1"/>
      <x:c r="C990" s="1"/>
      <x:c r="D990" s="1"/>
      <x:c r="E990" s="1"/>
      <x:c r="F990" s="11"/>
    </x:row>
    <x:row r="991" spans="1:6" x14ac:dyDescent="0.25">
      <x:c r="A991" s="1"/>
      <x:c r="B991" s="1"/>
      <x:c r="C991" s="1"/>
      <x:c r="D991" s="1"/>
      <x:c r="E991" s="1"/>
      <x:c r="F991" s="11"/>
    </x:row>
    <x:row r="992" spans="1:6" x14ac:dyDescent="0.25">
      <x:c r="A992" s="1"/>
      <x:c r="B992" s="1"/>
      <x:c r="C992" s="1"/>
      <x:c r="D992" s="1"/>
      <x:c r="E992" s="1"/>
      <x:c r="F992" s="11"/>
    </x:row>
    <x:row r="993" spans="1:6" x14ac:dyDescent="0.25">
      <x:c r="A993" s="1"/>
      <x:c r="B993" s="1"/>
      <x:c r="C993" s="1"/>
      <x:c r="D993" s="1"/>
      <x:c r="E993" s="1"/>
      <x:c r="F993" s="11"/>
    </x:row>
    <x:row r="994" spans="1:6" x14ac:dyDescent="0.25">
      <x:c r="A994" s="1"/>
      <x:c r="B994" s="1"/>
      <x:c r="C994" s="1"/>
      <x:c r="D994" s="1"/>
      <x:c r="E994" s="1"/>
      <x:c r="F994" s="11"/>
    </x:row>
    <x:row r="995" spans="1:6" x14ac:dyDescent="0.25">
      <x:c r="A995" s="1"/>
      <x:c r="B995" s="1"/>
      <x:c r="C995" s="1"/>
      <x:c r="D995" s="1"/>
      <x:c r="E995" s="1"/>
      <x:c r="F995" s="11"/>
    </x:row>
    <x:row r="996" spans="1:6" x14ac:dyDescent="0.25">
      <x:c r="A996" s="1"/>
      <x:c r="B996" s="1"/>
      <x:c r="C996" s="1"/>
      <x:c r="D996" s="1"/>
      <x:c r="E996" s="1"/>
      <x:c r="F996" s="11"/>
    </x:row>
    <x:row r="997" spans="1:6" x14ac:dyDescent="0.25">
      <x:c r="A997" s="1"/>
      <x:c r="B997" s="1"/>
      <x:c r="C997" s="1"/>
      <x:c r="D997" s="1"/>
      <x:c r="E997" s="1"/>
      <x:c r="F997" s="11"/>
    </x:row>
    <x:row r="998" spans="1:6" x14ac:dyDescent="0.25">
      <x:c r="A998" s="1"/>
      <x:c r="B998" s="1"/>
      <x:c r="C998" s="1"/>
      <x:c r="D998" s="1"/>
      <x:c r="E998" s="1"/>
      <x:c r="F998" s="11"/>
    </x:row>
    <x:row r="999" spans="1:6" x14ac:dyDescent="0.25">
      <x:c r="A999" s="1"/>
      <x:c r="B999" s="1"/>
      <x:c r="C999" s="1"/>
      <x:c r="D999" s="1"/>
      <x:c r="E999" s="1"/>
      <x:c r="F999" s="11"/>
    </x:row>
    <x:row r="1000" spans="1:6" x14ac:dyDescent="0.25">
      <x:c r="A1000" s="1"/>
      <x:c r="B1000" s="1"/>
      <x:c r="C1000" s="1"/>
      <x:c r="D1000" s="1"/>
      <x:c r="E1000" s="1"/>
      <x:c r="F1000" s="11"/>
    </x:row>
    <x:row r="1001" spans="1:6" x14ac:dyDescent="0.25">
      <x:c r="A1001" s="1"/>
      <x:c r="B1001" s="1"/>
      <x:c r="C1001" s="1"/>
      <x:c r="D1001" s="1"/>
      <x:c r="E1001" s="1"/>
      <x:c r="F1001" s="11"/>
    </x:row>
    <x:row r="1002" spans="1:6" x14ac:dyDescent="0.25">
      <x:c r="A1002" s="1"/>
      <x:c r="B1002" s="1"/>
      <x:c r="C1002" s="1"/>
      <x:c r="D1002" s="1"/>
      <x:c r="E1002" s="1"/>
      <x:c r="F1002" s="11"/>
    </x:row>
    <x:row r="1003" spans="1:6" x14ac:dyDescent="0.25">
      <x:c r="A1003" s="1"/>
      <x:c r="B1003" s="1"/>
      <x:c r="C1003" s="1"/>
      <x:c r="D1003" s="1"/>
      <x:c r="E1003" s="1"/>
      <x:c r="F1003" s="11"/>
    </x:row>
    <x:row r="1004" spans="1:6" x14ac:dyDescent="0.25">
      <x:c r="A1004" s="1"/>
      <x:c r="B1004" s="1"/>
      <x:c r="C1004" s="1"/>
      <x:c r="D1004" s="1"/>
      <x:c r="E1004" s="1"/>
      <x:c r="F1004" s="11"/>
    </x:row>
    <x:row r="1005" spans="1:6" x14ac:dyDescent="0.25">
      <x:c r="A1005" s="1"/>
      <x:c r="B1005" s="1"/>
      <x:c r="C1005" s="1"/>
      <x:c r="D1005" s="1"/>
      <x:c r="E1005" s="1"/>
      <x:c r="F1005" s="11"/>
    </x:row>
    <x:row r="1006" spans="1:6" x14ac:dyDescent="0.25">
      <x:c r="A1006" s="1"/>
      <x:c r="B1006" s="1"/>
      <x:c r="C1006" s="1"/>
      <x:c r="D1006" s="1"/>
      <x:c r="E1006" s="1"/>
      <x:c r="F1006" s="11"/>
    </x:row>
    <x:row r="1007" spans="1:6" x14ac:dyDescent="0.25">
      <x:c r="A1007" s="1"/>
      <x:c r="B1007" s="1"/>
      <x:c r="C1007" s="1"/>
      <x:c r="D1007" s="1"/>
      <x:c r="E1007" s="1"/>
      <x:c r="F1007" s="11"/>
    </x:row>
    <x:row r="1008" spans="1:6" x14ac:dyDescent="0.25">
      <x:c r="A1008" s="1"/>
      <x:c r="B1008" s="1"/>
      <x:c r="C1008" s="1"/>
      <x:c r="D1008" s="1"/>
      <x:c r="E1008" s="1"/>
      <x:c r="F1008" s="11"/>
    </x:row>
    <x:row r="1009" spans="1:6" x14ac:dyDescent="0.25">
      <x:c r="A1009" s="1"/>
      <x:c r="B1009" s="1"/>
      <x:c r="C1009" s="1"/>
      <x:c r="D1009" s="1"/>
      <x:c r="E1009" s="1"/>
      <x:c r="F1009" s="11"/>
    </x:row>
    <x:row r="1010" spans="1:6" x14ac:dyDescent="0.25">
      <x:c r="A1010" s="1"/>
      <x:c r="B1010" s="1"/>
      <x:c r="C1010" s="1"/>
      <x:c r="D1010" s="1"/>
      <x:c r="E1010" s="1"/>
      <x:c r="F1010" s="11"/>
    </x:row>
    <x:row r="1011" spans="1:6" x14ac:dyDescent="0.25">
      <x:c r="A1011" s="1"/>
      <x:c r="B1011" s="1"/>
      <x:c r="C1011" s="1"/>
      <x:c r="D1011" s="1"/>
      <x:c r="E1011" s="1"/>
      <x:c r="F1011" s="11"/>
    </x:row>
    <x:row r="1012" spans="1:6" x14ac:dyDescent="0.25">
      <x:c r="A1012" s="1"/>
      <x:c r="B1012" s="1"/>
      <x:c r="C1012" s="1"/>
      <x:c r="D1012" s="1"/>
      <x:c r="E1012" s="1"/>
      <x:c r="F1012" s="11"/>
    </x:row>
    <x:row r="1013" spans="1:6" x14ac:dyDescent="0.25">
      <x:c r="A1013" s="1"/>
      <x:c r="B1013" s="1"/>
      <x:c r="C1013" s="1"/>
      <x:c r="D1013" s="1"/>
      <x:c r="E1013" s="1"/>
      <x:c r="F1013" s="11"/>
    </x:row>
    <x:row r="1014" spans="1:6" x14ac:dyDescent="0.25">
      <x:c r="A1014" s="1"/>
      <x:c r="B1014" s="1"/>
      <x:c r="C1014" s="1"/>
      <x:c r="D1014" s="1"/>
      <x:c r="E1014" s="1"/>
      <x:c r="F1014" s="11"/>
    </x:row>
    <x:row r="1015" spans="1:6" x14ac:dyDescent="0.25">
      <x:c r="A1015" s="1"/>
      <x:c r="B1015" s="1"/>
      <x:c r="C1015" s="1"/>
      <x:c r="D1015" s="1"/>
      <x:c r="E1015" s="1"/>
      <x:c r="F1015" s="11"/>
    </x:row>
    <x:row r="1016" spans="1:6" x14ac:dyDescent="0.25">
      <x:c r="A1016" s="1"/>
      <x:c r="B1016" s="1"/>
      <x:c r="C1016" s="1"/>
      <x:c r="D1016" s="1"/>
      <x:c r="E1016" s="1"/>
      <x:c r="F1016" s="11"/>
    </x:row>
    <x:row r="1017" spans="1:6" x14ac:dyDescent="0.25">
      <x:c r="A1017" s="1"/>
      <x:c r="B1017" s="1"/>
      <x:c r="C1017" s="1"/>
      <x:c r="D1017" s="1"/>
      <x:c r="E1017" s="1"/>
      <x:c r="F1017" s="11"/>
    </x:row>
    <x:row r="1018" spans="1:6" x14ac:dyDescent="0.25">
      <x:c r="A1018" s="1"/>
      <x:c r="B1018" s="1"/>
      <x:c r="C1018" s="1"/>
      <x:c r="D1018" s="1"/>
      <x:c r="E1018" s="1"/>
      <x:c r="F1018" s="11"/>
    </x:row>
    <x:row r="1019" spans="1:6" x14ac:dyDescent="0.25">
      <x:c r="A1019" s="1"/>
      <x:c r="B1019" s="1"/>
      <x:c r="C1019" s="1"/>
      <x:c r="D1019" s="1"/>
      <x:c r="E1019" s="1"/>
      <x:c r="F1019" s="11"/>
    </x:row>
    <x:row r="1020" spans="1:6" x14ac:dyDescent="0.25">
      <x:c r="A1020" s="1"/>
      <x:c r="B1020" s="1"/>
      <x:c r="C1020" s="1"/>
      <x:c r="D1020" s="1"/>
      <x:c r="E1020" s="1"/>
      <x:c r="F1020" s="11"/>
    </x:row>
    <x:row r="1021" spans="1:6" x14ac:dyDescent="0.25">
      <x:c r="A1021" s="1"/>
      <x:c r="B1021" s="1"/>
      <x:c r="C1021" s="1"/>
      <x:c r="D1021" s="1"/>
      <x:c r="E1021" s="1"/>
      <x:c r="F1021" s="11"/>
    </x:row>
    <x:row r="1022" spans="1:6" x14ac:dyDescent="0.25">
      <x:c r="A1022" s="1"/>
      <x:c r="B1022" s="1"/>
      <x:c r="C1022" s="1"/>
      <x:c r="D1022" s="1"/>
      <x:c r="E1022" s="1"/>
      <x:c r="F1022" s="11"/>
    </x:row>
    <x:row r="1023" spans="1:6" x14ac:dyDescent="0.25">
      <x:c r="A1023" s="1"/>
      <x:c r="B1023" s="1"/>
      <x:c r="C1023" s="1"/>
      <x:c r="D1023" s="1"/>
      <x:c r="E1023" s="1"/>
      <x:c r="F1023" s="11"/>
    </x:row>
    <x:row r="1024" spans="1:6" x14ac:dyDescent="0.25">
      <x:c r="A1024" s="1"/>
      <x:c r="B1024" s="1"/>
      <x:c r="C1024" s="1"/>
      <x:c r="D1024" s="1"/>
      <x:c r="E1024" s="1"/>
      <x:c r="F1024" s="11"/>
    </x:row>
    <x:row r="1025" spans="1:6" x14ac:dyDescent="0.25">
      <x:c r="A1025" s="1"/>
      <x:c r="B1025" s="1"/>
      <x:c r="C1025" s="1"/>
      <x:c r="D1025" s="1"/>
      <x:c r="E1025" s="1"/>
      <x:c r="F1025" s="11"/>
    </x:row>
    <x:row r="1026" spans="1:6" x14ac:dyDescent="0.25">
      <x:c r="A1026" s="1"/>
      <x:c r="B1026" s="1"/>
      <x:c r="C1026" s="1"/>
      <x:c r="D1026" s="1"/>
      <x:c r="E1026" s="1"/>
      <x:c r="F1026" s="11"/>
    </x:row>
    <x:row r="1027" spans="1:6" x14ac:dyDescent="0.25">
      <x:c r="A1027" s="1"/>
      <x:c r="B1027" s="1"/>
      <x:c r="C1027" s="1"/>
      <x:c r="D1027" s="1"/>
      <x:c r="E1027" s="1"/>
      <x:c r="F1027" s="11"/>
    </x:row>
    <x:row r="1028" spans="1:6" x14ac:dyDescent="0.25">
      <x:c r="A1028" s="1"/>
      <x:c r="B1028" s="1"/>
      <x:c r="C1028" s="1"/>
      <x:c r="D1028" s="1"/>
      <x:c r="E1028" s="1"/>
      <x:c r="F1028" s="11"/>
    </x:row>
    <x:row r="1029" spans="1:6" x14ac:dyDescent="0.25">
      <x:c r="A1029" s="1"/>
      <x:c r="B1029" s="1"/>
      <x:c r="C1029" s="1"/>
      <x:c r="D1029" s="1"/>
      <x:c r="E1029" s="1"/>
      <x:c r="F1029" s="11"/>
    </x:row>
    <x:row r="1030" spans="1:6" x14ac:dyDescent="0.25">
      <x:c r="A1030" s="1"/>
      <x:c r="B1030" s="1"/>
      <x:c r="C1030" s="1"/>
      <x:c r="D1030" s="1"/>
      <x:c r="E1030" s="1"/>
      <x:c r="F1030" s="11"/>
    </x:row>
    <x:row r="1031" spans="1:6" x14ac:dyDescent="0.25">
      <x:c r="A1031" s="1"/>
      <x:c r="B1031" s="1"/>
      <x:c r="C1031" s="1"/>
      <x:c r="D1031" s="1"/>
      <x:c r="E1031" s="1"/>
      <x:c r="F1031" s="11"/>
    </x:row>
    <x:row r="1032" spans="1:6" x14ac:dyDescent="0.25">
      <x:c r="A1032" s="1"/>
      <x:c r="B1032" s="1"/>
      <x:c r="C1032" s="1"/>
      <x:c r="D1032" s="1"/>
      <x:c r="E1032" s="1"/>
      <x:c r="F1032" s="11"/>
    </x:row>
    <x:row r="1033" spans="1:6" x14ac:dyDescent="0.25">
      <x:c r="A1033" s="1"/>
      <x:c r="B1033" s="1"/>
      <x:c r="C1033" s="1"/>
      <x:c r="D1033" s="1"/>
      <x:c r="E1033" s="1"/>
      <x:c r="F1033" s="11"/>
    </x:row>
    <x:row r="1034" spans="1:6" x14ac:dyDescent="0.25">
      <x:c r="A1034" s="1"/>
      <x:c r="B1034" s="1"/>
      <x:c r="C1034" s="1"/>
      <x:c r="D1034" s="1"/>
      <x:c r="E1034" s="1"/>
      <x:c r="F1034" s="11"/>
    </x:row>
    <x:row r="1035" spans="1:6" x14ac:dyDescent="0.25">
      <x:c r="A1035" s="1"/>
      <x:c r="B1035" s="1"/>
      <x:c r="C1035" s="1"/>
      <x:c r="D1035" s="1"/>
      <x:c r="E1035" s="1"/>
      <x:c r="F1035" s="11"/>
    </x:row>
    <x:row r="1036" spans="1:6" x14ac:dyDescent="0.25">
      <x:c r="A1036" s="1"/>
      <x:c r="B1036" s="1"/>
      <x:c r="C1036" s="1"/>
      <x:c r="D1036" s="1"/>
      <x:c r="E1036" s="1"/>
      <x:c r="F1036" s="11"/>
    </x:row>
    <x:row r="1037" spans="1:6" x14ac:dyDescent="0.25">
      <x:c r="A1037" s="1"/>
      <x:c r="B1037" s="1"/>
      <x:c r="C1037" s="1"/>
      <x:c r="D1037" s="1"/>
      <x:c r="E1037" s="1"/>
      <x:c r="F1037" s="11"/>
    </x:row>
    <x:row r="1038" spans="1:6" x14ac:dyDescent="0.25">
      <x:c r="A1038" s="1"/>
      <x:c r="B1038" s="1"/>
      <x:c r="C1038" s="1"/>
      <x:c r="D1038" s="1"/>
      <x:c r="E1038" s="1"/>
      <x:c r="F1038" s="11"/>
    </x:row>
    <x:row r="1039" spans="1:6" x14ac:dyDescent="0.25">
      <x:c r="A1039" s="1"/>
      <x:c r="B1039" s="1"/>
      <x:c r="C1039" s="1"/>
      <x:c r="D1039" s="1"/>
      <x:c r="E1039" s="1"/>
      <x:c r="F1039" s="11"/>
    </x:row>
    <x:row r="1040" spans="1:6" x14ac:dyDescent="0.25">
      <x:c r="A1040" s="1"/>
      <x:c r="B1040" s="1"/>
      <x:c r="C1040" s="1"/>
      <x:c r="D1040" s="1"/>
      <x:c r="E1040" s="1"/>
      <x:c r="F1040" s="11"/>
    </x:row>
    <x:row r="1041" spans="1:6" x14ac:dyDescent="0.25">
      <x:c r="A1041" s="1"/>
      <x:c r="B1041" s="1"/>
      <x:c r="C1041" s="1"/>
      <x:c r="D1041" s="1"/>
      <x:c r="E1041" s="1"/>
      <x:c r="F1041" s="11"/>
    </x:row>
    <x:row r="1042" spans="1:6" x14ac:dyDescent="0.25">
      <x:c r="A1042" s="1"/>
      <x:c r="B1042" s="1"/>
      <x:c r="C1042" s="1"/>
      <x:c r="D1042" s="1"/>
      <x:c r="E1042" s="1"/>
      <x:c r="F1042" s="11"/>
    </x:row>
    <x:row r="1043" spans="1:6" x14ac:dyDescent="0.25">
      <x:c r="A1043" s="1"/>
      <x:c r="B1043" s="1"/>
      <x:c r="C1043" s="1"/>
      <x:c r="D1043" s="1"/>
      <x:c r="E1043" s="1"/>
      <x:c r="F1043" s="11"/>
    </x:row>
    <x:row r="1044" spans="1:6" x14ac:dyDescent="0.25">
      <x:c r="A1044" s="1"/>
      <x:c r="B1044" s="1"/>
      <x:c r="C1044" s="1"/>
      <x:c r="D1044" s="1"/>
      <x:c r="E1044" s="1"/>
      <x:c r="F1044" s="11"/>
    </x:row>
    <x:row r="1045" spans="1:6" x14ac:dyDescent="0.25">
      <x:c r="A1045" s="1"/>
      <x:c r="B1045" s="1"/>
      <x:c r="C1045" s="1"/>
      <x:c r="D1045" s="1"/>
      <x:c r="E1045" s="1"/>
      <x:c r="F1045" s="11"/>
    </x:row>
    <x:row r="1046" spans="1:6" x14ac:dyDescent="0.25">
      <x:c r="A1046" s="1"/>
      <x:c r="B1046" s="1"/>
      <x:c r="C1046" s="1"/>
      <x:c r="D1046" s="1"/>
      <x:c r="E1046" s="1"/>
      <x:c r="F1046" s="11"/>
    </x:row>
    <x:row r="1047" spans="1:6" x14ac:dyDescent="0.25">
      <x:c r="A1047" s="1"/>
      <x:c r="B1047" s="1"/>
      <x:c r="C1047" s="1"/>
      <x:c r="D1047" s="1"/>
      <x:c r="E1047" s="1"/>
      <x:c r="F1047" s="11"/>
    </x:row>
    <x:row r="1048" spans="1:6" x14ac:dyDescent="0.25">
      <x:c r="A1048" s="1"/>
      <x:c r="B1048" s="1"/>
      <x:c r="C1048" s="1"/>
      <x:c r="D1048" s="1"/>
      <x:c r="E1048" s="1"/>
      <x:c r="F1048" s="11"/>
    </x:row>
    <x:row r="1049" spans="1:6" x14ac:dyDescent="0.25">
      <x:c r="A1049" s="1"/>
      <x:c r="B1049" s="1"/>
      <x:c r="C1049" s="1"/>
      <x:c r="D1049" s="1"/>
      <x:c r="E1049" s="1"/>
      <x:c r="F1049" s="11"/>
    </x:row>
    <x:row r="1050" spans="1:6" x14ac:dyDescent="0.25">
      <x:c r="A1050" s="1"/>
      <x:c r="B1050" s="1"/>
      <x:c r="C1050" s="1"/>
      <x:c r="D1050" s="1"/>
      <x:c r="E1050" s="1"/>
      <x:c r="F1050" s="11"/>
    </x:row>
    <x:row r="1051" spans="1:6" x14ac:dyDescent="0.25">
      <x:c r="A1051" s="1"/>
      <x:c r="B1051" s="1"/>
      <x:c r="C1051" s="1"/>
      <x:c r="D1051" s="1"/>
      <x:c r="E1051" s="1"/>
      <x:c r="F1051" s="11"/>
    </x:row>
    <x:row r="1052" spans="1:6" x14ac:dyDescent="0.25">
      <x:c r="A1052" s="1"/>
      <x:c r="B1052" s="1"/>
      <x:c r="C1052" s="1"/>
      <x:c r="D1052" s="1"/>
      <x:c r="E1052" s="1"/>
      <x:c r="F1052" s="11"/>
    </x:row>
    <x:row r="1053" spans="1:6" x14ac:dyDescent="0.25">
      <x:c r="A1053" s="1"/>
      <x:c r="B1053" s="1"/>
      <x:c r="C1053" s="1"/>
      <x:c r="D1053" s="1"/>
      <x:c r="E1053" s="1"/>
      <x:c r="F1053" s="11"/>
    </x:row>
    <x:row r="1054" spans="1:6" x14ac:dyDescent="0.25">
      <x:c r="A1054" s="1"/>
      <x:c r="B1054" s="1"/>
      <x:c r="C1054" s="1"/>
      <x:c r="D1054" s="1"/>
      <x:c r="E1054" s="1"/>
      <x:c r="F1054" s="11"/>
    </x:row>
    <x:row r="1055" spans="1:6" x14ac:dyDescent="0.25">
      <x:c r="A1055" s="1"/>
      <x:c r="B1055" s="1"/>
      <x:c r="C1055" s="1"/>
      <x:c r="D1055" s="1"/>
      <x:c r="E1055" s="1"/>
      <x:c r="F1055" s="11"/>
    </x:row>
    <x:row r="1056" spans="1:6" x14ac:dyDescent="0.25">
      <x:c r="A1056" s="1"/>
      <x:c r="B1056" s="1"/>
      <x:c r="C1056" s="1"/>
      <x:c r="D1056" s="1"/>
      <x:c r="E1056" s="1"/>
      <x:c r="F1056" s="11"/>
    </x:row>
    <x:row r="1057" spans="1:6" x14ac:dyDescent="0.25">
      <x:c r="A1057" s="1"/>
      <x:c r="B1057" s="1"/>
      <x:c r="C1057" s="1"/>
      <x:c r="D1057" s="1"/>
      <x:c r="E1057" s="1"/>
      <x:c r="F1057" s="11"/>
    </x:row>
    <x:row r="1058" spans="1:6" x14ac:dyDescent="0.25">
      <x:c r="A1058" s="1"/>
      <x:c r="B1058" s="1"/>
      <x:c r="C1058" s="1"/>
      <x:c r="D1058" s="1"/>
      <x:c r="E1058" s="1"/>
      <x:c r="F1058" s="11"/>
    </x:row>
    <x:row r="1059" spans="1:6" x14ac:dyDescent="0.25">
      <x:c r="A1059" s="1"/>
      <x:c r="B1059" s="1"/>
      <x:c r="C1059" s="1"/>
      <x:c r="D1059" s="1"/>
      <x:c r="E1059" s="1"/>
      <x:c r="F1059" s="11"/>
    </x:row>
    <x:row r="1060" spans="1:6" x14ac:dyDescent="0.25">
      <x:c r="A1060" s="1"/>
      <x:c r="B1060" s="1"/>
      <x:c r="C1060" s="1"/>
      <x:c r="D1060" s="1"/>
      <x:c r="E1060" s="1"/>
      <x:c r="F1060" s="11"/>
    </x:row>
    <x:row r="1061" spans="1:6" x14ac:dyDescent="0.25">
      <x:c r="A1061" s="1"/>
      <x:c r="B1061" s="1"/>
      <x:c r="C1061" s="1"/>
      <x:c r="D1061" s="1"/>
      <x:c r="E1061" s="1"/>
      <x:c r="F1061" s="11"/>
    </x:row>
    <x:row r="1062" spans="1:6" x14ac:dyDescent="0.25">
      <x:c r="A1062" s="1"/>
      <x:c r="B1062" s="1"/>
      <x:c r="C1062" s="1"/>
      <x:c r="D1062" s="1"/>
      <x:c r="E1062" s="1"/>
      <x:c r="F1062" s="11"/>
    </x:row>
    <x:row r="1063" spans="1:6" x14ac:dyDescent="0.25">
      <x:c r="A1063" s="1"/>
      <x:c r="B1063" s="1"/>
      <x:c r="C1063" s="1"/>
      <x:c r="D1063" s="1"/>
      <x:c r="E1063" s="1"/>
      <x:c r="F1063" s="11"/>
    </x:row>
    <x:row r="1064" spans="1:6" x14ac:dyDescent="0.25">
      <x:c r="A1064" s="1"/>
      <x:c r="B1064" s="1"/>
      <x:c r="C1064" s="1"/>
      <x:c r="D1064" s="1"/>
      <x:c r="E1064" s="1"/>
      <x:c r="F1064" s="11"/>
    </x:row>
    <x:row r="1065" spans="1:6" x14ac:dyDescent="0.25">
      <x:c r="A1065" s="1"/>
      <x:c r="B1065" s="1"/>
      <x:c r="C1065" s="1"/>
      <x:c r="D1065" s="1"/>
      <x:c r="E1065" s="1"/>
      <x:c r="F1065" s="11"/>
    </x:row>
    <x:row r="1066" spans="1:6" x14ac:dyDescent="0.25">
      <x:c r="A1066" s="1"/>
      <x:c r="B1066" s="1"/>
      <x:c r="C1066" s="1"/>
      <x:c r="D1066" s="1"/>
      <x:c r="E1066" s="1"/>
      <x:c r="F1066" s="11"/>
    </x:row>
    <x:row r="1067" spans="1:6" x14ac:dyDescent="0.25">
      <x:c r="A1067" s="1"/>
      <x:c r="B1067" s="1"/>
      <x:c r="C1067" s="1"/>
      <x:c r="D1067" s="1"/>
      <x:c r="E1067" s="1"/>
      <x:c r="F1067" s="11"/>
    </x:row>
    <x:row r="1068" spans="1:6" x14ac:dyDescent="0.25">
      <x:c r="A1068" s="1"/>
      <x:c r="B1068" s="1"/>
      <x:c r="C1068" s="1"/>
      <x:c r="D1068" s="1"/>
      <x:c r="E1068" s="1"/>
      <x:c r="F1068" s="11"/>
    </x:row>
    <x:row r="1069" spans="1:6" x14ac:dyDescent="0.25">
      <x:c r="A1069" s="1"/>
      <x:c r="B1069" s="1"/>
      <x:c r="C1069" s="1"/>
      <x:c r="D1069" s="1"/>
      <x:c r="E1069" s="1"/>
      <x:c r="F1069" s="11"/>
    </x:row>
    <x:row r="1070" spans="1:6" x14ac:dyDescent="0.25">
      <x:c r="A1070" s="1"/>
      <x:c r="B1070" s="1"/>
      <x:c r="C1070" s="1"/>
      <x:c r="D1070" s="1"/>
      <x:c r="E1070" s="1"/>
      <x:c r="F1070" s="11"/>
    </x:row>
    <x:row r="1071" spans="1:6" x14ac:dyDescent="0.25">
      <x:c r="A1071" s="1"/>
      <x:c r="B1071" s="1"/>
      <x:c r="C1071" s="1"/>
      <x:c r="D1071" s="1"/>
      <x:c r="E1071" s="1"/>
      <x:c r="F1071" s="11"/>
    </x:row>
    <x:row r="1072" spans="1:6" x14ac:dyDescent="0.25">
      <x:c r="A1072" s="1"/>
      <x:c r="B1072" s="1"/>
      <x:c r="C1072" s="1"/>
      <x:c r="D1072" s="1"/>
      <x:c r="E1072" s="1"/>
      <x:c r="F1072" s="11"/>
    </x:row>
    <x:row r="1073" spans="1:6" x14ac:dyDescent="0.25">
      <x:c r="A1073" s="1"/>
      <x:c r="B1073" s="1"/>
      <x:c r="C1073" s="1"/>
      <x:c r="D1073" s="1"/>
      <x:c r="E1073" s="1"/>
      <x:c r="F1073" s="11"/>
    </x:row>
    <x:row r="1074" spans="1:6" x14ac:dyDescent="0.25">
      <x:c r="A1074" s="1"/>
      <x:c r="B1074" s="1"/>
      <x:c r="C1074" s="1"/>
      <x:c r="D1074" s="1"/>
      <x:c r="E1074" s="1"/>
      <x:c r="F1074" s="11"/>
    </x:row>
    <x:row r="1075" spans="1:6" x14ac:dyDescent="0.25">
      <x:c r="A1075" s="1"/>
      <x:c r="B1075" s="1"/>
      <x:c r="C1075" s="1"/>
      <x:c r="D1075" s="1"/>
      <x:c r="E1075" s="1"/>
      <x:c r="F1075" s="11"/>
    </x:row>
    <x:row r="1076" spans="1:6" x14ac:dyDescent="0.25">
      <x:c r="A1076" s="1"/>
      <x:c r="B1076" s="1"/>
      <x:c r="C1076" s="1"/>
      <x:c r="D1076" s="1"/>
      <x:c r="E1076" s="1"/>
      <x:c r="F1076" s="11"/>
    </x:row>
    <x:row r="1077" spans="1:6" x14ac:dyDescent="0.25">
      <x:c r="A1077" s="1"/>
      <x:c r="B1077" s="1"/>
      <x:c r="C1077" s="1"/>
      <x:c r="D1077" s="1"/>
      <x:c r="E1077" s="1"/>
      <x:c r="F1077" s="11"/>
    </x:row>
    <x:row r="1078" spans="1:6" x14ac:dyDescent="0.25">
      <x:c r="A1078" s="1"/>
      <x:c r="B1078" s="1"/>
      <x:c r="C1078" s="1"/>
      <x:c r="D1078" s="1"/>
      <x:c r="E1078" s="1"/>
      <x:c r="F1078" s="11"/>
    </x:row>
    <x:row r="1079" spans="1:6" x14ac:dyDescent="0.25">
      <x:c r="A1079" s="1"/>
      <x:c r="B1079" s="1"/>
      <x:c r="C1079" s="1"/>
      <x:c r="D1079" s="1"/>
      <x:c r="E1079" s="1"/>
      <x:c r="F1079" s="11"/>
    </x:row>
    <x:row r="1080" spans="1:6" x14ac:dyDescent="0.25">
      <x:c r="A1080" s="1"/>
      <x:c r="B1080" s="1"/>
      <x:c r="C1080" s="1"/>
      <x:c r="D1080" s="1"/>
      <x:c r="E1080" s="1"/>
      <x:c r="F1080" s="11"/>
    </x:row>
    <x:row r="1081" spans="1:6" x14ac:dyDescent="0.25">
      <x:c r="A1081" s="1"/>
      <x:c r="B1081" s="1"/>
      <x:c r="C1081" s="1"/>
      <x:c r="D1081" s="1"/>
      <x:c r="E1081" s="1"/>
      <x:c r="F1081" s="11"/>
    </x:row>
    <x:row r="1082" spans="1:6" x14ac:dyDescent="0.25">
      <x:c r="A1082" s="1"/>
      <x:c r="B1082" s="1"/>
      <x:c r="C1082" s="1"/>
      <x:c r="D1082" s="1"/>
      <x:c r="E1082" s="1"/>
      <x:c r="F1082" s="11"/>
    </x:row>
    <x:row r="1083" spans="1:6" x14ac:dyDescent="0.25">
      <x:c r="A1083" s="1"/>
      <x:c r="B1083" s="1"/>
      <x:c r="C1083" s="1"/>
      <x:c r="D1083" s="1"/>
      <x:c r="E1083" s="1"/>
      <x:c r="F1083" s="11"/>
    </x:row>
    <x:row r="1084" spans="1:6" x14ac:dyDescent="0.25">
      <x:c r="A1084" s="1"/>
      <x:c r="B1084" s="1"/>
      <x:c r="C1084" s="1"/>
      <x:c r="D1084" s="1"/>
      <x:c r="E1084" s="1"/>
      <x:c r="F1084" s="11"/>
    </x:row>
    <x:row r="1085" spans="1:6" x14ac:dyDescent="0.25">
      <x:c r="A1085" s="1"/>
      <x:c r="B1085" s="1"/>
      <x:c r="C1085" s="1"/>
      <x:c r="D1085" s="1"/>
      <x:c r="E1085" s="1"/>
      <x:c r="F1085" s="11"/>
    </x:row>
    <x:row r="1086" spans="1:6" x14ac:dyDescent="0.25">
      <x:c r="A1086" s="1"/>
      <x:c r="B1086" s="1"/>
      <x:c r="C1086" s="1"/>
      <x:c r="D1086" s="1"/>
      <x:c r="E1086" s="1"/>
      <x:c r="F1086" s="11"/>
    </x:row>
    <x:row r="1087" spans="1:6" x14ac:dyDescent="0.25">
      <x:c r="A1087" s="1"/>
      <x:c r="B1087" s="1"/>
      <x:c r="C1087" s="1"/>
      <x:c r="D1087" s="1"/>
      <x:c r="E1087" s="1"/>
      <x:c r="F1087" s="11"/>
    </x:row>
    <x:row r="1088" spans="1:6" x14ac:dyDescent="0.25">
      <x:c r="A1088" s="1"/>
      <x:c r="B1088" s="1"/>
      <x:c r="C1088" s="1"/>
      <x:c r="D1088" s="1"/>
      <x:c r="E1088" s="1"/>
      <x:c r="F1088" s="11"/>
    </x:row>
    <x:row r="1089" spans="1:6" x14ac:dyDescent="0.25">
      <x:c r="A1089" s="1"/>
      <x:c r="B1089" s="1"/>
      <x:c r="C1089" s="1"/>
      <x:c r="D1089" s="1"/>
      <x:c r="E1089" s="1"/>
      <x:c r="F1089" s="11"/>
    </x:row>
    <x:row r="1090" spans="1:6" x14ac:dyDescent="0.25">
      <x:c r="A1090" s="1"/>
      <x:c r="B1090" s="1"/>
      <x:c r="C1090" s="1"/>
      <x:c r="D1090" s="1"/>
      <x:c r="E1090" s="1"/>
      <x:c r="F1090" s="11"/>
    </x:row>
    <x:row r="1091" spans="1:6" x14ac:dyDescent="0.25">
      <x:c r="A1091" s="1"/>
      <x:c r="B1091" s="1"/>
      <x:c r="C1091" s="1"/>
      <x:c r="D1091" s="1"/>
      <x:c r="E1091" s="1"/>
      <x:c r="F1091" s="11"/>
    </x:row>
    <x:row r="1092" spans="1:6" x14ac:dyDescent="0.25">
      <x:c r="A1092" s="1"/>
      <x:c r="B1092" s="1"/>
      <x:c r="C1092" s="1"/>
      <x:c r="D1092" s="1"/>
      <x:c r="E1092" s="1"/>
      <x:c r="F1092" s="11"/>
    </x:row>
    <x:row r="1093" spans="1:6" x14ac:dyDescent="0.25">
      <x:c r="A1093" s="1"/>
      <x:c r="B1093" s="1"/>
      <x:c r="C1093" s="1"/>
      <x:c r="D1093" s="1"/>
      <x:c r="E1093" s="1"/>
      <x:c r="F1093" s="11"/>
    </x:row>
    <x:row r="1094" spans="1:6" x14ac:dyDescent="0.25">
      <x:c r="A1094" s="1"/>
      <x:c r="B1094" s="1"/>
      <x:c r="C1094" s="1"/>
      <x:c r="D1094" s="1"/>
      <x:c r="E1094" s="1"/>
      <x:c r="F1094" s="11"/>
    </x:row>
    <x:row r="1095" spans="1:6" x14ac:dyDescent="0.25">
      <x:c r="A1095" s="1"/>
      <x:c r="B1095" s="1"/>
      <x:c r="C1095" s="1"/>
      <x:c r="D1095" s="1"/>
      <x:c r="E1095" s="1"/>
      <x:c r="F1095" s="11"/>
    </x:row>
    <x:row r="1096" spans="1:6" x14ac:dyDescent="0.25">
      <x:c r="A1096" s="1"/>
      <x:c r="B1096" s="1"/>
      <x:c r="C1096" s="1"/>
      <x:c r="D1096" s="1"/>
      <x:c r="E1096" s="1"/>
      <x:c r="F1096" s="11"/>
    </x:row>
    <x:row r="1097" spans="1:6" x14ac:dyDescent="0.25">
      <x:c r="A1097" s="1"/>
      <x:c r="B1097" s="1"/>
      <x:c r="C1097" s="1"/>
      <x:c r="D1097" s="1"/>
      <x:c r="E1097" s="1"/>
      <x:c r="F1097" s="11"/>
    </x:row>
    <x:row r="1098" spans="1:6" x14ac:dyDescent="0.25">
      <x:c r="A1098" s="1"/>
      <x:c r="B1098" s="1"/>
      <x:c r="C1098" s="1"/>
      <x:c r="D1098" s="1"/>
      <x:c r="E1098" s="1"/>
      <x:c r="F1098" s="11"/>
    </x:row>
    <x:row r="1099" spans="1:6" x14ac:dyDescent="0.25">
      <x:c r="A1099" s="1"/>
      <x:c r="B1099" s="1"/>
      <x:c r="C1099" s="1"/>
      <x:c r="D1099" s="1"/>
      <x:c r="E1099" s="1"/>
      <x:c r="F1099" s="11"/>
    </x:row>
    <x:row r="1100" spans="1:6" x14ac:dyDescent="0.25">
      <x:c r="A1100" s="1"/>
      <x:c r="B1100" s="1"/>
      <x:c r="C1100" s="1"/>
      <x:c r="D1100" s="1"/>
      <x:c r="E1100" s="1"/>
      <x:c r="F1100" s="11"/>
    </x:row>
    <x:row r="1101" spans="1:6" x14ac:dyDescent="0.25">
      <x:c r="A1101" s="1"/>
      <x:c r="B1101" s="1"/>
      <x:c r="C1101" s="1"/>
      <x:c r="D1101" s="1"/>
      <x:c r="E1101" s="1"/>
      <x:c r="F1101" s="11"/>
    </x:row>
    <x:row r="1102" spans="1:6" x14ac:dyDescent="0.25">
      <x:c r="A1102" s="1"/>
      <x:c r="B1102" s="1"/>
      <x:c r="C1102" s="1"/>
      <x:c r="D1102" s="1"/>
      <x:c r="E1102" s="1"/>
      <x:c r="F1102" s="11"/>
    </x:row>
    <x:row r="1103" spans="1:6" x14ac:dyDescent="0.25">
      <x:c r="A1103" s="1"/>
      <x:c r="B1103" s="1"/>
      <x:c r="C1103" s="1"/>
      <x:c r="D1103" s="1"/>
      <x:c r="E1103" s="1"/>
      <x:c r="F1103" s="11"/>
    </x:row>
    <x:row r="1104" spans="1:6" x14ac:dyDescent="0.25">
      <x:c r="A1104" s="1"/>
      <x:c r="B1104" s="1"/>
      <x:c r="C1104" s="1"/>
      <x:c r="D1104" s="1"/>
      <x:c r="E1104" s="1"/>
      <x:c r="F1104" s="11"/>
    </x:row>
    <x:row r="1105" spans="1:6" x14ac:dyDescent="0.25">
      <x:c r="A1105" s="1"/>
      <x:c r="B1105" s="1"/>
      <x:c r="C1105" s="1"/>
      <x:c r="D1105" s="1"/>
      <x:c r="E1105" s="1"/>
      <x:c r="F1105" s="11"/>
    </x:row>
    <x:row r="1106" spans="1:6" x14ac:dyDescent="0.25">
      <x:c r="A1106" s="1"/>
      <x:c r="B1106" s="1"/>
      <x:c r="C1106" s="1"/>
      <x:c r="D1106" s="1"/>
      <x:c r="E1106" s="1"/>
      <x:c r="F1106" s="11"/>
    </x:row>
    <x:row r="1107" spans="1:6" x14ac:dyDescent="0.25">
      <x:c r="A1107" s="1"/>
      <x:c r="B1107" s="1"/>
      <x:c r="C1107" s="1"/>
      <x:c r="D1107" s="1"/>
      <x:c r="E1107" s="1"/>
      <x:c r="F1107" s="11"/>
    </x:row>
    <x:row r="1108" spans="1:6" x14ac:dyDescent="0.25">
      <x:c r="A1108" s="1"/>
      <x:c r="B1108" s="1"/>
      <x:c r="C1108" s="1"/>
      <x:c r="D1108" s="1"/>
      <x:c r="E1108" s="1"/>
      <x:c r="F1108" s="11"/>
    </x:row>
    <x:row r="1109" spans="1:6" x14ac:dyDescent="0.25">
      <x:c r="A1109" s="1"/>
      <x:c r="B1109" s="1"/>
      <x:c r="C1109" s="1"/>
      <x:c r="D1109" s="1"/>
      <x:c r="E1109" s="1"/>
      <x:c r="F1109" s="11"/>
    </x:row>
    <x:row r="1110" spans="1:6" x14ac:dyDescent="0.25">
      <x:c r="A1110" s="1"/>
      <x:c r="B1110" s="1"/>
      <x:c r="C1110" s="1"/>
      <x:c r="D1110" s="1"/>
      <x:c r="E1110" s="1"/>
      <x:c r="F1110" s="11"/>
    </x:row>
    <x:row r="1111" spans="1:6" x14ac:dyDescent="0.25">
      <x:c r="A1111" s="1"/>
      <x:c r="B1111" s="1"/>
      <x:c r="C1111" s="1"/>
      <x:c r="D1111" s="1"/>
      <x:c r="E1111" s="1"/>
      <x:c r="F1111" s="11"/>
    </x:row>
    <x:row r="1112" spans="1:6" x14ac:dyDescent="0.25">
      <x:c r="A1112" s="1"/>
      <x:c r="B1112" s="1"/>
      <x:c r="C1112" s="1"/>
      <x:c r="D1112" s="1"/>
      <x:c r="E1112" s="1"/>
      <x:c r="F1112" s="11"/>
    </x:row>
    <x:row r="1113" spans="1:6" x14ac:dyDescent="0.25">
      <x:c r="A1113" s="1"/>
      <x:c r="B1113" s="1"/>
      <x:c r="C1113" s="1"/>
      <x:c r="D1113" s="1"/>
      <x:c r="E1113" s="1"/>
      <x:c r="F1113" s="11"/>
    </x:row>
    <x:row r="1114" spans="1:6" x14ac:dyDescent="0.25">
      <x:c r="A1114" s="1"/>
      <x:c r="B1114" s="1"/>
      <x:c r="C1114" s="1"/>
      <x:c r="D1114" s="1"/>
      <x:c r="E1114" s="1"/>
      <x:c r="F1114" s="11"/>
    </x:row>
    <x:row r="1115" spans="1:6" x14ac:dyDescent="0.25">
      <x:c r="A1115" s="1"/>
      <x:c r="B1115" s="1"/>
      <x:c r="C1115" s="1"/>
      <x:c r="D1115" s="1"/>
      <x:c r="E1115" s="1"/>
      <x:c r="F1115" s="11"/>
    </x:row>
    <x:row r="1116" spans="1:6" x14ac:dyDescent="0.25">
      <x:c r="A1116" s="1"/>
      <x:c r="B1116" s="1"/>
      <x:c r="C1116" s="1"/>
      <x:c r="D1116" s="1"/>
      <x:c r="E1116" s="1"/>
      <x:c r="F1116" s="11"/>
    </x:row>
    <x:row r="1117" spans="1:6" x14ac:dyDescent="0.25">
      <x:c r="A1117" s="1"/>
      <x:c r="B1117" s="1"/>
      <x:c r="C1117" s="1"/>
      <x:c r="D1117" s="1"/>
      <x:c r="E1117" s="1"/>
      <x:c r="F1117" s="11"/>
    </x:row>
    <x:row r="1118" spans="1:6" x14ac:dyDescent="0.25">
      <x:c r="A1118" s="1"/>
      <x:c r="B1118" s="1"/>
      <x:c r="C1118" s="1"/>
      <x:c r="D1118" s="1"/>
      <x:c r="E1118" s="1"/>
      <x:c r="F1118" s="11"/>
    </x:row>
    <x:row r="1119" spans="1:6" x14ac:dyDescent="0.25">
      <x:c r="A1119" s="1"/>
      <x:c r="B1119" s="1"/>
      <x:c r="C1119" s="1"/>
      <x:c r="D1119" s="1"/>
      <x:c r="E1119" s="1"/>
      <x:c r="F1119" s="11"/>
    </x:row>
    <x:row r="1120" spans="1:6" x14ac:dyDescent="0.25">
      <x:c r="A1120" s="1"/>
      <x:c r="B1120" s="1"/>
      <x:c r="C1120" s="1"/>
      <x:c r="D1120" s="1"/>
      <x:c r="E1120" s="1"/>
      <x:c r="F1120" s="11"/>
    </x:row>
    <x:row r="1121" spans="1:6" x14ac:dyDescent="0.25">
      <x:c r="A1121" s="1"/>
      <x:c r="B1121" s="1"/>
      <x:c r="C1121" s="1"/>
      <x:c r="D1121" s="1"/>
      <x:c r="E1121" s="1"/>
      <x:c r="F1121" s="11"/>
    </x:row>
    <x:row r="1122" spans="1:6" x14ac:dyDescent="0.25">
      <x:c r="A1122" s="1"/>
      <x:c r="B1122" s="1"/>
      <x:c r="C1122" s="1"/>
      <x:c r="D1122" s="1"/>
      <x:c r="E1122" s="1"/>
      <x:c r="F1122" s="11"/>
    </x:row>
    <x:row r="1123" spans="1:6" x14ac:dyDescent="0.25">
      <x:c r="A1123" s="1"/>
      <x:c r="B1123" s="1"/>
      <x:c r="C1123" s="1"/>
      <x:c r="D1123" s="1"/>
      <x:c r="E1123" s="1"/>
      <x:c r="F1123" s="11"/>
    </x:row>
    <x:row r="1124" spans="1:6" x14ac:dyDescent="0.25">
      <x:c r="A1124" s="1"/>
      <x:c r="B1124" s="1"/>
      <x:c r="C1124" s="1"/>
      <x:c r="D1124" s="1"/>
      <x:c r="E1124" s="1"/>
      <x:c r="F1124" s="11"/>
    </x:row>
    <x:row r="1125" spans="1:6" x14ac:dyDescent="0.25">
      <x:c r="A1125" s="1"/>
      <x:c r="B1125" s="1"/>
      <x:c r="C1125" s="1"/>
      <x:c r="D1125" s="1"/>
      <x:c r="E1125" s="1"/>
      <x:c r="F1125" s="11"/>
    </x:row>
    <x:row r="1126" spans="1:6" x14ac:dyDescent="0.25">
      <x:c r="A1126" s="1"/>
      <x:c r="B1126" s="1"/>
      <x:c r="C1126" s="1"/>
      <x:c r="D1126" s="1"/>
      <x:c r="E1126" s="1"/>
      <x:c r="F1126" s="11"/>
    </x:row>
    <x:row r="1127" spans="1:6" x14ac:dyDescent="0.25">
      <x:c r="A1127" s="1"/>
      <x:c r="B1127" s="1"/>
      <x:c r="C1127" s="1"/>
      <x:c r="D1127" s="1"/>
      <x:c r="E1127" s="1"/>
      <x:c r="F1127" s="11"/>
    </x:row>
    <x:row r="1128" spans="1:6" x14ac:dyDescent="0.25">
      <x:c r="A1128" s="1"/>
      <x:c r="B1128" s="1"/>
      <x:c r="C1128" s="1"/>
      <x:c r="D1128" s="1"/>
      <x:c r="E1128" s="1"/>
      <x:c r="F1128" s="11"/>
    </x:row>
    <x:row r="1129" spans="1:6" x14ac:dyDescent="0.25">
      <x:c r="A1129" s="1"/>
      <x:c r="B1129" s="1"/>
      <x:c r="C1129" s="1"/>
      <x:c r="D1129" s="1"/>
      <x:c r="E1129" s="1"/>
      <x:c r="F1129" s="11"/>
    </x:row>
    <x:row r="1130" spans="1:6" x14ac:dyDescent="0.25">
      <x:c r="A1130" s="1"/>
      <x:c r="B1130" s="1"/>
      <x:c r="C1130" s="1"/>
      <x:c r="D1130" s="1"/>
      <x:c r="E1130" s="1"/>
      <x:c r="F1130" s="11"/>
    </x:row>
    <x:row r="1131" spans="1:6" x14ac:dyDescent="0.25">
      <x:c r="A1131" s="1"/>
      <x:c r="B1131" s="1"/>
      <x:c r="C1131" s="1"/>
      <x:c r="D1131" s="1"/>
      <x:c r="E1131" s="1"/>
      <x:c r="F1131" s="11"/>
    </x:row>
    <x:row r="1132" spans="1:6" x14ac:dyDescent="0.25">
      <x:c r="A1132" s="1"/>
      <x:c r="B1132" s="1"/>
      <x:c r="C1132" s="1"/>
      <x:c r="D1132" s="1"/>
      <x:c r="E1132" s="1"/>
      <x:c r="F1132" s="11"/>
    </x:row>
    <x:row r="1133" spans="1:6" x14ac:dyDescent="0.25">
      <x:c r="A1133" s="1"/>
      <x:c r="B1133" s="1"/>
      <x:c r="C1133" s="1"/>
      <x:c r="D1133" s="1"/>
      <x:c r="E1133" s="1"/>
      <x:c r="F1133" s="11"/>
    </x:row>
    <x:row r="1134" spans="1:6" x14ac:dyDescent="0.25">
      <x:c r="A1134" s="1"/>
      <x:c r="B1134" s="1"/>
      <x:c r="C1134" s="1"/>
      <x:c r="D1134" s="1"/>
      <x:c r="E1134" s="1"/>
      <x:c r="F1134" s="11"/>
    </x:row>
    <x:row r="1135" spans="1:6" x14ac:dyDescent="0.25">
      <x:c r="A1135" s="1"/>
      <x:c r="B1135" s="1"/>
      <x:c r="C1135" s="1"/>
      <x:c r="D1135" s="1"/>
      <x:c r="E1135" s="1"/>
      <x:c r="F1135" s="11"/>
    </x:row>
    <x:row r="1136" spans="1:6" x14ac:dyDescent="0.25">
      <x:c r="A1136" s="1"/>
      <x:c r="B1136" s="1"/>
      <x:c r="C1136" s="1"/>
      <x:c r="D1136" s="1"/>
      <x:c r="E1136" s="1"/>
      <x:c r="F1136" s="11"/>
    </x:row>
    <x:row r="1137" spans="1:6" x14ac:dyDescent="0.25">
      <x:c r="A1137" s="1"/>
      <x:c r="B1137" s="1"/>
      <x:c r="C1137" s="1"/>
      <x:c r="D1137" s="1"/>
      <x:c r="E1137" s="1"/>
      <x:c r="F1137" s="11"/>
    </x:row>
    <x:row r="1138" spans="1:6" x14ac:dyDescent="0.25">
      <x:c r="A1138" s="1"/>
      <x:c r="B1138" s="1"/>
      <x:c r="C1138" s="1"/>
      <x:c r="D1138" s="1"/>
      <x:c r="E1138" s="1"/>
      <x:c r="F1138" s="11"/>
    </x:row>
    <x:row r="1139" spans="1:6" x14ac:dyDescent="0.25">
      <x:c r="A1139" s="1"/>
      <x:c r="B1139" s="1"/>
      <x:c r="C1139" s="1"/>
      <x:c r="D1139" s="1"/>
      <x:c r="E1139" s="1"/>
      <x:c r="F1139" s="11"/>
    </x:row>
    <x:row r="1140" spans="1:6" x14ac:dyDescent="0.25">
      <x:c r="A1140" s="1"/>
      <x:c r="B1140" s="1"/>
      <x:c r="C1140" s="1"/>
      <x:c r="D1140" s="1"/>
      <x:c r="E1140" s="1"/>
      <x:c r="F1140" s="11"/>
    </x:row>
    <x:row r="1141" spans="1:6" x14ac:dyDescent="0.25">
      <x:c r="A1141" s="1"/>
      <x:c r="B1141" s="1"/>
      <x:c r="C1141" s="1"/>
      <x:c r="D1141" s="1"/>
      <x:c r="E1141" s="1"/>
      <x:c r="F1141" s="11"/>
    </x:row>
    <x:row r="1142" spans="1:6" x14ac:dyDescent="0.25">
      <x:c r="A1142" s="1"/>
      <x:c r="B1142" s="1"/>
      <x:c r="C1142" s="1"/>
      <x:c r="D1142" s="1"/>
      <x:c r="E1142" s="1"/>
      <x:c r="F1142" s="11"/>
    </x:row>
    <x:row r="1143" spans="1:6" x14ac:dyDescent="0.25">
      <x:c r="A1143" s="1"/>
      <x:c r="B1143" s="1"/>
      <x:c r="C1143" s="1"/>
      <x:c r="D1143" s="1"/>
      <x:c r="E1143" s="1"/>
      <x:c r="F1143" s="11"/>
    </x:row>
    <x:row r="1144" spans="1:6" x14ac:dyDescent="0.25">
      <x:c r="A1144" s="1"/>
      <x:c r="B1144" s="1"/>
      <x:c r="C1144" s="1"/>
      <x:c r="D1144" s="1"/>
      <x:c r="E1144" s="1"/>
      <x:c r="F1144" s="11"/>
    </x:row>
    <x:row r="1145" spans="1:6" x14ac:dyDescent="0.25">
      <x:c r="A1145" s="1"/>
      <x:c r="B1145" s="1"/>
      <x:c r="C1145" s="1"/>
      <x:c r="D1145" s="1"/>
      <x:c r="E1145" s="1"/>
      <x:c r="F1145" s="11"/>
    </x:row>
    <x:row r="1146" spans="1:6" x14ac:dyDescent="0.25">
      <x:c r="A1146" s="1"/>
      <x:c r="B1146" s="1"/>
      <x:c r="C1146" s="1"/>
      <x:c r="D1146" s="1"/>
      <x:c r="E1146" s="1"/>
      <x:c r="F1146" s="11"/>
    </x:row>
    <x:row r="1147" spans="1:6" x14ac:dyDescent="0.25">
      <x:c r="A1147" s="1"/>
      <x:c r="B1147" s="1"/>
      <x:c r="C1147" s="1"/>
      <x:c r="D1147" s="1"/>
      <x:c r="E1147" s="1"/>
      <x:c r="F1147" s="11"/>
    </x:row>
    <x:row r="1148" spans="1:6" x14ac:dyDescent="0.25">
      <x:c r="A1148" s="1"/>
      <x:c r="B1148" s="1"/>
      <x:c r="C1148" s="1"/>
      <x:c r="D1148" s="1"/>
      <x:c r="E1148" s="1"/>
      <x:c r="F1148" s="11"/>
    </x:row>
    <x:row r="1149" spans="1:6" x14ac:dyDescent="0.25">
      <x:c r="A1149" s="1"/>
      <x:c r="B1149" s="1"/>
      <x:c r="C1149" s="1"/>
      <x:c r="D1149" s="1"/>
      <x:c r="E1149" s="1"/>
      <x:c r="F1149" s="11"/>
    </x:row>
    <x:row r="1150" spans="1:6" x14ac:dyDescent="0.25">
      <x:c r="A1150" s="1"/>
      <x:c r="B1150" s="1"/>
      <x:c r="C1150" s="1"/>
      <x:c r="D1150" s="1"/>
      <x:c r="E1150" s="1"/>
      <x:c r="F1150" s="11"/>
    </x:row>
    <x:row r="1151" spans="1:6" x14ac:dyDescent="0.25">
      <x:c r="A1151" s="1"/>
      <x:c r="B1151" s="1"/>
      <x:c r="C1151" s="1"/>
      <x:c r="D1151" s="1"/>
      <x:c r="E1151" s="1"/>
      <x:c r="F1151" s="11"/>
    </x:row>
    <x:row r="1152" spans="1:6" x14ac:dyDescent="0.25">
      <x:c r="A1152" s="1"/>
      <x:c r="B1152" s="1"/>
      <x:c r="C1152" s="1"/>
      <x:c r="D1152" s="1"/>
      <x:c r="E1152" s="1"/>
      <x:c r="F1152" s="11"/>
    </x:row>
    <x:row r="1153" spans="1:6" x14ac:dyDescent="0.25">
      <x:c r="A1153" s="1"/>
      <x:c r="B1153" s="1"/>
      <x:c r="C1153" s="1"/>
      <x:c r="D1153" s="1"/>
      <x:c r="E1153" s="1"/>
      <x:c r="F1153" s="11"/>
    </x:row>
    <x:row r="1154" spans="1:6" x14ac:dyDescent="0.25">
      <x:c r="A1154" s="1"/>
      <x:c r="B1154" s="1"/>
      <x:c r="C1154" s="1"/>
      <x:c r="D1154" s="1"/>
      <x:c r="E1154" s="1"/>
      <x:c r="F1154" s="11"/>
    </x:row>
    <x:row r="1155" spans="1:6" x14ac:dyDescent="0.25">
      <x:c r="A1155" s="1"/>
      <x:c r="B1155" s="1"/>
      <x:c r="C1155" s="1"/>
      <x:c r="D1155" s="1"/>
      <x:c r="E1155" s="1"/>
      <x:c r="F1155" s="11"/>
    </x:row>
    <x:row r="1156" spans="1:6" x14ac:dyDescent="0.25">
      <x:c r="A1156" s="1"/>
      <x:c r="B1156" s="1"/>
      <x:c r="C1156" s="1"/>
      <x:c r="D1156" s="1"/>
      <x:c r="E1156" s="1"/>
      <x:c r="F1156" s="11"/>
    </x:row>
    <x:row r="1157" spans="1:6" x14ac:dyDescent="0.25">
      <x:c r="A1157" s="1"/>
      <x:c r="B1157" s="1"/>
      <x:c r="C1157" s="1"/>
      <x:c r="D1157" s="1"/>
      <x:c r="E1157" s="1"/>
      <x:c r="F1157" s="11"/>
    </x:row>
    <x:row r="1158" spans="1:6" x14ac:dyDescent="0.25">
      <x:c r="A1158" s="1"/>
      <x:c r="B1158" s="1"/>
      <x:c r="C1158" s="1"/>
      <x:c r="D1158" s="1"/>
      <x:c r="E1158" s="1"/>
      <x:c r="F1158" s="11"/>
    </x:row>
    <x:row r="1159" spans="1:6" x14ac:dyDescent="0.25">
      <x:c r="A1159" s="1"/>
      <x:c r="B1159" s="1"/>
      <x:c r="C1159" s="1"/>
      <x:c r="D1159" s="1"/>
      <x:c r="E1159" s="1"/>
      <x:c r="F1159" s="11"/>
    </x:row>
    <x:row r="1160" spans="1:6" x14ac:dyDescent="0.25">
      <x:c r="A1160" s="1"/>
      <x:c r="B1160" s="1"/>
      <x:c r="C1160" s="1"/>
      <x:c r="D1160" s="1"/>
      <x:c r="E1160" s="1"/>
      <x:c r="F1160" s="11"/>
    </x:row>
    <x:row r="1161" spans="1:6" x14ac:dyDescent="0.25">
      <x:c r="A1161" s="1"/>
      <x:c r="B1161" s="1"/>
      <x:c r="C1161" s="1"/>
      <x:c r="D1161" s="1"/>
      <x:c r="E1161" s="1"/>
      <x:c r="F1161" s="11"/>
    </x:row>
    <x:row r="1162" spans="1:6" x14ac:dyDescent="0.25">
      <x:c r="A1162" s="1"/>
      <x:c r="B1162" s="1"/>
      <x:c r="C1162" s="1"/>
      <x:c r="D1162" s="1"/>
      <x:c r="E1162" s="1"/>
      <x:c r="F1162" s="11"/>
    </x:row>
    <x:row r="1163" spans="1:6" x14ac:dyDescent="0.25">
      <x:c r="A1163" s="1"/>
      <x:c r="B1163" s="1"/>
      <x:c r="C1163" s="1"/>
      <x:c r="D1163" s="1"/>
      <x:c r="E1163" s="1"/>
      <x:c r="F1163" s="11"/>
    </x:row>
    <x:row r="1164" spans="1:6" x14ac:dyDescent="0.25">
      <x:c r="A1164" s="1"/>
      <x:c r="B1164" s="1"/>
      <x:c r="C1164" s="1"/>
      <x:c r="D1164" s="1"/>
      <x:c r="E1164" s="1"/>
      <x:c r="F1164" s="11"/>
    </x:row>
    <x:row r="1165" spans="1:6" x14ac:dyDescent="0.25">
      <x:c r="A1165" s="1"/>
      <x:c r="B1165" s="1"/>
      <x:c r="C1165" s="1"/>
      <x:c r="D1165" s="1"/>
      <x:c r="E1165" s="1"/>
      <x:c r="F1165" s="11"/>
    </x:row>
    <x:row r="1166" spans="1:6" x14ac:dyDescent="0.25">
      <x:c r="A1166" s="1"/>
      <x:c r="B1166" s="1"/>
      <x:c r="C1166" s="1"/>
      <x:c r="D1166" s="1"/>
      <x:c r="E1166" s="1"/>
      <x:c r="F1166" s="11"/>
    </x:row>
    <x:row r="1167" spans="1:6" x14ac:dyDescent="0.25">
      <x:c r="A1167" s="1"/>
      <x:c r="B1167" s="1"/>
      <x:c r="C1167" s="1"/>
      <x:c r="D1167" s="1"/>
      <x:c r="E1167" s="1"/>
      <x:c r="F1167" s="11"/>
    </x:row>
    <x:row r="1168" spans="1:6" x14ac:dyDescent="0.25">
      <x:c r="A1168" s="1"/>
      <x:c r="B1168" s="1"/>
      <x:c r="C1168" s="1"/>
      <x:c r="D1168" s="1"/>
      <x:c r="E1168" s="1"/>
      <x:c r="F1168" s="11"/>
    </x:row>
    <x:row r="1169" spans="1:6" x14ac:dyDescent="0.25">
      <x:c r="A1169" s="1"/>
      <x:c r="B1169" s="1"/>
      <x:c r="C1169" s="1"/>
      <x:c r="D1169" s="1"/>
      <x:c r="E1169" s="1"/>
      <x:c r="F1169" s="11"/>
    </x:row>
    <x:row r="1170" spans="1:6" x14ac:dyDescent="0.25">
      <x:c r="A1170" s="1"/>
      <x:c r="B1170" s="1"/>
      <x:c r="C1170" s="1"/>
      <x:c r="D1170" s="1"/>
      <x:c r="E1170" s="1"/>
      <x:c r="F1170" s="11"/>
    </x:row>
    <x:row r="1171" spans="1:6" x14ac:dyDescent="0.25">
      <x:c r="A1171" s="1"/>
      <x:c r="B1171" s="1"/>
      <x:c r="C1171" s="1"/>
      <x:c r="D1171" s="1"/>
      <x:c r="E1171" s="1"/>
      <x:c r="F1171" s="11"/>
    </x:row>
    <x:row r="1172" spans="1:6" x14ac:dyDescent="0.25">
      <x:c r="A1172" s="1"/>
      <x:c r="B1172" s="1"/>
      <x:c r="C1172" s="1"/>
      <x:c r="D1172" s="1"/>
      <x:c r="E1172" s="1"/>
      <x:c r="F1172" s="11"/>
    </x:row>
    <x:row r="1173" spans="1:6" x14ac:dyDescent="0.25">
      <x:c r="A1173" s="1"/>
      <x:c r="B1173" s="1"/>
      <x:c r="C1173" s="1"/>
      <x:c r="D1173" s="1"/>
      <x:c r="E1173" s="1"/>
      <x:c r="F1173" s="11"/>
    </x:row>
    <x:row r="1174" spans="1:6" x14ac:dyDescent="0.25">
      <x:c r="A1174" s="1"/>
      <x:c r="B1174" s="1"/>
      <x:c r="C1174" s="1"/>
      <x:c r="D1174" s="1"/>
      <x:c r="E1174" s="1"/>
      <x:c r="F1174" s="11"/>
    </x:row>
    <x:row r="1175" spans="1:6" x14ac:dyDescent="0.25">
      <x:c r="A1175" s="1"/>
      <x:c r="B1175" s="1"/>
      <x:c r="C1175" s="1"/>
      <x:c r="D1175" s="1"/>
      <x:c r="E1175" s="1"/>
      <x:c r="F1175" s="11"/>
    </x:row>
    <x:row r="1176" spans="1:6" x14ac:dyDescent="0.25">
      <x:c r="A1176" s="1"/>
      <x:c r="B1176" s="1"/>
      <x:c r="C1176" s="1"/>
      <x:c r="D1176" s="1"/>
      <x:c r="E1176" s="1"/>
      <x:c r="F1176" s="11"/>
    </x:row>
    <x:row r="1177" spans="1:6" x14ac:dyDescent="0.25">
      <x:c r="A1177" s="1"/>
      <x:c r="B1177" s="1"/>
      <x:c r="C1177" s="1"/>
      <x:c r="D1177" s="1"/>
      <x:c r="E1177" s="1"/>
      <x:c r="F1177" s="11"/>
    </x:row>
    <x:row r="1178" spans="1:6" x14ac:dyDescent="0.25">
      <x:c r="A1178" s="1"/>
      <x:c r="B1178" s="1"/>
      <x:c r="C1178" s="1"/>
      <x:c r="D1178" s="1"/>
      <x:c r="E1178" s="1"/>
      <x:c r="F1178" s="11"/>
    </x:row>
    <x:row r="1179" spans="1:6" x14ac:dyDescent="0.25">
      <x:c r="A1179" s="1"/>
      <x:c r="B1179" s="1"/>
      <x:c r="C1179" s="1"/>
      <x:c r="D1179" s="1"/>
      <x:c r="E1179" s="1"/>
      <x:c r="F1179" s="11"/>
    </x:row>
    <x:row r="1180" spans="1:6" x14ac:dyDescent="0.25">
      <x:c r="A1180" s="1"/>
      <x:c r="B1180" s="1"/>
      <x:c r="C1180" s="1"/>
      <x:c r="D1180" s="1"/>
      <x:c r="E1180" s="1"/>
      <x:c r="F1180" s="11"/>
    </x:row>
    <x:row r="1181" spans="1:6" x14ac:dyDescent="0.25">
      <x:c r="A1181" s="1"/>
      <x:c r="B1181" s="1"/>
      <x:c r="C1181" s="1"/>
      <x:c r="D1181" s="1"/>
      <x:c r="E1181" s="1"/>
      <x:c r="F1181" s="11"/>
    </x:row>
    <x:row r="1182" spans="1:6" x14ac:dyDescent="0.25">
      <x:c r="A1182" s="1"/>
      <x:c r="B1182" s="1"/>
      <x:c r="C1182" s="1"/>
      <x:c r="D1182" s="1"/>
      <x:c r="E1182" s="1"/>
      <x:c r="F1182" s="11"/>
    </x:row>
    <x:row r="1183" spans="1:6" x14ac:dyDescent="0.25">
      <x:c r="A1183" s="1"/>
      <x:c r="B1183" s="1"/>
      <x:c r="C1183" s="1"/>
      <x:c r="D1183" s="1"/>
      <x:c r="E1183" s="1"/>
      <x:c r="F1183" s="11"/>
    </x:row>
    <x:row r="1184" spans="1:6" x14ac:dyDescent="0.25">
      <x:c r="A1184" s="1"/>
      <x:c r="B1184" s="1"/>
      <x:c r="C1184" s="1"/>
      <x:c r="D1184" s="1"/>
      <x:c r="E1184" s="1"/>
      <x:c r="F1184" s="11"/>
    </x:row>
    <x:row r="1185" spans="1:6" x14ac:dyDescent="0.25">
      <x:c r="A1185" s="1"/>
      <x:c r="B1185" s="1"/>
      <x:c r="C1185" s="1"/>
      <x:c r="D1185" s="1"/>
      <x:c r="E1185" s="1"/>
      <x:c r="F1185" s="11"/>
    </x:row>
    <x:row r="1186" spans="1:6" x14ac:dyDescent="0.25">
      <x:c r="A1186" s="1"/>
      <x:c r="B1186" s="1"/>
      <x:c r="C1186" s="1"/>
      <x:c r="D1186" s="1"/>
      <x:c r="E1186" s="1"/>
      <x:c r="F1186" s="11"/>
    </x:row>
    <x:row r="1187" spans="1:6" x14ac:dyDescent="0.25">
      <x:c r="A1187" s="1"/>
      <x:c r="B1187" s="1"/>
      <x:c r="C1187" s="1"/>
      <x:c r="D1187" s="1"/>
      <x:c r="E1187" s="1"/>
      <x:c r="F1187" s="11"/>
    </x:row>
    <x:row r="1188" spans="1:6" x14ac:dyDescent="0.25">
      <x:c r="A1188" s="1"/>
      <x:c r="B1188" s="1"/>
      <x:c r="C1188" s="1"/>
      <x:c r="D1188" s="1"/>
      <x:c r="E1188" s="1"/>
      <x:c r="F1188" s="11"/>
    </x:row>
    <x:row r="1189" spans="1:6" x14ac:dyDescent="0.25">
      <x:c r="A1189" s="1"/>
      <x:c r="B1189" s="1"/>
      <x:c r="C1189" s="1"/>
      <x:c r="D1189" s="1"/>
      <x:c r="E1189" s="1"/>
      <x:c r="F1189" s="11"/>
    </x:row>
    <x:row r="1190" spans="1:6" x14ac:dyDescent="0.25">
      <x:c r="A1190" s="1"/>
      <x:c r="B1190" s="1"/>
      <x:c r="C1190" s="1"/>
      <x:c r="D1190" s="1"/>
      <x:c r="E1190" s="1"/>
      <x:c r="F1190" s="11"/>
    </x:row>
    <x:row r="1191" spans="1:6" x14ac:dyDescent="0.25">
      <x:c r="A1191" s="1"/>
      <x:c r="B1191" s="1"/>
      <x:c r="C1191" s="1"/>
      <x:c r="D1191" s="1"/>
      <x:c r="E1191" s="1"/>
      <x:c r="F1191" s="11"/>
    </x:row>
    <x:row r="1192" spans="1:6" x14ac:dyDescent="0.25">
      <x:c r="A1192" s="1"/>
      <x:c r="B1192" s="1"/>
      <x:c r="C1192" s="1"/>
      <x:c r="D1192" s="1"/>
      <x:c r="E1192" s="1"/>
      <x:c r="F1192" s="11"/>
    </x:row>
    <x:row r="1193" spans="1:6" x14ac:dyDescent="0.25">
      <x:c r="A1193" s="1"/>
      <x:c r="B1193" s="1"/>
      <x:c r="C1193" s="1"/>
      <x:c r="D1193" s="1"/>
      <x:c r="E1193" s="1"/>
      <x:c r="F1193" s="11"/>
    </x:row>
    <x:row r="1194" spans="1:6" x14ac:dyDescent="0.25">
      <x:c r="A1194" s="1"/>
      <x:c r="B1194" s="1"/>
      <x:c r="C1194" s="1"/>
      <x:c r="D1194" s="1"/>
      <x:c r="E1194" s="1"/>
      <x:c r="F1194" s="11"/>
    </x:row>
    <x:row r="1195" spans="1:6" x14ac:dyDescent="0.25">
      <x:c r="A1195" s="1"/>
      <x:c r="B1195" s="1"/>
      <x:c r="C1195" s="1"/>
      <x:c r="D1195" s="1"/>
      <x:c r="E1195" s="1"/>
      <x:c r="F1195" s="11"/>
    </x:row>
    <x:row r="1196" spans="1:6" x14ac:dyDescent="0.25">
      <x:c r="A1196" s="1"/>
      <x:c r="B1196" s="1"/>
      <x:c r="C1196" s="1"/>
      <x:c r="D1196" s="1"/>
      <x:c r="E1196" s="1"/>
      <x:c r="F1196" s="11"/>
    </x:row>
    <x:row r="1197" spans="1:6" x14ac:dyDescent="0.25">
      <x:c r="A1197" s="1"/>
      <x:c r="B1197" s="1"/>
      <x:c r="C1197" s="1"/>
      <x:c r="D1197" s="1"/>
      <x:c r="E1197" s="1"/>
      <x:c r="F1197" s="11"/>
    </x:row>
    <x:row r="1198" spans="1:6" x14ac:dyDescent="0.25">
      <x:c r="A1198" s="1"/>
      <x:c r="B1198" s="1"/>
      <x:c r="C1198" s="1"/>
      <x:c r="D1198" s="1"/>
      <x:c r="E1198" s="1"/>
      <x:c r="F1198" s="11"/>
    </x:row>
    <x:row r="1199" spans="1:6" x14ac:dyDescent="0.25">
      <x:c r="A1199" s="1"/>
      <x:c r="B1199" s="1"/>
      <x:c r="C1199" s="1"/>
      <x:c r="D1199" s="1"/>
      <x:c r="E1199" s="1"/>
      <x:c r="F1199" s="11"/>
    </x:row>
    <x:row r="1200" spans="1:6" x14ac:dyDescent="0.25">
      <x:c r="A1200" s="1"/>
      <x:c r="B1200" s="1"/>
      <x:c r="C1200" s="1"/>
      <x:c r="D1200" s="1"/>
      <x:c r="E1200" s="1"/>
      <x:c r="F1200" s="11"/>
    </x:row>
    <x:row r="1201" spans="1:6" x14ac:dyDescent="0.25">
      <x:c r="A1201" s="1"/>
      <x:c r="B1201" s="1"/>
      <x:c r="C1201" s="1"/>
      <x:c r="D1201" s="1"/>
      <x:c r="E1201" s="1"/>
      <x:c r="F1201" s="11"/>
    </x:row>
    <x:row r="1202" spans="1:6" x14ac:dyDescent="0.25">
      <x:c r="A1202" s="1"/>
      <x:c r="B1202" s="1"/>
      <x:c r="C1202" s="1"/>
      <x:c r="D1202" s="1"/>
      <x:c r="E1202" s="1"/>
      <x:c r="F1202" s="11"/>
    </x:row>
    <x:row r="1203" spans="1:6" x14ac:dyDescent="0.25">
      <x:c r="A1203" s="1"/>
      <x:c r="B1203" s="1"/>
      <x:c r="C1203" s="1"/>
      <x:c r="D1203" s="1"/>
      <x:c r="E1203" s="1"/>
      <x:c r="F1203" s="11"/>
    </x:row>
    <x:row r="1204" spans="1:6" x14ac:dyDescent="0.25">
      <x:c r="A1204" s="1"/>
      <x:c r="B1204" s="1"/>
      <x:c r="C1204" s="1"/>
      <x:c r="D1204" s="1"/>
      <x:c r="E1204" s="1"/>
      <x:c r="F1204" s="11"/>
    </x:row>
    <x:row r="1205" spans="1:6" x14ac:dyDescent="0.25">
      <x:c r="A1205" s="1"/>
      <x:c r="B1205" s="1"/>
      <x:c r="C1205" s="1"/>
      <x:c r="D1205" s="1"/>
      <x:c r="E1205" s="1"/>
      <x:c r="F1205" s="11"/>
    </x:row>
    <x:row r="1206" spans="1:6" x14ac:dyDescent="0.25">
      <x:c r="A1206" s="1"/>
      <x:c r="B1206" s="1"/>
      <x:c r="C1206" s="1"/>
      <x:c r="D1206" s="1"/>
      <x:c r="E1206" s="1"/>
      <x:c r="F1206" s="11"/>
    </x:row>
    <x:row r="1207" spans="1:6" x14ac:dyDescent="0.25">
      <x:c r="A1207" s="1"/>
      <x:c r="B1207" s="1"/>
      <x:c r="C1207" s="1"/>
      <x:c r="D1207" s="1"/>
      <x:c r="E1207" s="1"/>
      <x:c r="F1207" s="11"/>
    </x:row>
    <x:row r="1208" spans="1:6" x14ac:dyDescent="0.25">
      <x:c r="A1208" s="1"/>
      <x:c r="B1208" s="1"/>
      <x:c r="C1208" s="1"/>
      <x:c r="D1208" s="1"/>
      <x:c r="E1208" s="1"/>
      <x:c r="F1208" s="11"/>
    </x:row>
    <x:row r="1209" spans="1:6" x14ac:dyDescent="0.25">
      <x:c r="A1209" s="1"/>
      <x:c r="B1209" s="1"/>
      <x:c r="C1209" s="1"/>
      <x:c r="D1209" s="1"/>
      <x:c r="E1209" s="1"/>
      <x:c r="F1209" s="11"/>
    </x:row>
    <x:row r="1210" spans="1:6" x14ac:dyDescent="0.25">
      <x:c r="A1210" s="1"/>
      <x:c r="B1210" s="1"/>
      <x:c r="C1210" s="1"/>
      <x:c r="D1210" s="1"/>
      <x:c r="E1210" s="1"/>
      <x:c r="F1210" s="11"/>
    </x:row>
    <x:row r="1211" spans="1:6" x14ac:dyDescent="0.25">
      <x:c r="A1211" s="1"/>
      <x:c r="B1211" s="1"/>
      <x:c r="C1211" s="1"/>
      <x:c r="D1211" s="1"/>
      <x:c r="E1211" s="1"/>
      <x:c r="F1211" s="11"/>
    </x:row>
    <x:row r="1212" spans="1:6" x14ac:dyDescent="0.25">
      <x:c r="A1212" s="1"/>
      <x:c r="B1212" s="1"/>
      <x:c r="C1212" s="1"/>
      <x:c r="D1212" s="1"/>
      <x:c r="E1212" s="1"/>
      <x:c r="F1212" s="11"/>
    </x:row>
    <x:row r="1213" spans="1:6" x14ac:dyDescent="0.25">
      <x:c r="A1213" s="1"/>
      <x:c r="B1213" s="1"/>
      <x:c r="C1213" s="1"/>
      <x:c r="D1213" s="1"/>
      <x:c r="E1213" s="1"/>
      <x:c r="F1213" s="11"/>
    </x:row>
    <x:row r="1214" spans="1:6" x14ac:dyDescent="0.25">
      <x:c r="A1214" s="1"/>
      <x:c r="B1214" s="1"/>
      <x:c r="C1214" s="1"/>
      <x:c r="D1214" s="1"/>
      <x:c r="E1214" s="1"/>
      <x:c r="F1214" s="11"/>
    </x:row>
    <x:row r="1215" spans="1:6" x14ac:dyDescent="0.25">
      <x:c r="A1215" s="1"/>
      <x:c r="B1215" s="1"/>
      <x:c r="C1215" s="1"/>
      <x:c r="D1215" s="1"/>
      <x:c r="E1215" s="1"/>
      <x:c r="F1215" s="11"/>
    </x:row>
    <x:row r="1216" spans="1:6" x14ac:dyDescent="0.25">
      <x:c r="A1216" s="1"/>
      <x:c r="B1216" s="1"/>
      <x:c r="C1216" s="1"/>
      <x:c r="D1216" s="1"/>
      <x:c r="E1216" s="1"/>
      <x:c r="F1216" s="11"/>
    </x:row>
    <x:row r="1217" spans="1:6" x14ac:dyDescent="0.25">
      <x:c r="A1217" s="1"/>
      <x:c r="B1217" s="1"/>
      <x:c r="C1217" s="1"/>
      <x:c r="D1217" s="1"/>
      <x:c r="E1217" s="1"/>
      <x:c r="F1217" s="11"/>
    </x:row>
    <x:row r="1218" spans="1:6" x14ac:dyDescent="0.25">
      <x:c r="A1218" s="1"/>
      <x:c r="B1218" s="1"/>
      <x:c r="C1218" s="1"/>
      <x:c r="D1218" s="1"/>
      <x:c r="E1218" s="1"/>
      <x:c r="F1218" s="11"/>
    </x:row>
    <x:row r="1219" spans="1:6" x14ac:dyDescent="0.25">
      <x:c r="A1219" s="1"/>
      <x:c r="B1219" s="1"/>
      <x:c r="C1219" s="1"/>
      <x:c r="D1219" s="1"/>
      <x:c r="E1219" s="1"/>
      <x:c r="F1219" s="11"/>
    </x:row>
    <x:row r="1220" spans="1:6" x14ac:dyDescent="0.25">
      <x:c r="A1220" s="1"/>
      <x:c r="B1220" s="1"/>
      <x:c r="C1220" s="1"/>
      <x:c r="D1220" s="1"/>
      <x:c r="E1220" s="1"/>
      <x:c r="F1220" s="11"/>
    </x:row>
    <x:row r="1221" spans="1:6" x14ac:dyDescent="0.25">
      <x:c r="A1221" s="1"/>
      <x:c r="B1221" s="1"/>
      <x:c r="C1221" s="1"/>
      <x:c r="D1221" s="1"/>
      <x:c r="E1221" s="1"/>
      <x:c r="F1221" s="11"/>
    </x:row>
    <x:row r="1222" spans="1:6" x14ac:dyDescent="0.25">
      <x:c r="A1222" s="1"/>
      <x:c r="B1222" s="1"/>
      <x:c r="C1222" s="1"/>
      <x:c r="D1222" s="1"/>
      <x:c r="E1222" s="1"/>
      <x:c r="F1222" s="11"/>
    </x:row>
    <x:row r="1223" spans="1:6" x14ac:dyDescent="0.25">
      <x:c r="A1223" s="1"/>
      <x:c r="B1223" s="1"/>
      <x:c r="C1223" s="1"/>
      <x:c r="D1223" s="1"/>
      <x:c r="E1223" s="1"/>
      <x:c r="F1223" s="11"/>
    </x:row>
    <x:row r="1224" spans="1:6" x14ac:dyDescent="0.25">
      <x:c r="A1224" s="1"/>
      <x:c r="B1224" s="1"/>
      <x:c r="C1224" s="1"/>
      <x:c r="D1224" s="1"/>
      <x:c r="E1224" s="1"/>
      <x:c r="F1224" s="11"/>
    </x:row>
    <x:row r="1225" spans="1:6" x14ac:dyDescent="0.25">
      <x:c r="A1225" s="1"/>
      <x:c r="B1225" s="1"/>
      <x:c r="C1225" s="1"/>
      <x:c r="D1225" s="1"/>
      <x:c r="E1225" s="1"/>
      <x:c r="F1225" s="11"/>
    </x:row>
    <x:row r="1226" spans="1:6" x14ac:dyDescent="0.25">
      <x:c r="A1226" s="1"/>
      <x:c r="B1226" s="1"/>
      <x:c r="C1226" s="1"/>
      <x:c r="D1226" s="1"/>
      <x:c r="E1226" s="1"/>
      <x:c r="F1226" s="11"/>
    </x:row>
    <x:row r="1227" spans="1:6" x14ac:dyDescent="0.25">
      <x:c r="A1227" s="1"/>
      <x:c r="B1227" s="1"/>
      <x:c r="C1227" s="1"/>
      <x:c r="D1227" s="1"/>
      <x:c r="E1227" s="1"/>
      <x:c r="F1227" s="11"/>
    </x:row>
    <x:row r="1228" spans="1:6" x14ac:dyDescent="0.25">
      <x:c r="A1228" s="1"/>
      <x:c r="B1228" s="1"/>
      <x:c r="C1228" s="1"/>
      <x:c r="D1228" s="1"/>
      <x:c r="E1228" s="1"/>
      <x:c r="F1228" s="11"/>
    </x:row>
    <x:row r="1229" spans="1:6" x14ac:dyDescent="0.25">
      <x:c r="A1229" s="1"/>
      <x:c r="B1229" s="1"/>
      <x:c r="C1229" s="1"/>
      <x:c r="D1229" s="1"/>
      <x:c r="E1229" s="1"/>
      <x:c r="F1229" s="11"/>
    </x:row>
    <x:row r="1230" spans="1:6" x14ac:dyDescent="0.25">
      <x:c r="A1230" s="1"/>
      <x:c r="B1230" s="1"/>
      <x:c r="C1230" s="1"/>
      <x:c r="D1230" s="1"/>
      <x:c r="E1230" s="1"/>
      <x:c r="F1230" s="11"/>
    </x:row>
    <x:row r="1231" spans="1:6" x14ac:dyDescent="0.25">
      <x:c r="A1231" s="1"/>
      <x:c r="B1231" s="1"/>
      <x:c r="C1231" s="1"/>
      <x:c r="D1231" s="1"/>
      <x:c r="E1231" s="1"/>
      <x:c r="F1231" s="11"/>
    </x:row>
    <x:row r="1232" spans="1:6" x14ac:dyDescent="0.25">
      <x:c r="A1232" s="1"/>
      <x:c r="B1232" s="1"/>
      <x:c r="C1232" s="1"/>
      <x:c r="D1232" s="1"/>
      <x:c r="E1232" s="1"/>
      <x:c r="F1232" s="11"/>
    </x:row>
    <x:row r="1233" spans="1:6" x14ac:dyDescent="0.25">
      <x:c r="A1233" s="1"/>
      <x:c r="B1233" s="1"/>
      <x:c r="C1233" s="1"/>
      <x:c r="D1233" s="1"/>
      <x:c r="E1233" s="1"/>
      <x:c r="F1233" s="11"/>
    </x:row>
    <x:row r="1234" spans="1:6" x14ac:dyDescent="0.25">
      <x:c r="A1234" s="1"/>
      <x:c r="B1234" s="1"/>
      <x:c r="C1234" s="1"/>
      <x:c r="D1234" s="1"/>
      <x:c r="E1234" s="1"/>
      <x:c r="F1234" s="11"/>
    </x:row>
    <x:row r="1235" spans="1:6" x14ac:dyDescent="0.25">
      <x:c r="A1235" s="1"/>
      <x:c r="B1235" s="1"/>
      <x:c r="C1235" s="1"/>
      <x:c r="D1235" s="1"/>
      <x:c r="E1235" s="1"/>
      <x:c r="F1235" s="11"/>
    </x:row>
    <x:row r="1236" spans="1:6" x14ac:dyDescent="0.25">
      <x:c r="A1236" s="1"/>
      <x:c r="B1236" s="1"/>
      <x:c r="C1236" s="1"/>
      <x:c r="D1236" s="1"/>
      <x:c r="E1236" s="1"/>
      <x:c r="F1236" s="11"/>
    </x:row>
    <x:row r="1237" spans="1:6" x14ac:dyDescent="0.25">
      <x:c r="A1237" s="1"/>
      <x:c r="B1237" s="1"/>
      <x:c r="C1237" s="1"/>
      <x:c r="D1237" s="1"/>
      <x:c r="E1237" s="1"/>
      <x:c r="F1237" s="11"/>
    </x:row>
    <x:row r="1238" spans="1:6" x14ac:dyDescent="0.25">
      <x:c r="A1238" s="1"/>
      <x:c r="B1238" s="1"/>
      <x:c r="C1238" s="1"/>
      <x:c r="D1238" s="1"/>
      <x:c r="E1238" s="1"/>
      <x:c r="F1238" s="11"/>
    </x:row>
    <x:row r="1239" spans="1:6" x14ac:dyDescent="0.25">
      <x:c r="A1239" s="1"/>
      <x:c r="B1239" s="1"/>
      <x:c r="C1239" s="1"/>
      <x:c r="D1239" s="1"/>
      <x:c r="E1239" s="1"/>
      <x:c r="F1239" s="11"/>
    </x:row>
    <x:row r="1240" spans="1:6" x14ac:dyDescent="0.25">
      <x:c r="A1240" s="1"/>
      <x:c r="B1240" s="1"/>
      <x:c r="C1240" s="1"/>
      <x:c r="D1240" s="1"/>
      <x:c r="E1240" s="1"/>
      <x:c r="F1240" s="11"/>
    </x:row>
    <x:row r="1241" spans="1:6" x14ac:dyDescent="0.25">
      <x:c r="A1241" s="1"/>
      <x:c r="B1241" s="1"/>
      <x:c r="C1241" s="1"/>
      <x:c r="D1241" s="1"/>
      <x:c r="E1241" s="1"/>
      <x:c r="F1241" s="11"/>
    </x:row>
    <x:row r="1242" spans="1:6" x14ac:dyDescent="0.25">
      <x:c r="A1242" s="1"/>
      <x:c r="B1242" s="1"/>
      <x:c r="C1242" s="1"/>
      <x:c r="D1242" s="1"/>
      <x:c r="E1242" s="1"/>
      <x:c r="F1242" s="11"/>
    </x:row>
    <x:row r="1243" spans="1:6" x14ac:dyDescent="0.25">
      <x:c r="A1243" s="1"/>
      <x:c r="B1243" s="1"/>
      <x:c r="C1243" s="1"/>
      <x:c r="D1243" s="1"/>
      <x:c r="E1243" s="1"/>
      <x:c r="F1243" s="11"/>
    </x:row>
    <x:row r="1244" spans="1:6" x14ac:dyDescent="0.25">
      <x:c r="A1244" s="1"/>
      <x:c r="B1244" s="1"/>
      <x:c r="C1244" s="1"/>
      <x:c r="D1244" s="1"/>
      <x:c r="E1244" s="1"/>
      <x:c r="F1244" s="11"/>
    </x:row>
    <x:row r="1245" spans="1:6" x14ac:dyDescent="0.25">
      <x:c r="A1245" s="1"/>
      <x:c r="B1245" s="1"/>
      <x:c r="C1245" s="1"/>
      <x:c r="D1245" s="1"/>
      <x:c r="E1245" s="1"/>
      <x:c r="F1245" s="11"/>
    </x:row>
    <x:row r="1246" spans="1:6" x14ac:dyDescent="0.25">
      <x:c r="A1246" s="1"/>
      <x:c r="B1246" s="1"/>
      <x:c r="C1246" s="1"/>
      <x:c r="D1246" s="1"/>
      <x:c r="E1246" s="1"/>
      <x:c r="F1246" s="11"/>
    </x:row>
    <x:row r="1247" spans="1:6" x14ac:dyDescent="0.25">
      <x:c r="A1247" s="1"/>
      <x:c r="B1247" s="1"/>
      <x:c r="C1247" s="1"/>
      <x:c r="D1247" s="1"/>
      <x:c r="E1247" s="1"/>
      <x:c r="F1247" s="11"/>
    </x:row>
    <x:row r="1248" spans="1:6" x14ac:dyDescent="0.25">
      <x:c r="A1248" s="1"/>
      <x:c r="B1248" s="1"/>
      <x:c r="C1248" s="1"/>
      <x:c r="D1248" s="1"/>
      <x:c r="E1248" s="1"/>
      <x:c r="F1248" s="11"/>
    </x:row>
    <x:row r="1249" spans="1:6" x14ac:dyDescent="0.25">
      <x:c r="A1249" s="1"/>
      <x:c r="B1249" s="1"/>
      <x:c r="C1249" s="1"/>
      <x:c r="D1249" s="1"/>
      <x:c r="E1249" s="1"/>
      <x:c r="F1249" s="11"/>
    </x:row>
    <x:row r="1250" spans="1:6" x14ac:dyDescent="0.25">
      <x:c r="A1250" s="1"/>
      <x:c r="B1250" s="1"/>
      <x:c r="C1250" s="1"/>
      <x:c r="D1250" s="1"/>
      <x:c r="E1250" s="1"/>
      <x:c r="F1250" s="11"/>
    </x:row>
    <x:row r="1251" spans="1:6" x14ac:dyDescent="0.25">
      <x:c r="A1251" s="1"/>
      <x:c r="B1251" s="1"/>
      <x:c r="C1251" s="1"/>
      <x:c r="D1251" s="1"/>
      <x:c r="E1251" s="1"/>
      <x:c r="F1251" s="11"/>
    </x:row>
    <x:row r="1252" spans="1:6" x14ac:dyDescent="0.25">
      <x:c r="A1252" s="1"/>
      <x:c r="B1252" s="1"/>
      <x:c r="C1252" s="1"/>
      <x:c r="D1252" s="1"/>
      <x:c r="E1252" s="1"/>
      <x:c r="F1252" s="11"/>
    </x:row>
    <x:row r="1253" spans="1:6" x14ac:dyDescent="0.25">
      <x:c r="A1253" s="1"/>
      <x:c r="B1253" s="1"/>
      <x:c r="C1253" s="1"/>
      <x:c r="D1253" s="1"/>
      <x:c r="E1253" s="1"/>
      <x:c r="F1253" s="11"/>
    </x:row>
    <x:row r="1254" spans="1:6" x14ac:dyDescent="0.25">
      <x:c r="A1254" s="1"/>
      <x:c r="B1254" s="1"/>
      <x:c r="C1254" s="1"/>
      <x:c r="D1254" s="1"/>
      <x:c r="E1254" s="1"/>
      <x:c r="F1254" s="11"/>
    </x:row>
    <x:row r="1255" spans="1:6" x14ac:dyDescent="0.25">
      <x:c r="A1255" s="1"/>
      <x:c r="B1255" s="1"/>
      <x:c r="C1255" s="1"/>
      <x:c r="D1255" s="1"/>
      <x:c r="E1255" s="1"/>
      <x:c r="F1255" s="11"/>
    </x:row>
    <x:row r="1256" spans="1:6" x14ac:dyDescent="0.25">
      <x:c r="A1256" s="1"/>
      <x:c r="B1256" s="1"/>
      <x:c r="C1256" s="1"/>
      <x:c r="D1256" s="1"/>
      <x:c r="E1256" s="1"/>
      <x:c r="F1256" s="11"/>
    </x:row>
    <x:row r="1257" spans="1:6" x14ac:dyDescent="0.25">
      <x:c r="A1257" s="1"/>
      <x:c r="B1257" s="1"/>
      <x:c r="C1257" s="1"/>
      <x:c r="D1257" s="1"/>
      <x:c r="E1257" s="1"/>
      <x:c r="F1257" s="11"/>
    </x:row>
    <x:row r="1258" spans="1:6" x14ac:dyDescent="0.25">
      <x:c r="A1258" s="1"/>
      <x:c r="B1258" s="1"/>
      <x:c r="C1258" s="1"/>
      <x:c r="D1258" s="1"/>
      <x:c r="E1258" s="1"/>
      <x:c r="F1258" s="11"/>
    </x:row>
    <x:row r="1259" spans="1:6" x14ac:dyDescent="0.25">
      <x:c r="A1259" s="1"/>
      <x:c r="B1259" s="1"/>
      <x:c r="C1259" s="1"/>
      <x:c r="D1259" s="1"/>
      <x:c r="E1259" s="1"/>
      <x:c r="F1259" s="11"/>
    </x:row>
    <x:row r="1260" spans="1:6" x14ac:dyDescent="0.25">
      <x:c r="A1260" s="1"/>
      <x:c r="B1260" s="1"/>
      <x:c r="C1260" s="1"/>
      <x:c r="D1260" s="1"/>
      <x:c r="E1260" s="1"/>
      <x:c r="F1260" s="11"/>
    </x:row>
    <x:row r="1261" spans="1:6" x14ac:dyDescent="0.25">
      <x:c r="A1261" s="1"/>
      <x:c r="B1261" s="1"/>
      <x:c r="C1261" s="1"/>
      <x:c r="D1261" s="1"/>
      <x:c r="E1261" s="1"/>
      <x:c r="F1261" s="11"/>
    </x:row>
    <x:row r="1262" spans="1:6" x14ac:dyDescent="0.25">
      <x:c r="A1262" s="1"/>
      <x:c r="B1262" s="1"/>
      <x:c r="C1262" s="1"/>
      <x:c r="D1262" s="1"/>
      <x:c r="E1262" s="1"/>
      <x:c r="F1262" s="11"/>
    </x:row>
    <x:row r="1263" spans="1:6" x14ac:dyDescent="0.25">
      <x:c r="A1263" s="1"/>
      <x:c r="B1263" s="1"/>
      <x:c r="C1263" s="1"/>
      <x:c r="D1263" s="1"/>
      <x:c r="E1263" s="1"/>
      <x:c r="F1263" s="11"/>
    </x:row>
    <x:row r="1264" spans="1:6" x14ac:dyDescent="0.25">
      <x:c r="A1264" s="1"/>
      <x:c r="B1264" s="1"/>
      <x:c r="C1264" s="1"/>
      <x:c r="D1264" s="1"/>
      <x:c r="E1264" s="1"/>
      <x:c r="F1264" s="11"/>
    </x:row>
    <x:row r="1265" spans="1:6" x14ac:dyDescent="0.25">
      <x:c r="A1265" s="1"/>
      <x:c r="B1265" s="1"/>
      <x:c r="C1265" s="1"/>
      <x:c r="D1265" s="1"/>
      <x:c r="E1265" s="1"/>
      <x:c r="F1265" s="11"/>
    </x:row>
    <x:row r="1266" spans="1:6" x14ac:dyDescent="0.25">
      <x:c r="A1266" s="1"/>
      <x:c r="B1266" s="1"/>
      <x:c r="C1266" s="1"/>
      <x:c r="D1266" s="1"/>
      <x:c r="E1266" s="1"/>
      <x:c r="F1266" s="11"/>
    </x:row>
    <x:row r="1267" spans="1:6" x14ac:dyDescent="0.25">
      <x:c r="A1267" s="1"/>
      <x:c r="B1267" s="1"/>
      <x:c r="C1267" s="1"/>
      <x:c r="D1267" s="1"/>
      <x:c r="E1267" s="1"/>
      <x:c r="F1267" s="11"/>
    </x:row>
    <x:row r="1268" spans="1:6" x14ac:dyDescent="0.25">
      <x:c r="A1268" s="1"/>
      <x:c r="B1268" s="1"/>
      <x:c r="C1268" s="1"/>
      <x:c r="D1268" s="1"/>
      <x:c r="E1268" s="1"/>
      <x:c r="F1268" s="11"/>
    </x:row>
    <x:row r="1269" spans="1:6" x14ac:dyDescent="0.25">
      <x:c r="A1269" s="1"/>
      <x:c r="B1269" s="1"/>
      <x:c r="C1269" s="1"/>
      <x:c r="D1269" s="1"/>
      <x:c r="E1269" s="1"/>
      <x:c r="F1269" s="11"/>
    </x:row>
    <x:row r="1270" spans="1:6" x14ac:dyDescent="0.25">
      <x:c r="A1270" s="1"/>
      <x:c r="B1270" s="1"/>
      <x:c r="C1270" s="1"/>
      <x:c r="D1270" s="1"/>
      <x:c r="E1270" s="1"/>
      <x:c r="F1270" s="11"/>
    </x:row>
    <x:row r="1271" spans="1:6" x14ac:dyDescent="0.25">
      <x:c r="A1271" s="1"/>
      <x:c r="B1271" s="1"/>
      <x:c r="C1271" s="1"/>
      <x:c r="D1271" s="1"/>
      <x:c r="E1271" s="1"/>
      <x:c r="F1271" s="11"/>
    </x:row>
    <x:row r="1272" spans="1:6" x14ac:dyDescent="0.25">
      <x:c r="A1272" s="1"/>
      <x:c r="B1272" s="1"/>
      <x:c r="C1272" s="1"/>
      <x:c r="D1272" s="1"/>
      <x:c r="E1272" s="1"/>
      <x:c r="F1272" s="11"/>
    </x:row>
    <x:row r="1273" spans="1:6" x14ac:dyDescent="0.25">
      <x:c r="A1273" s="1"/>
      <x:c r="B1273" s="1"/>
      <x:c r="C1273" s="1"/>
      <x:c r="D1273" s="1"/>
      <x:c r="E1273" s="1"/>
      <x:c r="F1273" s="11"/>
    </x:row>
    <x:row r="1274" spans="1:6" x14ac:dyDescent="0.25">
      <x:c r="A1274" s="1"/>
      <x:c r="B1274" s="1"/>
      <x:c r="C1274" s="1"/>
      <x:c r="D1274" s="1"/>
      <x:c r="E1274" s="1"/>
      <x:c r="F1274" s="11"/>
    </x:row>
    <x:row r="1275" spans="1:6" x14ac:dyDescent="0.25">
      <x:c r="A1275" s="1"/>
      <x:c r="B1275" s="1"/>
      <x:c r="C1275" s="1"/>
      <x:c r="D1275" s="1"/>
      <x:c r="E1275" s="1"/>
      <x:c r="F1275" s="11"/>
    </x:row>
    <x:row r="1276" spans="1:6" x14ac:dyDescent="0.25">
      <x:c r="A1276" s="1"/>
      <x:c r="B1276" s="1"/>
      <x:c r="C1276" s="1"/>
      <x:c r="D1276" s="1"/>
      <x:c r="E1276" s="1"/>
      <x:c r="F1276" s="11"/>
    </x:row>
    <x:row r="1277" spans="1:6" x14ac:dyDescent="0.25">
      <x:c r="A1277" s="1"/>
      <x:c r="B1277" s="1"/>
      <x:c r="C1277" s="1"/>
      <x:c r="D1277" s="1"/>
      <x:c r="E1277" s="1"/>
      <x:c r="F1277" s="11"/>
    </x:row>
    <x:row r="1278" spans="1:6" x14ac:dyDescent="0.25">
      <x:c r="A1278" s="1"/>
      <x:c r="B1278" s="1"/>
      <x:c r="C1278" s="1"/>
      <x:c r="D1278" s="1"/>
      <x:c r="E1278" s="1"/>
      <x:c r="F1278" s="11"/>
    </x:row>
    <x:row r="1279" spans="1:6" x14ac:dyDescent="0.25">
      <x:c r="A1279" s="1"/>
      <x:c r="B1279" s="1"/>
      <x:c r="C1279" s="1"/>
      <x:c r="D1279" s="1"/>
      <x:c r="E1279" s="1"/>
      <x:c r="F1279" s="11"/>
    </x:row>
    <x:row r="1280" spans="1:6" x14ac:dyDescent="0.25">
      <x:c r="A1280" s="1"/>
      <x:c r="B1280" s="1"/>
      <x:c r="C1280" s="1"/>
      <x:c r="D1280" s="1"/>
      <x:c r="E1280" s="1"/>
      <x:c r="F1280" s="11"/>
    </x:row>
    <x:row r="1281" spans="1:6" x14ac:dyDescent="0.25">
      <x:c r="A1281" s="1"/>
      <x:c r="B1281" s="1"/>
      <x:c r="C1281" s="1"/>
      <x:c r="D1281" s="1"/>
      <x:c r="E1281" s="1"/>
      <x:c r="F1281" s="11"/>
    </x:row>
    <x:row r="1282" spans="1:6" x14ac:dyDescent="0.25">
      <x:c r="A1282" s="1"/>
      <x:c r="B1282" s="1"/>
      <x:c r="C1282" s="1"/>
      <x:c r="D1282" s="1"/>
      <x:c r="E1282" s="1"/>
      <x:c r="F1282" s="11"/>
    </x:row>
    <x:row r="1283" spans="1:6" x14ac:dyDescent="0.25">
      <x:c r="A1283" s="1"/>
      <x:c r="B1283" s="1"/>
      <x:c r="C1283" s="1"/>
      <x:c r="D1283" s="1"/>
      <x:c r="E1283" s="1"/>
      <x:c r="F1283" s="11"/>
    </x:row>
    <x:row r="1284" spans="1:6" x14ac:dyDescent="0.25">
      <x:c r="A1284" s="1"/>
      <x:c r="B1284" s="1"/>
      <x:c r="C1284" s="1"/>
      <x:c r="D1284" s="1"/>
      <x:c r="E1284" s="1"/>
      <x:c r="F1284" s="11"/>
    </x:row>
    <x:row r="1285" spans="1:6" x14ac:dyDescent="0.25">
      <x:c r="A1285" s="1"/>
      <x:c r="B1285" s="1"/>
      <x:c r="C1285" s="1"/>
      <x:c r="D1285" s="1"/>
      <x:c r="E1285" s="1"/>
      <x:c r="F1285" s="11"/>
    </x:row>
    <x:row r="1286" spans="1:6" x14ac:dyDescent="0.25">
      <x:c r="A1286" s="1"/>
      <x:c r="B1286" s="1"/>
      <x:c r="C1286" s="1"/>
      <x:c r="D1286" s="1"/>
      <x:c r="E1286" s="1"/>
      <x:c r="F1286" s="11"/>
    </x:row>
    <x:row r="1287" spans="1:6" x14ac:dyDescent="0.25">
      <x:c r="A1287" s="1"/>
      <x:c r="B1287" s="1"/>
      <x:c r="C1287" s="1"/>
      <x:c r="D1287" s="1"/>
      <x:c r="E1287" s="1"/>
      <x:c r="F1287" s="11"/>
    </x:row>
    <x:row r="1288" spans="1:6" x14ac:dyDescent="0.25">
      <x:c r="A1288" s="1"/>
      <x:c r="B1288" s="1"/>
      <x:c r="C1288" s="1"/>
      <x:c r="D1288" s="1"/>
      <x:c r="E1288" s="1"/>
      <x:c r="F1288" s="11"/>
    </x:row>
    <x:row r="1289" spans="1:6" x14ac:dyDescent="0.25">
      <x:c r="A1289" s="1"/>
      <x:c r="B1289" s="1"/>
      <x:c r="C1289" s="1"/>
      <x:c r="D1289" s="1"/>
      <x:c r="E1289" s="1"/>
      <x:c r="F1289" s="11"/>
    </x:row>
    <x:row r="1290" spans="1:6" x14ac:dyDescent="0.25">
      <x:c r="A1290" s="1"/>
      <x:c r="B1290" s="1"/>
      <x:c r="C1290" s="1"/>
      <x:c r="D1290" s="1"/>
      <x:c r="E1290" s="1"/>
      <x:c r="F1290" s="11"/>
    </x:row>
    <x:row r="1291" spans="1:6" x14ac:dyDescent="0.25">
      <x:c r="A1291" s="1"/>
      <x:c r="B1291" s="1"/>
      <x:c r="C1291" s="1"/>
      <x:c r="D1291" s="1"/>
      <x:c r="E1291" s="1"/>
      <x:c r="F1291" s="11"/>
    </x:row>
    <x:row r="1292" spans="1:6" x14ac:dyDescent="0.25">
      <x:c r="A1292" s="1"/>
      <x:c r="B1292" s="1"/>
      <x:c r="C1292" s="1"/>
      <x:c r="D1292" s="1"/>
      <x:c r="E1292" s="1"/>
      <x:c r="F1292" s="11"/>
    </x:row>
    <x:row r="1293" spans="1:6" x14ac:dyDescent="0.25">
      <x:c r="A1293" s="1"/>
      <x:c r="B1293" s="1"/>
      <x:c r="C1293" s="1"/>
      <x:c r="D1293" s="1"/>
      <x:c r="E1293" s="1"/>
      <x:c r="F1293" s="11"/>
    </x:row>
    <x:row r="1294" spans="1:6" x14ac:dyDescent="0.25">
      <x:c r="A1294" s="1"/>
      <x:c r="B1294" s="1"/>
      <x:c r="C1294" s="1"/>
      <x:c r="D1294" s="1"/>
      <x:c r="E1294" s="1"/>
      <x:c r="F1294" s="11"/>
    </x:row>
    <x:row r="1295" spans="1:6" x14ac:dyDescent="0.25">
      <x:c r="A1295" s="1"/>
      <x:c r="B1295" s="1"/>
      <x:c r="C1295" s="1"/>
      <x:c r="D1295" s="1"/>
      <x:c r="E1295" s="1"/>
      <x:c r="F1295" s="11"/>
    </x:row>
    <x:row r="1296" spans="1:6" x14ac:dyDescent="0.25">
      <x:c r="A1296" s="1"/>
      <x:c r="B1296" s="1"/>
      <x:c r="C1296" s="1"/>
      <x:c r="D1296" s="1"/>
      <x:c r="E1296" s="1"/>
      <x:c r="F1296" s="11"/>
    </x:row>
    <x:row r="1297" spans="1:6" x14ac:dyDescent="0.25">
      <x:c r="A1297" s="1"/>
      <x:c r="B1297" s="1"/>
      <x:c r="C1297" s="1"/>
      <x:c r="D1297" s="1"/>
      <x:c r="E1297" s="1"/>
      <x:c r="F1297" s="11"/>
    </x:row>
    <x:row r="1298" spans="1:6" x14ac:dyDescent="0.25">
      <x:c r="A1298" s="1"/>
      <x:c r="B1298" s="1"/>
      <x:c r="C1298" s="1"/>
      <x:c r="D1298" s="1"/>
      <x:c r="E1298" s="1"/>
      <x:c r="F1298" s="11"/>
    </x:row>
    <x:row r="1299" spans="1:6" x14ac:dyDescent="0.25">
      <x:c r="A1299" s="1"/>
      <x:c r="B1299" s="1"/>
      <x:c r="C1299" s="1"/>
      <x:c r="D1299" s="1"/>
      <x:c r="E1299" s="1"/>
      <x:c r="F1299" s="11"/>
    </x:row>
    <x:row r="1300" spans="1:6" x14ac:dyDescent="0.25">
      <x:c r="A1300" s="1"/>
      <x:c r="B1300" s="1"/>
      <x:c r="C1300" s="1"/>
      <x:c r="D1300" s="1"/>
      <x:c r="E1300" s="1"/>
      <x:c r="F1300" s="11"/>
    </x:row>
    <x:row r="1301" spans="1:6" x14ac:dyDescent="0.25">
      <x:c r="A1301" s="1"/>
      <x:c r="B1301" s="1"/>
      <x:c r="C1301" s="1"/>
      <x:c r="D1301" s="1"/>
      <x:c r="E1301" s="1"/>
      <x:c r="F1301" s="11"/>
    </x:row>
    <x:row r="1302" spans="1:6" x14ac:dyDescent="0.25">
      <x:c r="A1302" s="1"/>
      <x:c r="B1302" s="1"/>
      <x:c r="C1302" s="1"/>
      <x:c r="D1302" s="1"/>
      <x:c r="E1302" s="1"/>
      <x:c r="F1302" s="11"/>
    </x:row>
    <x:row r="1303" spans="1:6" x14ac:dyDescent="0.25">
      <x:c r="A1303" s="1"/>
      <x:c r="B1303" s="1"/>
      <x:c r="C1303" s="1"/>
      <x:c r="D1303" s="1"/>
      <x:c r="E1303" s="1"/>
      <x:c r="F1303" s="11"/>
    </x:row>
    <x:row r="1304" spans="1:6" x14ac:dyDescent="0.25">
      <x:c r="A1304" s="1"/>
      <x:c r="B1304" s="1"/>
      <x:c r="C1304" s="1"/>
      <x:c r="D1304" s="1"/>
      <x:c r="E1304" s="1"/>
      <x:c r="F1304" s="11"/>
    </x:row>
    <x:row r="1305" spans="1:6" x14ac:dyDescent="0.25">
      <x:c r="A1305" s="1"/>
      <x:c r="B1305" s="1"/>
      <x:c r="C1305" s="1"/>
      <x:c r="D1305" s="1"/>
      <x:c r="E1305" s="1"/>
      <x:c r="F1305" s="11"/>
    </x:row>
    <x:row r="1306" spans="1:6" x14ac:dyDescent="0.25">
      <x:c r="A1306" s="1"/>
      <x:c r="B1306" s="1"/>
      <x:c r="C1306" s="1"/>
      <x:c r="D1306" s="1"/>
      <x:c r="E1306" s="1"/>
      <x:c r="F1306" s="11"/>
    </x:row>
    <x:row r="1307" spans="1:6" x14ac:dyDescent="0.25">
      <x:c r="A1307" s="1"/>
      <x:c r="B1307" s="1"/>
      <x:c r="C1307" s="1"/>
      <x:c r="D1307" s="1"/>
      <x:c r="E1307" s="1"/>
      <x:c r="F1307" s="11"/>
    </x:row>
    <x:row r="1308" spans="1:6" x14ac:dyDescent="0.25">
      <x:c r="A1308" s="1"/>
      <x:c r="B1308" s="1"/>
      <x:c r="C1308" s="1"/>
      <x:c r="D1308" s="1"/>
      <x:c r="E1308" s="1"/>
      <x:c r="F1308" s="11"/>
    </x:row>
    <x:row r="1309" spans="1:6" x14ac:dyDescent="0.25">
      <x:c r="A1309" s="1"/>
      <x:c r="B1309" s="1"/>
      <x:c r="C1309" s="1"/>
      <x:c r="D1309" s="1"/>
      <x:c r="E1309" s="1"/>
      <x:c r="F1309" s="11"/>
    </x:row>
    <x:row r="1310" spans="1:6" x14ac:dyDescent="0.25">
      <x:c r="A1310" s="1"/>
      <x:c r="B1310" s="1"/>
      <x:c r="C1310" s="1"/>
      <x:c r="D1310" s="1"/>
      <x:c r="E1310" s="1"/>
      <x:c r="F1310" s="11"/>
    </x:row>
    <x:row r="1311" spans="1:6" x14ac:dyDescent="0.25">
      <x:c r="A1311" s="1"/>
      <x:c r="B1311" s="1"/>
      <x:c r="C1311" s="1"/>
      <x:c r="D1311" s="1"/>
      <x:c r="E1311" s="1"/>
      <x:c r="F1311" s="11"/>
    </x:row>
    <x:row r="1312" spans="1:6" x14ac:dyDescent="0.25">
      <x:c r="A1312" s="1"/>
      <x:c r="B1312" s="1"/>
      <x:c r="C1312" s="1"/>
      <x:c r="D1312" s="1"/>
      <x:c r="E1312" s="1"/>
      <x:c r="F1312" s="11"/>
    </x:row>
    <x:row r="1313" spans="1:6" x14ac:dyDescent="0.25">
      <x:c r="A1313" s="1"/>
      <x:c r="B1313" s="1"/>
      <x:c r="C1313" s="1"/>
      <x:c r="D1313" s="1"/>
      <x:c r="E1313" s="1"/>
      <x:c r="F1313" s="11"/>
    </x:row>
    <x:row r="1314" spans="1:6" x14ac:dyDescent="0.25">
      <x:c r="A1314" s="1"/>
      <x:c r="B1314" s="1"/>
      <x:c r="C1314" s="1"/>
      <x:c r="D1314" s="1"/>
      <x:c r="E1314" s="1"/>
      <x:c r="F1314" s="11"/>
    </x:row>
    <x:row r="1315" spans="1:6" x14ac:dyDescent="0.25">
      <x:c r="A1315" s="1"/>
      <x:c r="B1315" s="1"/>
      <x:c r="C1315" s="1"/>
      <x:c r="D1315" s="1"/>
      <x:c r="E1315" s="1"/>
      <x:c r="F1315" s="11"/>
    </x:row>
    <x:row r="1316" spans="1:6" x14ac:dyDescent="0.25">
      <x:c r="A1316" s="1"/>
      <x:c r="B1316" s="1"/>
      <x:c r="C1316" s="1"/>
      <x:c r="D1316" s="1"/>
      <x:c r="E1316" s="1"/>
      <x:c r="F1316" s="11"/>
    </x:row>
    <x:row r="1317" spans="1:6" x14ac:dyDescent="0.25">
      <x:c r="A1317" s="1"/>
      <x:c r="B1317" s="1"/>
      <x:c r="C1317" s="1"/>
      <x:c r="D1317" s="1"/>
      <x:c r="E1317" s="1"/>
      <x:c r="F1317" s="11"/>
    </x:row>
    <x:row r="1318" spans="1:6" x14ac:dyDescent="0.25">
      <x:c r="A1318" s="1"/>
      <x:c r="B1318" s="1"/>
      <x:c r="C1318" s="1"/>
      <x:c r="D1318" s="1"/>
      <x:c r="E1318" s="1"/>
      <x:c r="F1318" s="11"/>
    </x:row>
    <x:row r="1319" spans="1:6" x14ac:dyDescent="0.25">
      <x:c r="A1319" s="1"/>
      <x:c r="B1319" s="1"/>
      <x:c r="C1319" s="1"/>
      <x:c r="D1319" s="1"/>
      <x:c r="E1319" s="1"/>
      <x:c r="F1319" s="11"/>
    </x:row>
    <x:row r="1320" spans="1:6" x14ac:dyDescent="0.25">
      <x:c r="A1320" s="1"/>
      <x:c r="B1320" s="1"/>
      <x:c r="C1320" s="1"/>
      <x:c r="D1320" s="1"/>
      <x:c r="E1320" s="1"/>
      <x:c r="F1320" s="11"/>
    </x:row>
    <x:row r="1321" spans="1:6" x14ac:dyDescent="0.25">
      <x:c r="A1321" s="1"/>
      <x:c r="B1321" s="1"/>
      <x:c r="C1321" s="1"/>
      <x:c r="D1321" s="1"/>
      <x:c r="E1321" s="1"/>
      <x:c r="F1321" s="11"/>
    </x:row>
    <x:row r="1322" spans="1:6" x14ac:dyDescent="0.25">
      <x:c r="A1322" s="1"/>
      <x:c r="B1322" s="1"/>
      <x:c r="C1322" s="1"/>
      <x:c r="D1322" s="1"/>
      <x:c r="E1322" s="1"/>
      <x:c r="F1322" s="11"/>
    </x:row>
    <x:row r="1323" spans="1:6" x14ac:dyDescent="0.25">
      <x:c r="A1323" s="1"/>
      <x:c r="B1323" s="1"/>
      <x:c r="C1323" s="1"/>
      <x:c r="D1323" s="1"/>
      <x:c r="E1323" s="1"/>
      <x:c r="F1323" s="11"/>
    </x:row>
    <x:row r="1324" spans="1:6" x14ac:dyDescent="0.25">
      <x:c r="A1324" s="1"/>
      <x:c r="B1324" s="1"/>
      <x:c r="C1324" s="1"/>
      <x:c r="D1324" s="1"/>
      <x:c r="E1324" s="1"/>
      <x:c r="F1324" s="11"/>
    </x:row>
    <x:row r="1325" spans="1:6" x14ac:dyDescent="0.25">
      <x:c r="A1325" s="1"/>
      <x:c r="B1325" s="1"/>
      <x:c r="C1325" s="1"/>
      <x:c r="D1325" s="1"/>
      <x:c r="E1325" s="1"/>
      <x:c r="F1325" s="11"/>
    </x:row>
    <x:row r="1326" spans="1:6" x14ac:dyDescent="0.25">
      <x:c r="A1326" s="1"/>
      <x:c r="B1326" s="1"/>
      <x:c r="C1326" s="1"/>
      <x:c r="D1326" s="1"/>
      <x:c r="E1326" s="1"/>
      <x:c r="F1326" s="11"/>
    </x:row>
    <x:row r="1327" spans="1:6" x14ac:dyDescent="0.25">
      <x:c r="A1327" s="1"/>
      <x:c r="B1327" s="1"/>
      <x:c r="C1327" s="1"/>
      <x:c r="D1327" s="1"/>
      <x:c r="E1327" s="1"/>
      <x:c r="F1327" s="11"/>
    </x:row>
    <x:row r="1328" spans="1:6" x14ac:dyDescent="0.25">
      <x:c r="A1328" s="1"/>
      <x:c r="B1328" s="1"/>
      <x:c r="C1328" s="1"/>
      <x:c r="D1328" s="1"/>
      <x:c r="E1328" s="1"/>
      <x:c r="F1328" s="11"/>
    </x:row>
    <x:row r="1329" spans="1:6" x14ac:dyDescent="0.25">
      <x:c r="A1329" s="1"/>
      <x:c r="B1329" s="1"/>
      <x:c r="C1329" s="1"/>
      <x:c r="D1329" s="1"/>
      <x:c r="E1329" s="1"/>
      <x:c r="F1329" s="11"/>
    </x:row>
    <x:row r="1330" spans="1:6" x14ac:dyDescent="0.25">
      <x:c r="A1330" s="1"/>
      <x:c r="B1330" s="1"/>
      <x:c r="C1330" s="1"/>
      <x:c r="D1330" s="1"/>
      <x:c r="E1330" s="1"/>
      <x:c r="F1330" s="11"/>
    </x:row>
    <x:row r="1331" spans="1:6" x14ac:dyDescent="0.25">
      <x:c r="A1331" s="1"/>
      <x:c r="B1331" s="1"/>
      <x:c r="C1331" s="1"/>
      <x:c r="D1331" s="1"/>
      <x:c r="E1331" s="1"/>
      <x:c r="F1331" s="11"/>
    </x:row>
    <x:row r="1332" spans="1:6" x14ac:dyDescent="0.25">
      <x:c r="A1332" s="1"/>
      <x:c r="B1332" s="1"/>
      <x:c r="C1332" s="1"/>
      <x:c r="D1332" s="1"/>
      <x:c r="E1332" s="1"/>
      <x:c r="F1332" s="11"/>
    </x:row>
    <x:row r="1333" spans="1:6" x14ac:dyDescent="0.25">
      <x:c r="A1333" s="1"/>
      <x:c r="B1333" s="1"/>
      <x:c r="C1333" s="1"/>
      <x:c r="D1333" s="1"/>
      <x:c r="E1333" s="1"/>
      <x:c r="F1333" s="11"/>
    </x:row>
    <x:row r="1334" spans="1:6" x14ac:dyDescent="0.25">
      <x:c r="A1334" s="1"/>
      <x:c r="B1334" s="1"/>
      <x:c r="C1334" s="1"/>
      <x:c r="D1334" s="1"/>
      <x:c r="E1334" s="1"/>
      <x:c r="F1334" s="11"/>
    </x:row>
    <x:row r="1335" spans="1:6" x14ac:dyDescent="0.25">
      <x:c r="A1335" s="1"/>
      <x:c r="B1335" s="1"/>
      <x:c r="C1335" s="1"/>
      <x:c r="D1335" s="1"/>
      <x:c r="E1335" s="1"/>
      <x:c r="F1335" s="11"/>
    </x:row>
    <x:row r="1336" spans="1:6" x14ac:dyDescent="0.25">
      <x:c r="A1336" s="1"/>
      <x:c r="B1336" s="1"/>
      <x:c r="C1336" s="1"/>
      <x:c r="D1336" s="1"/>
      <x:c r="E1336" s="1"/>
      <x:c r="F1336" s="11"/>
    </x:row>
    <x:row r="1337" spans="1:6" x14ac:dyDescent="0.25">
      <x:c r="A1337" s="1"/>
      <x:c r="B1337" s="1"/>
      <x:c r="C1337" s="1"/>
      <x:c r="D1337" s="1"/>
      <x:c r="E1337" s="1"/>
      <x:c r="F1337" s="11"/>
    </x:row>
    <x:row r="1338" spans="1:6" x14ac:dyDescent="0.25">
      <x:c r="A1338" s="1"/>
      <x:c r="B1338" s="1"/>
      <x:c r="C1338" s="1"/>
      <x:c r="D1338" s="1"/>
      <x:c r="E1338" s="1"/>
      <x:c r="F1338" s="11"/>
    </x:row>
    <x:row r="1339" spans="1:6" x14ac:dyDescent="0.25">
      <x:c r="A1339" s="1"/>
      <x:c r="B1339" s="1"/>
      <x:c r="C1339" s="1"/>
      <x:c r="D1339" s="1"/>
      <x:c r="E1339" s="1"/>
      <x:c r="F1339" s="11"/>
    </x:row>
    <x:row r="1340" spans="1:6" x14ac:dyDescent="0.25">
      <x:c r="A1340" s="1"/>
      <x:c r="B1340" s="1"/>
      <x:c r="C1340" s="1"/>
      <x:c r="D1340" s="1"/>
      <x:c r="E1340" s="1"/>
      <x:c r="F1340" s="11"/>
    </x:row>
    <x:row r="1341" spans="1:6" x14ac:dyDescent="0.25">
      <x:c r="A1341" s="1"/>
      <x:c r="B1341" s="1"/>
      <x:c r="C1341" s="1"/>
      <x:c r="D1341" s="1"/>
      <x:c r="E1341" s="1"/>
      <x:c r="F1341" s="11"/>
    </x:row>
    <x:row r="1342" spans="1:6" x14ac:dyDescent="0.25">
      <x:c r="A1342" s="1"/>
      <x:c r="B1342" s="1"/>
      <x:c r="C1342" s="1"/>
      <x:c r="D1342" s="1"/>
      <x:c r="E1342" s="1"/>
      <x:c r="F1342" s="11"/>
    </x:row>
    <x:row r="1343" spans="1:6" x14ac:dyDescent="0.25">
      <x:c r="A1343" s="1"/>
      <x:c r="B1343" s="1"/>
      <x:c r="C1343" s="1"/>
      <x:c r="D1343" s="1"/>
      <x:c r="E1343" s="1"/>
      <x:c r="F1343" s="11"/>
    </x:row>
    <x:row r="1344" spans="1:6" x14ac:dyDescent="0.25">
      <x:c r="A1344" s="1"/>
      <x:c r="B1344" s="1"/>
      <x:c r="C1344" s="1"/>
      <x:c r="D1344" s="1"/>
      <x:c r="E1344" s="1"/>
      <x:c r="F1344" s="11"/>
    </x:row>
    <x:row r="1345" spans="1:6" x14ac:dyDescent="0.25">
      <x:c r="A1345" s="1"/>
      <x:c r="B1345" s="1"/>
      <x:c r="C1345" s="1"/>
      <x:c r="D1345" s="1"/>
      <x:c r="E1345" s="1"/>
      <x:c r="F1345" s="11"/>
    </x:row>
    <x:row r="1346" spans="1:6" x14ac:dyDescent="0.25">
      <x:c r="A1346" s="1"/>
      <x:c r="B1346" s="1"/>
      <x:c r="C1346" s="1"/>
      <x:c r="D1346" s="1"/>
      <x:c r="E1346" s="1"/>
      <x:c r="F1346" s="11"/>
    </x:row>
    <x:row r="1347" spans="1:6" x14ac:dyDescent="0.25">
      <x:c r="A1347" s="1"/>
      <x:c r="B1347" s="1"/>
      <x:c r="C1347" s="1"/>
      <x:c r="D1347" s="1"/>
      <x:c r="E1347" s="1"/>
      <x:c r="F1347" s="11"/>
    </x:row>
    <x:row r="1348" spans="1:6" x14ac:dyDescent="0.25">
      <x:c r="A1348" s="1"/>
      <x:c r="B1348" s="1"/>
      <x:c r="C1348" s="1"/>
      <x:c r="D1348" s="1"/>
      <x:c r="E1348" s="1"/>
      <x:c r="F1348" s="11"/>
    </x:row>
    <x:row r="1349" spans="1:6" x14ac:dyDescent="0.25">
      <x:c r="A1349" s="1"/>
      <x:c r="B1349" s="1"/>
      <x:c r="C1349" s="1"/>
      <x:c r="D1349" s="1"/>
      <x:c r="E1349" s="1"/>
      <x:c r="F1349" s="11"/>
    </x:row>
    <x:row r="1350" spans="1:6" x14ac:dyDescent="0.25">
      <x:c r="A1350" s="1"/>
      <x:c r="B1350" s="1"/>
      <x:c r="C1350" s="1"/>
      <x:c r="D1350" s="1"/>
      <x:c r="E1350" s="1"/>
      <x:c r="F1350" s="11"/>
    </x:row>
    <x:row r="1351" spans="1:6" x14ac:dyDescent="0.25">
      <x:c r="A1351" s="1"/>
      <x:c r="B1351" s="1"/>
      <x:c r="C1351" s="1"/>
      <x:c r="D1351" s="1"/>
      <x:c r="E1351" s="1"/>
      <x:c r="F1351" s="11"/>
    </x:row>
    <x:row r="1352" spans="1:6" x14ac:dyDescent="0.25">
      <x:c r="A1352" s="1"/>
      <x:c r="B1352" s="1"/>
      <x:c r="C1352" s="1"/>
      <x:c r="D1352" s="1"/>
      <x:c r="E1352" s="1"/>
      <x:c r="F1352" s="11"/>
    </x:row>
    <x:row r="1353" spans="1:6" x14ac:dyDescent="0.25">
      <x:c r="A1353" s="1"/>
      <x:c r="B1353" s="1"/>
      <x:c r="C1353" s="1"/>
      <x:c r="D1353" s="1"/>
      <x:c r="E1353" s="1"/>
      <x:c r="F1353" s="11"/>
    </x:row>
    <x:row r="1354" spans="1:6" x14ac:dyDescent="0.25">
      <x:c r="A1354" s="1"/>
      <x:c r="B1354" s="1"/>
      <x:c r="C1354" s="1"/>
      <x:c r="D1354" s="1"/>
      <x:c r="E1354" s="1"/>
      <x:c r="F1354" s="11"/>
    </x:row>
    <x:row r="1355" spans="1:6" x14ac:dyDescent="0.25">
      <x:c r="A1355" s="1"/>
      <x:c r="B1355" s="1"/>
      <x:c r="C1355" s="1"/>
      <x:c r="D1355" s="1"/>
      <x:c r="E1355" s="1"/>
      <x:c r="F1355" s="11"/>
    </x:row>
    <x:row r="1356" spans="1:6" x14ac:dyDescent="0.25">
      <x:c r="A1356" s="1"/>
      <x:c r="B1356" s="1"/>
      <x:c r="C1356" s="1"/>
      <x:c r="D1356" s="1"/>
      <x:c r="E1356" s="1"/>
      <x:c r="F1356" s="11"/>
    </x:row>
    <x:row r="1357" spans="1:6" x14ac:dyDescent="0.25">
      <x:c r="A1357" s="1"/>
      <x:c r="B1357" s="1"/>
      <x:c r="C1357" s="1"/>
      <x:c r="D1357" s="1"/>
      <x:c r="E1357" s="1"/>
      <x:c r="F1357" s="11"/>
    </x:row>
    <x:row r="1358" spans="1:6" x14ac:dyDescent="0.25">
      <x:c r="A1358" s="1"/>
      <x:c r="B1358" s="1"/>
      <x:c r="C1358" s="1"/>
      <x:c r="D1358" s="1"/>
      <x:c r="E1358" s="1"/>
      <x:c r="F1358" s="11"/>
    </x:row>
    <x:row r="1359" spans="1:6" x14ac:dyDescent="0.25">
      <x:c r="A1359" s="1"/>
      <x:c r="B1359" s="1"/>
      <x:c r="C1359" s="1"/>
      <x:c r="D1359" s="1"/>
      <x:c r="E1359" s="1"/>
      <x:c r="F1359" s="11"/>
    </x:row>
    <x:row r="1360" spans="1:6" x14ac:dyDescent="0.25">
      <x:c r="A1360" s="1"/>
      <x:c r="B1360" s="1"/>
      <x:c r="C1360" s="1"/>
      <x:c r="D1360" s="1"/>
      <x:c r="E1360" s="1"/>
      <x:c r="F1360" s="11"/>
    </x:row>
    <x:row r="1361" spans="1:6" x14ac:dyDescent="0.25">
      <x:c r="A1361" s="1"/>
      <x:c r="B1361" s="1"/>
      <x:c r="C1361" s="1"/>
      <x:c r="D1361" s="1"/>
      <x:c r="E1361" s="1"/>
      <x:c r="F1361" s="11"/>
    </x:row>
    <x:row r="1362" spans="1:6" x14ac:dyDescent="0.25">
      <x:c r="A1362" s="1"/>
      <x:c r="B1362" s="1"/>
      <x:c r="C1362" s="1"/>
      <x:c r="D1362" s="1"/>
      <x:c r="E1362" s="1"/>
      <x:c r="F1362" s="11"/>
    </x:row>
    <x:row r="1363" spans="1:6" x14ac:dyDescent="0.25">
      <x:c r="A1363" s="1"/>
      <x:c r="B1363" s="1"/>
      <x:c r="C1363" s="1"/>
      <x:c r="D1363" s="1"/>
      <x:c r="E1363" s="1"/>
      <x:c r="F1363" s="11"/>
    </x:row>
    <x:row r="1364" spans="1:6" x14ac:dyDescent="0.25">
      <x:c r="A1364" s="1"/>
      <x:c r="B1364" s="1"/>
      <x:c r="C1364" s="1"/>
      <x:c r="D1364" s="1"/>
      <x:c r="E1364" s="1"/>
      <x:c r="F1364" s="11"/>
    </x:row>
    <x:row r="1365" spans="1:6" x14ac:dyDescent="0.25">
      <x:c r="A1365" s="1"/>
      <x:c r="B1365" s="1"/>
      <x:c r="C1365" s="1"/>
      <x:c r="D1365" s="1"/>
      <x:c r="E1365" s="1"/>
      <x:c r="F1365" s="11"/>
    </x:row>
    <x:row r="1366" spans="1:6" x14ac:dyDescent="0.25">
      <x:c r="A1366" s="1"/>
      <x:c r="B1366" s="1"/>
      <x:c r="C1366" s="1"/>
      <x:c r="D1366" s="1"/>
      <x:c r="E1366" s="1"/>
      <x:c r="F1366" s="11"/>
    </x:row>
    <x:row r="1367" spans="1:6" x14ac:dyDescent="0.25">
      <x:c r="A1367" s="1"/>
      <x:c r="B1367" s="1"/>
      <x:c r="C1367" s="1"/>
      <x:c r="D1367" s="1"/>
      <x:c r="E1367" s="1"/>
      <x:c r="F1367" s="11"/>
    </x:row>
    <x:row r="1368" spans="1:6" x14ac:dyDescent="0.25">
      <x:c r="A1368" s="1"/>
      <x:c r="B1368" s="1"/>
      <x:c r="C1368" s="1"/>
      <x:c r="D1368" s="1"/>
      <x:c r="E1368" s="1"/>
      <x:c r="F1368" s="11"/>
    </x:row>
    <x:row r="1369" spans="1:6" x14ac:dyDescent="0.25">
      <x:c r="A1369" s="1"/>
      <x:c r="B1369" s="1"/>
      <x:c r="C1369" s="1"/>
      <x:c r="D1369" s="1"/>
      <x:c r="E1369" s="1"/>
      <x:c r="F1369" s="11"/>
    </x:row>
    <x:row r="1370" spans="1:6" x14ac:dyDescent="0.25">
      <x:c r="A1370" s="1"/>
      <x:c r="B1370" s="1"/>
      <x:c r="C1370" s="1"/>
      <x:c r="D1370" s="1"/>
      <x:c r="E1370" s="1"/>
      <x:c r="F1370" s="11"/>
    </x:row>
    <x:row r="1371" spans="1:6" x14ac:dyDescent="0.25">
      <x:c r="A1371" s="1"/>
      <x:c r="B1371" s="1"/>
      <x:c r="C1371" s="1"/>
      <x:c r="D1371" s="1"/>
      <x:c r="E1371" s="1"/>
      <x:c r="F1371" s="11"/>
    </x:row>
    <x:row r="1372" spans="1:6" x14ac:dyDescent="0.25">
      <x:c r="A1372" s="1"/>
      <x:c r="B1372" s="1"/>
      <x:c r="C1372" s="1"/>
      <x:c r="D1372" s="1"/>
      <x:c r="E1372" s="1"/>
      <x:c r="F1372" s="11"/>
    </x:row>
    <x:row r="1373" spans="1:6" x14ac:dyDescent="0.25">
      <x:c r="A1373" s="1"/>
      <x:c r="B1373" s="1"/>
      <x:c r="C1373" s="1"/>
      <x:c r="D1373" s="1"/>
      <x:c r="E1373" s="1"/>
      <x:c r="F1373" s="11"/>
    </x:row>
    <x:row r="1374" spans="1:6" x14ac:dyDescent="0.25">
      <x:c r="A1374" s="1"/>
      <x:c r="B1374" s="1"/>
      <x:c r="C1374" s="1"/>
      <x:c r="D1374" s="1"/>
      <x:c r="E1374" s="1"/>
      <x:c r="F1374" s="11"/>
    </x:row>
    <x:row r="1375" spans="1:6" x14ac:dyDescent="0.25">
      <x:c r="A1375" s="1"/>
      <x:c r="B1375" s="1"/>
      <x:c r="C1375" s="1"/>
      <x:c r="D1375" s="1"/>
      <x:c r="E1375" s="1"/>
      <x:c r="F1375" s="11"/>
    </x:row>
    <x:row r="1376" spans="1:6" x14ac:dyDescent="0.25">
      <x:c r="A1376" s="1"/>
      <x:c r="B1376" s="1"/>
      <x:c r="C1376" s="1"/>
      <x:c r="D1376" s="1"/>
      <x:c r="E1376" s="1"/>
      <x:c r="F1376" s="11"/>
    </x:row>
    <x:row r="1377" spans="1:6" x14ac:dyDescent="0.25">
      <x:c r="A1377" s="1"/>
      <x:c r="B1377" s="1"/>
      <x:c r="C1377" s="1"/>
      <x:c r="D1377" s="1"/>
      <x:c r="E1377" s="1"/>
      <x:c r="F1377" s="11"/>
    </x:row>
    <x:row r="1378" spans="1:6" x14ac:dyDescent="0.25">
      <x:c r="A1378" s="1"/>
      <x:c r="B1378" s="1"/>
      <x:c r="C1378" s="1"/>
      <x:c r="D1378" s="1"/>
      <x:c r="E1378" s="1"/>
      <x:c r="F1378" s="11"/>
    </x:row>
    <x:row r="1379" spans="1:6" x14ac:dyDescent="0.25">
      <x:c r="A1379" s="1"/>
      <x:c r="B1379" s="1"/>
      <x:c r="C1379" s="1"/>
      <x:c r="D1379" s="1"/>
      <x:c r="E1379" s="1"/>
      <x:c r="F1379" s="11"/>
    </x:row>
    <x:row r="1380" spans="1:6" x14ac:dyDescent="0.25">
      <x:c r="A1380" s="1"/>
      <x:c r="B1380" s="1"/>
      <x:c r="C1380" s="1"/>
      <x:c r="D1380" s="1"/>
      <x:c r="E1380" s="1"/>
      <x:c r="F1380" s="11"/>
    </x:row>
    <x:row r="1381" spans="1:6" x14ac:dyDescent="0.25">
      <x:c r="A1381" s="1"/>
      <x:c r="B1381" s="1"/>
      <x:c r="C1381" s="1"/>
      <x:c r="D1381" s="1"/>
      <x:c r="E1381" s="1"/>
      <x:c r="F1381" s="11"/>
    </x:row>
    <x:row r="1382" spans="1:6" x14ac:dyDescent="0.25">
      <x:c r="A1382" s="1"/>
      <x:c r="B1382" s="1"/>
      <x:c r="C1382" s="1"/>
      <x:c r="D1382" s="1"/>
      <x:c r="E1382" s="1"/>
      <x:c r="F1382" s="11"/>
    </x:row>
    <x:row r="1383" spans="1:6" x14ac:dyDescent="0.25">
      <x:c r="A1383" s="1"/>
      <x:c r="B1383" s="1"/>
      <x:c r="C1383" s="1"/>
      <x:c r="D1383" s="1"/>
      <x:c r="E1383" s="1"/>
      <x:c r="F1383" s="11"/>
    </x:row>
    <x:row r="1384" spans="1:6" x14ac:dyDescent="0.25">
      <x:c r="A1384" s="1"/>
      <x:c r="B1384" s="1"/>
      <x:c r="C1384" s="1"/>
      <x:c r="D1384" s="1"/>
      <x:c r="E1384" s="1"/>
      <x:c r="F1384" s="11"/>
    </x:row>
    <x:row r="1385" spans="1:6" x14ac:dyDescent="0.25">
      <x:c r="A1385" s="1"/>
      <x:c r="B1385" s="1"/>
      <x:c r="C1385" s="1"/>
      <x:c r="D1385" s="1"/>
      <x:c r="E1385" s="1"/>
      <x:c r="F1385" s="11"/>
    </x:row>
    <x:row r="1386" spans="1:6" x14ac:dyDescent="0.25">
      <x:c r="A1386" s="1"/>
      <x:c r="B1386" s="1"/>
      <x:c r="C1386" s="1"/>
      <x:c r="D1386" s="1"/>
      <x:c r="E1386" s="1"/>
      <x:c r="F1386" s="11"/>
    </x:row>
    <x:row r="1387" spans="1:6" x14ac:dyDescent="0.25">
      <x:c r="A1387" s="1"/>
      <x:c r="B1387" s="1"/>
      <x:c r="C1387" s="1"/>
      <x:c r="D1387" s="1"/>
      <x:c r="E1387" s="1"/>
      <x:c r="F1387" s="11"/>
    </x:row>
    <x:row r="1388" spans="1:6" x14ac:dyDescent="0.25">
      <x:c r="A1388" s="1"/>
      <x:c r="B1388" s="1"/>
      <x:c r="C1388" s="1"/>
      <x:c r="D1388" s="1"/>
      <x:c r="E1388" s="1"/>
      <x:c r="F1388" s="11"/>
    </x:row>
    <x:row r="1389" spans="1:6" x14ac:dyDescent="0.25">
      <x:c r="A1389" s="1"/>
      <x:c r="B1389" s="1"/>
      <x:c r="C1389" s="1"/>
      <x:c r="D1389" s="1"/>
      <x:c r="E1389" s="1"/>
      <x:c r="F1389" s="11"/>
    </x:row>
    <x:row r="1390" spans="1:6" x14ac:dyDescent="0.25">
      <x:c r="A1390" s="1"/>
      <x:c r="B1390" s="1"/>
      <x:c r="C1390" s="1"/>
      <x:c r="D1390" s="1"/>
      <x:c r="E1390" s="1"/>
      <x:c r="F1390" s="11"/>
    </x:row>
    <x:row r="1391" spans="1:6" x14ac:dyDescent="0.25">
      <x:c r="A1391" s="1"/>
      <x:c r="B1391" s="1"/>
      <x:c r="C1391" s="1"/>
      <x:c r="D1391" s="1"/>
      <x:c r="E1391" s="1"/>
      <x:c r="F1391" s="11"/>
    </x:row>
    <x:row r="1392" spans="1:6" x14ac:dyDescent="0.25">
      <x:c r="A1392" s="1"/>
      <x:c r="B1392" s="1"/>
      <x:c r="C1392" s="1"/>
      <x:c r="D1392" s="1"/>
      <x:c r="E1392" s="1"/>
      <x:c r="F1392" s="11"/>
    </x:row>
    <x:row r="1393" spans="1:6" x14ac:dyDescent="0.25">
      <x:c r="A1393" s="1"/>
      <x:c r="B1393" s="1"/>
      <x:c r="C1393" s="1"/>
      <x:c r="D1393" s="1"/>
      <x:c r="E1393" s="1"/>
      <x:c r="F1393" s="11"/>
    </x:row>
    <x:row r="1394" spans="1:6" x14ac:dyDescent="0.25">
      <x:c r="A1394" s="1"/>
      <x:c r="B1394" s="1"/>
      <x:c r="C1394" s="1"/>
      <x:c r="D1394" s="1"/>
      <x:c r="E1394" s="1"/>
      <x:c r="F1394" s="11"/>
    </x:row>
    <x:row r="1395" spans="1:6" x14ac:dyDescent="0.25">
      <x:c r="A1395" s="1"/>
      <x:c r="B1395" s="1"/>
      <x:c r="C1395" s="1"/>
      <x:c r="D1395" s="1"/>
      <x:c r="E1395" s="1"/>
      <x:c r="F1395" s="11"/>
    </x:row>
    <x:row r="1396" spans="1:6" x14ac:dyDescent="0.25">
      <x:c r="A1396" s="1"/>
      <x:c r="B1396" s="1"/>
      <x:c r="C1396" s="1"/>
      <x:c r="D1396" s="1"/>
      <x:c r="E1396" s="1"/>
      <x:c r="F1396" s="11"/>
    </x:row>
    <x:row r="1397" spans="1:6" x14ac:dyDescent="0.25">
      <x:c r="A1397" s="1"/>
      <x:c r="B1397" s="1"/>
      <x:c r="C1397" s="1"/>
      <x:c r="D1397" s="1"/>
      <x:c r="E1397" s="1"/>
      <x:c r="F1397" s="11"/>
    </x:row>
    <x:row r="1398" spans="1:6" x14ac:dyDescent="0.25">
      <x:c r="A1398" s="1"/>
      <x:c r="B1398" s="1"/>
      <x:c r="C1398" s="1"/>
      <x:c r="D1398" s="1"/>
      <x:c r="E1398" s="1"/>
      <x:c r="F1398" s="11"/>
    </x:row>
    <x:row r="1399" spans="1:6" x14ac:dyDescent="0.25">
      <x:c r="A1399" s="1"/>
      <x:c r="B1399" s="1"/>
      <x:c r="C1399" s="1"/>
      <x:c r="D1399" s="1"/>
      <x:c r="E1399" s="1"/>
      <x:c r="F1399" s="11"/>
    </x:row>
    <x:row r="1400" spans="1:6" x14ac:dyDescent="0.25">
      <x:c r="A1400" s="1"/>
      <x:c r="B1400" s="1"/>
      <x:c r="C1400" s="1"/>
      <x:c r="D1400" s="1"/>
      <x:c r="E1400" s="1"/>
      <x:c r="F1400" s="11"/>
    </x:row>
    <x:row r="1401" spans="1:6" x14ac:dyDescent="0.25">
      <x:c r="A1401" s="1"/>
      <x:c r="B1401" s="1"/>
      <x:c r="C1401" s="1"/>
      <x:c r="D1401" s="1"/>
      <x:c r="E1401" s="1"/>
      <x:c r="F1401" s="11"/>
    </x:row>
    <x:row r="1402" spans="1:6" x14ac:dyDescent="0.25">
      <x:c r="A1402" s="1"/>
      <x:c r="B1402" s="1"/>
      <x:c r="C1402" s="1"/>
      <x:c r="D1402" s="1"/>
      <x:c r="E1402" s="1"/>
      <x:c r="F1402" s="11"/>
    </x:row>
    <x:row r="1403" spans="1:6" x14ac:dyDescent="0.25">
      <x:c r="A1403" s="1"/>
      <x:c r="B1403" s="1"/>
      <x:c r="C1403" s="1"/>
      <x:c r="D1403" s="1"/>
      <x:c r="E1403" s="1"/>
      <x:c r="F1403" s="11"/>
    </x:row>
    <x:row r="1404" spans="1:6" x14ac:dyDescent="0.25">
      <x:c r="A1404" s="1"/>
      <x:c r="B1404" s="1"/>
      <x:c r="C1404" s="1"/>
      <x:c r="D1404" s="1"/>
      <x:c r="E1404" s="1"/>
      <x:c r="F1404" s="11"/>
    </x:row>
    <x:row r="1405" spans="1:6" x14ac:dyDescent="0.25">
      <x:c r="A1405" s="1"/>
      <x:c r="B1405" s="1"/>
      <x:c r="C1405" s="1"/>
      <x:c r="D1405" s="1"/>
      <x:c r="E1405" s="1"/>
      <x:c r="F1405" s="11"/>
    </x:row>
    <x:row r="1406" spans="1:6" x14ac:dyDescent="0.25">
      <x:c r="A1406" s="1"/>
      <x:c r="B1406" s="1"/>
      <x:c r="C1406" s="1"/>
      <x:c r="D1406" s="1"/>
      <x:c r="E1406" s="1"/>
      <x:c r="F1406" s="11"/>
    </x:row>
    <x:row r="1407" spans="1:6" x14ac:dyDescent="0.25">
      <x:c r="A1407" s="1"/>
      <x:c r="B1407" s="1"/>
      <x:c r="C1407" s="1"/>
      <x:c r="D1407" s="1"/>
      <x:c r="E1407" s="1"/>
      <x:c r="F1407" s="11"/>
    </x:row>
    <x:row r="1408" spans="1:6" x14ac:dyDescent="0.25">
      <x:c r="A1408" s="1"/>
      <x:c r="B1408" s="1"/>
      <x:c r="C1408" s="1"/>
      <x:c r="D1408" s="1"/>
      <x:c r="E1408" s="1"/>
      <x:c r="F1408" s="11"/>
    </x:row>
    <x:row r="1409" spans="1:6" x14ac:dyDescent="0.25">
      <x:c r="A1409" s="1"/>
      <x:c r="B1409" s="1"/>
      <x:c r="C1409" s="1"/>
      <x:c r="D1409" s="1"/>
      <x:c r="E1409" s="1"/>
      <x:c r="F1409" s="11"/>
    </x:row>
    <x:row r="1410" spans="1:6" x14ac:dyDescent="0.25">
      <x:c r="A1410" s="1"/>
      <x:c r="B1410" s="1"/>
      <x:c r="C1410" s="1"/>
      <x:c r="D1410" s="1"/>
      <x:c r="E1410" s="1"/>
      <x:c r="F1410" s="11"/>
    </x:row>
    <x:row r="1411" spans="1:6" x14ac:dyDescent="0.25">
      <x:c r="A1411" s="1"/>
      <x:c r="B1411" s="1"/>
      <x:c r="C1411" s="1"/>
      <x:c r="D1411" s="1"/>
      <x:c r="E1411" s="1"/>
      <x:c r="F1411" s="11"/>
    </x:row>
    <x:row r="1412" spans="1:6" x14ac:dyDescent="0.25">
      <x:c r="A1412" s="1"/>
      <x:c r="B1412" s="1"/>
      <x:c r="C1412" s="1"/>
      <x:c r="D1412" s="1"/>
      <x:c r="E1412" s="1"/>
      <x:c r="F1412" s="11"/>
    </x:row>
    <x:row r="1413" spans="1:6" x14ac:dyDescent="0.25">
      <x:c r="A1413" s="1"/>
      <x:c r="B1413" s="1"/>
      <x:c r="C1413" s="1"/>
      <x:c r="D1413" s="1"/>
      <x:c r="E1413" s="1"/>
      <x:c r="F1413" s="11"/>
    </x:row>
    <x:row r="1414" spans="1:6" x14ac:dyDescent="0.25">
      <x:c r="A1414" s="1"/>
      <x:c r="B1414" s="1"/>
      <x:c r="C1414" s="1"/>
      <x:c r="D1414" s="1"/>
      <x:c r="E1414" s="1"/>
      <x:c r="F1414" s="11"/>
    </x:row>
    <x:row r="1415" spans="1:6" x14ac:dyDescent="0.25">
      <x:c r="A1415" s="1"/>
      <x:c r="B1415" s="1"/>
      <x:c r="C1415" s="1"/>
      <x:c r="D1415" s="1"/>
      <x:c r="E1415" s="1"/>
      <x:c r="F1415" s="11"/>
    </x:row>
    <x:row r="1416" spans="1:6" x14ac:dyDescent="0.25">
      <x:c r="A1416" s="1"/>
      <x:c r="B1416" s="1"/>
      <x:c r="C1416" s="1"/>
      <x:c r="D1416" s="1"/>
      <x:c r="E1416" s="1"/>
      <x:c r="F1416" s="11"/>
    </x:row>
    <x:row r="1417" spans="1:6" x14ac:dyDescent="0.25">
      <x:c r="A1417" s="1"/>
      <x:c r="B1417" s="1"/>
      <x:c r="C1417" s="1"/>
      <x:c r="D1417" s="1"/>
      <x:c r="E1417" s="1"/>
      <x:c r="F1417" s="11"/>
    </x:row>
    <x:row r="1418" spans="1:6" x14ac:dyDescent="0.25">
      <x:c r="A1418" s="1"/>
      <x:c r="B1418" s="1"/>
      <x:c r="C1418" s="1"/>
      <x:c r="D1418" s="1"/>
      <x:c r="E1418" s="1"/>
      <x:c r="F1418" s="11"/>
    </x:row>
    <x:row r="1419" spans="1:6" x14ac:dyDescent="0.25">
      <x:c r="A1419" s="1"/>
      <x:c r="B1419" s="1"/>
      <x:c r="C1419" s="1"/>
      <x:c r="D1419" s="1"/>
      <x:c r="E1419" s="1"/>
      <x:c r="F1419" s="11"/>
    </x:row>
    <x:row r="1420" spans="1:6" x14ac:dyDescent="0.25">
      <x:c r="A1420" s="1"/>
      <x:c r="B1420" s="1"/>
      <x:c r="C1420" s="1"/>
      <x:c r="D1420" s="1"/>
      <x:c r="E1420" s="1"/>
      <x:c r="F1420" s="11"/>
    </x:row>
    <x:row r="1421" spans="1:6" x14ac:dyDescent="0.25">
      <x:c r="A1421" s="1"/>
      <x:c r="B1421" s="1"/>
      <x:c r="C1421" s="1"/>
      <x:c r="D1421" s="1"/>
      <x:c r="E1421" s="1"/>
      <x:c r="F1421" s="11"/>
    </x:row>
    <x:row r="1422" spans="1:6" x14ac:dyDescent="0.25">
      <x:c r="A1422" s="1"/>
      <x:c r="B1422" s="1"/>
      <x:c r="C1422" s="1"/>
      <x:c r="D1422" s="1"/>
      <x:c r="E1422" s="1"/>
      <x:c r="F1422" s="11"/>
    </x:row>
    <x:row r="1423" spans="1:6" x14ac:dyDescent="0.25">
      <x:c r="A1423" s="1"/>
      <x:c r="B1423" s="1"/>
      <x:c r="C1423" s="1"/>
      <x:c r="D1423" s="1"/>
      <x:c r="E1423" s="1"/>
      <x:c r="F1423" s="11"/>
    </x:row>
    <x:row r="1424" spans="1:6" x14ac:dyDescent="0.25">
      <x:c r="A1424" s="1"/>
      <x:c r="B1424" s="1"/>
      <x:c r="C1424" s="1"/>
      <x:c r="D1424" s="1"/>
      <x:c r="E1424" s="1"/>
      <x:c r="F1424" s="11"/>
    </x:row>
    <x:row r="1425" spans="1:6" x14ac:dyDescent="0.25">
      <x:c r="A1425" s="1"/>
      <x:c r="B1425" s="1"/>
      <x:c r="C1425" s="1"/>
      <x:c r="D1425" s="1"/>
      <x:c r="E1425" s="1"/>
      <x:c r="F1425" s="11"/>
    </x:row>
    <x:row r="1426" spans="1:6" x14ac:dyDescent="0.25">
      <x:c r="A1426" s="1"/>
      <x:c r="B1426" s="1"/>
      <x:c r="C1426" s="1"/>
      <x:c r="D1426" s="1"/>
      <x:c r="E1426" s="1"/>
      <x:c r="F1426" s="11"/>
    </x:row>
    <x:row r="1427" spans="1:6" x14ac:dyDescent="0.25">
      <x:c r="A1427" s="1"/>
      <x:c r="B1427" s="1"/>
      <x:c r="C1427" s="1"/>
      <x:c r="D1427" s="1"/>
      <x:c r="E1427" s="1"/>
      <x:c r="F1427" s="11"/>
    </x:row>
    <x:row r="1428" spans="1:6" x14ac:dyDescent="0.25">
      <x:c r="A1428" s="1"/>
      <x:c r="B1428" s="1"/>
      <x:c r="C1428" s="1"/>
      <x:c r="D1428" s="1"/>
      <x:c r="E1428" s="1"/>
      <x:c r="F1428" s="11"/>
    </x:row>
    <x:row r="1429" spans="1:6" x14ac:dyDescent="0.25">
      <x:c r="A1429" s="1"/>
      <x:c r="B1429" s="1"/>
      <x:c r="C1429" s="1"/>
      <x:c r="D1429" s="1"/>
      <x:c r="E1429" s="1"/>
      <x:c r="F1429" s="11"/>
    </x:row>
    <x:row r="1430" spans="1:6" x14ac:dyDescent="0.25">
      <x:c r="A1430" s="1"/>
      <x:c r="B1430" s="1"/>
      <x:c r="C1430" s="1"/>
      <x:c r="D1430" s="1"/>
      <x:c r="E1430" s="1"/>
      <x:c r="F1430" s="11"/>
    </x:row>
    <x:row r="1431" spans="1:6" x14ac:dyDescent="0.25">
      <x:c r="A1431" s="1"/>
      <x:c r="B1431" s="1"/>
      <x:c r="C1431" s="1"/>
      <x:c r="D1431" s="1"/>
      <x:c r="E1431" s="1"/>
      <x:c r="F1431" s="11"/>
    </x:row>
    <x:row r="1432" spans="1:6" x14ac:dyDescent="0.25">
      <x:c r="A1432" s="1"/>
      <x:c r="B1432" s="1"/>
      <x:c r="C1432" s="1"/>
      <x:c r="D1432" s="1"/>
      <x:c r="E1432" s="1"/>
      <x:c r="F1432" s="11"/>
    </x:row>
    <x:row r="1433" spans="1:6" x14ac:dyDescent="0.25">
      <x:c r="A1433" s="1"/>
      <x:c r="B1433" s="1"/>
      <x:c r="C1433" s="1"/>
      <x:c r="D1433" s="1"/>
      <x:c r="E1433" s="1"/>
      <x:c r="F1433" s="11"/>
    </x:row>
    <x:row r="1434" spans="1:6" x14ac:dyDescent="0.25">
      <x:c r="A1434" s="1"/>
      <x:c r="B1434" s="1"/>
      <x:c r="C1434" s="1"/>
      <x:c r="D1434" s="1"/>
      <x:c r="E1434" s="1"/>
      <x:c r="F1434" s="11"/>
    </x:row>
    <x:row r="1435" spans="1:6" x14ac:dyDescent="0.25">
      <x:c r="A1435" s="1"/>
      <x:c r="B1435" s="1"/>
      <x:c r="C1435" s="1"/>
      <x:c r="D1435" s="1"/>
      <x:c r="E1435" s="1"/>
      <x:c r="F1435" s="11"/>
    </x:row>
    <x:row r="1436" spans="1:6" x14ac:dyDescent="0.25">
      <x:c r="A1436" s="1"/>
      <x:c r="B1436" s="1"/>
      <x:c r="C1436" s="1"/>
      <x:c r="D1436" s="1"/>
      <x:c r="E1436" s="1"/>
      <x:c r="F1436" s="11"/>
    </x:row>
    <x:row r="1437" spans="1:6" x14ac:dyDescent="0.25">
      <x:c r="A1437" s="1"/>
      <x:c r="B1437" s="1"/>
      <x:c r="C1437" s="1"/>
      <x:c r="D1437" s="1"/>
      <x:c r="E1437" s="1"/>
      <x:c r="F1437" s="11"/>
    </x:row>
    <x:row r="1438" spans="1:6" x14ac:dyDescent="0.25">
      <x:c r="A1438" s="1"/>
      <x:c r="B1438" s="1"/>
      <x:c r="C1438" s="1"/>
      <x:c r="D1438" s="1"/>
      <x:c r="E1438" s="1"/>
      <x:c r="F1438" s="11"/>
    </x:row>
    <x:row r="1439" spans="1:6" x14ac:dyDescent="0.25">
      <x:c r="A1439" s="1"/>
      <x:c r="B1439" s="1"/>
      <x:c r="C1439" s="1"/>
      <x:c r="D1439" s="1"/>
      <x:c r="E1439" s="1"/>
      <x:c r="F1439" s="11"/>
    </x:row>
    <x:row r="1440" spans="1:6" x14ac:dyDescent="0.25">
      <x:c r="A1440" s="1"/>
      <x:c r="B1440" s="1"/>
      <x:c r="C1440" s="1"/>
      <x:c r="D1440" s="1"/>
      <x:c r="E1440" s="1"/>
      <x:c r="F1440" s="11"/>
    </x:row>
    <x:row r="1441" spans="1:6" x14ac:dyDescent="0.25">
      <x:c r="A1441" s="1"/>
      <x:c r="B1441" s="1"/>
      <x:c r="C1441" s="1"/>
      <x:c r="D1441" s="1"/>
      <x:c r="E1441" s="1"/>
      <x:c r="F1441" s="11"/>
    </x:row>
    <x:row r="1442" spans="1:6" x14ac:dyDescent="0.25">
      <x:c r="A1442" s="1"/>
      <x:c r="B1442" s="1"/>
      <x:c r="C1442" s="1"/>
      <x:c r="D1442" s="1"/>
      <x:c r="E1442" s="1"/>
      <x:c r="F1442" s="11"/>
    </x:row>
    <x:row r="1443" spans="1:6" x14ac:dyDescent="0.25">
      <x:c r="A1443" s="1"/>
      <x:c r="B1443" s="1"/>
      <x:c r="C1443" s="1"/>
      <x:c r="D1443" s="1"/>
      <x:c r="E1443" s="1"/>
      <x:c r="F1443" s="11"/>
    </x:row>
    <x:row r="1444" spans="1:6" x14ac:dyDescent="0.25">
      <x:c r="A1444" s="1"/>
      <x:c r="B1444" s="1"/>
      <x:c r="C1444" s="1"/>
      <x:c r="D1444" s="1"/>
      <x:c r="E1444" s="1"/>
      <x:c r="F1444" s="11"/>
    </x:row>
    <x:row r="1445" spans="1:6" x14ac:dyDescent="0.25">
      <x:c r="A1445" s="1"/>
      <x:c r="B1445" s="1"/>
      <x:c r="C1445" s="1"/>
      <x:c r="D1445" s="1"/>
      <x:c r="E1445" s="1"/>
      <x:c r="F1445" s="11"/>
    </x:row>
    <x:row r="1446" spans="1:6" x14ac:dyDescent="0.25">
      <x:c r="A1446" s="1"/>
      <x:c r="B1446" s="1"/>
      <x:c r="C1446" s="1"/>
      <x:c r="D1446" s="1"/>
      <x:c r="E1446" s="1"/>
      <x:c r="F1446" s="11"/>
    </x:row>
    <x:row r="1447" spans="1:6" x14ac:dyDescent="0.25">
      <x:c r="A1447" s="1"/>
      <x:c r="B1447" s="1"/>
      <x:c r="C1447" s="1"/>
      <x:c r="D1447" s="1"/>
      <x:c r="E1447" s="1"/>
      <x:c r="F1447" s="11"/>
    </x:row>
    <x:row r="1448" spans="1:6" x14ac:dyDescent="0.25">
      <x:c r="A1448" s="1"/>
      <x:c r="B1448" s="1"/>
      <x:c r="C1448" s="1"/>
      <x:c r="D1448" s="1"/>
      <x:c r="E1448" s="1"/>
      <x:c r="F1448" s="11"/>
    </x:row>
    <x:row r="1449" spans="1:6" x14ac:dyDescent="0.25">
      <x:c r="A1449" s="1"/>
      <x:c r="B1449" s="1"/>
      <x:c r="C1449" s="1"/>
      <x:c r="D1449" s="1"/>
      <x:c r="E1449" s="1"/>
      <x:c r="F1449" s="11"/>
    </x:row>
    <x:row r="1450" spans="1:6" x14ac:dyDescent="0.25">
      <x:c r="A1450" s="1"/>
      <x:c r="B1450" s="1"/>
      <x:c r="C1450" s="1"/>
      <x:c r="D1450" s="1"/>
      <x:c r="E1450" s="1"/>
      <x:c r="F1450" s="11"/>
    </x:row>
    <x:row r="1451" spans="1:6" x14ac:dyDescent="0.25">
      <x:c r="A1451" s="1"/>
      <x:c r="B1451" s="1"/>
      <x:c r="C1451" s="1"/>
      <x:c r="D1451" s="1"/>
      <x:c r="E1451" s="1"/>
      <x:c r="F1451" s="11"/>
    </x:row>
    <x:row r="1452" spans="1:6" x14ac:dyDescent="0.25">
      <x:c r="A1452" s="1"/>
      <x:c r="B1452" s="1"/>
      <x:c r="C1452" s="1"/>
      <x:c r="D1452" s="1"/>
      <x:c r="E1452" s="1"/>
      <x:c r="F1452" s="11"/>
    </x:row>
    <x:row r="1453" spans="1:6" x14ac:dyDescent="0.25">
      <x:c r="A1453" s="1"/>
      <x:c r="B1453" s="1"/>
      <x:c r="C1453" s="1"/>
      <x:c r="D1453" s="1"/>
      <x:c r="E1453" s="1"/>
      <x:c r="F1453" s="11"/>
    </x:row>
    <x:row r="1454" spans="1:6" x14ac:dyDescent="0.25">
      <x:c r="A1454" s="1"/>
      <x:c r="B1454" s="1"/>
      <x:c r="C1454" s="1"/>
      <x:c r="D1454" s="1"/>
      <x:c r="E1454" s="1"/>
      <x:c r="F1454" s="11"/>
    </x:row>
    <x:row r="1455" spans="1:6" x14ac:dyDescent="0.25">
      <x:c r="A1455" s="1"/>
      <x:c r="B1455" s="1"/>
      <x:c r="C1455" s="1"/>
      <x:c r="D1455" s="1"/>
      <x:c r="E1455" s="1"/>
      <x:c r="F1455" s="11"/>
    </x:row>
    <x:row r="1456" spans="1:6" x14ac:dyDescent="0.25">
      <x:c r="A1456" s="1"/>
      <x:c r="B1456" s="1"/>
      <x:c r="C1456" s="1"/>
      <x:c r="D1456" s="1"/>
      <x:c r="E1456" s="1"/>
      <x:c r="F1456" s="11"/>
    </x:row>
    <x:row r="1457" spans="1:6" x14ac:dyDescent="0.25">
      <x:c r="A1457" s="1"/>
      <x:c r="B1457" s="1"/>
      <x:c r="C1457" s="1"/>
      <x:c r="D1457" s="1"/>
      <x:c r="E1457" s="1"/>
      <x:c r="F1457" s="11"/>
    </x:row>
    <x:row r="1458" spans="1:6" x14ac:dyDescent="0.25">
      <x:c r="A1458" s="1"/>
      <x:c r="B1458" s="1"/>
      <x:c r="C1458" s="1"/>
      <x:c r="D1458" s="1"/>
      <x:c r="E1458" s="1"/>
      <x:c r="F1458" s="11"/>
    </x:row>
    <x:row r="1459" spans="1:6" x14ac:dyDescent="0.25">
      <x:c r="A1459" s="1"/>
      <x:c r="B1459" s="1"/>
      <x:c r="C1459" s="1"/>
      <x:c r="D1459" s="1"/>
      <x:c r="E1459" s="1"/>
      <x:c r="F1459" s="11"/>
    </x:row>
    <x:row r="1460" spans="1:6" x14ac:dyDescent="0.25">
      <x:c r="A1460" s="1"/>
      <x:c r="B1460" s="1"/>
      <x:c r="C1460" s="1"/>
      <x:c r="D1460" s="1"/>
      <x:c r="E1460" s="1"/>
      <x:c r="F1460" s="11"/>
    </x:row>
    <x:row r="1461" spans="1:6" x14ac:dyDescent="0.25">
      <x:c r="A1461" s="1"/>
      <x:c r="B1461" s="1"/>
      <x:c r="C1461" s="1"/>
      <x:c r="D1461" s="1"/>
      <x:c r="E1461" s="1"/>
      <x:c r="F1461" s="11"/>
    </x:row>
    <x:row r="1462" spans="1:6" x14ac:dyDescent="0.25">
      <x:c r="A1462" s="1"/>
      <x:c r="B1462" s="1"/>
      <x:c r="C1462" s="1"/>
      <x:c r="D1462" s="1"/>
      <x:c r="E1462" s="1"/>
      <x:c r="F1462" s="11"/>
    </x:row>
    <x:row r="1463" spans="1:6" x14ac:dyDescent="0.25">
      <x:c r="A1463" s="1"/>
      <x:c r="B1463" s="1"/>
      <x:c r="C1463" s="1"/>
      <x:c r="D1463" s="1"/>
      <x:c r="E1463" s="1"/>
      <x:c r="F1463" s="11"/>
    </x:row>
    <x:row r="1464" spans="1:6" x14ac:dyDescent="0.25">
      <x:c r="A1464" s="1"/>
      <x:c r="B1464" s="1"/>
      <x:c r="C1464" s="1"/>
      <x:c r="D1464" s="1"/>
      <x:c r="E1464" s="1"/>
      <x:c r="F1464" s="11"/>
    </x:row>
    <x:row r="1465" spans="1:6" x14ac:dyDescent="0.25">
      <x:c r="A1465" s="1"/>
      <x:c r="B1465" s="1"/>
      <x:c r="C1465" s="1"/>
      <x:c r="D1465" s="1"/>
      <x:c r="E1465" s="1"/>
      <x:c r="F1465" s="11"/>
    </x:row>
    <x:row r="1466" spans="1:6" x14ac:dyDescent="0.25">
      <x:c r="A1466" s="1"/>
      <x:c r="B1466" s="1"/>
      <x:c r="C1466" s="1"/>
      <x:c r="D1466" s="1"/>
      <x:c r="E1466" s="1"/>
      <x:c r="F1466" s="11"/>
    </x:row>
    <x:row r="1467" spans="1:6" x14ac:dyDescent="0.25">
      <x:c r="A1467" s="1"/>
      <x:c r="B1467" s="1"/>
      <x:c r="C1467" s="1"/>
      <x:c r="D1467" s="1"/>
      <x:c r="E1467" s="1"/>
      <x:c r="F1467" s="11"/>
    </x:row>
    <x:row r="1468" spans="1:6" x14ac:dyDescent="0.25">
      <x:c r="A1468" s="1"/>
      <x:c r="B1468" s="1"/>
      <x:c r="C1468" s="1"/>
      <x:c r="D1468" s="1"/>
      <x:c r="E1468" s="1"/>
      <x:c r="F1468" s="11"/>
    </x:row>
    <x:row r="1469" spans="1:6" x14ac:dyDescent="0.25">
      <x:c r="A1469" s="1"/>
      <x:c r="B1469" s="1"/>
      <x:c r="C1469" s="1"/>
      <x:c r="D1469" s="1"/>
      <x:c r="E1469" s="1"/>
      <x:c r="F1469" s="11"/>
    </x:row>
    <x:row r="1470" spans="1:6" x14ac:dyDescent="0.25">
      <x:c r="A1470" s="1"/>
      <x:c r="B1470" s="1"/>
      <x:c r="C1470" s="1"/>
      <x:c r="D1470" s="1"/>
      <x:c r="E1470" s="1"/>
      <x:c r="F1470" s="11"/>
    </x:row>
    <x:row r="1471" spans="1:6" x14ac:dyDescent="0.25">
      <x:c r="A1471" s="1"/>
      <x:c r="B1471" s="1"/>
      <x:c r="C1471" s="1"/>
      <x:c r="D1471" s="1"/>
      <x:c r="E1471" s="1"/>
      <x:c r="F1471" s="11"/>
    </x:row>
    <x:row r="1472" spans="1:6" x14ac:dyDescent="0.25">
      <x:c r="A1472" s="1"/>
      <x:c r="B1472" s="1"/>
      <x:c r="C1472" s="1"/>
      <x:c r="D1472" s="1"/>
      <x:c r="E1472" s="1"/>
      <x:c r="F1472" s="11"/>
    </x:row>
    <x:row r="1473" spans="1:6" x14ac:dyDescent="0.25">
      <x:c r="A1473" s="1"/>
      <x:c r="B1473" s="1"/>
      <x:c r="C1473" s="1"/>
      <x:c r="D1473" s="1"/>
      <x:c r="E1473" s="1"/>
      <x:c r="F1473" s="11"/>
    </x:row>
    <x:row r="1474" spans="1:6" x14ac:dyDescent="0.25">
      <x:c r="A1474" s="1"/>
      <x:c r="B1474" s="1"/>
      <x:c r="C1474" s="1"/>
      <x:c r="D1474" s="1"/>
      <x:c r="E1474" s="1"/>
      <x:c r="F1474" s="11"/>
    </x:row>
    <x:row r="1475" spans="1:6" x14ac:dyDescent="0.25">
      <x:c r="A1475" s="1"/>
      <x:c r="B1475" s="1"/>
      <x:c r="C1475" s="1"/>
      <x:c r="D1475" s="1"/>
      <x:c r="E1475" s="1"/>
      <x:c r="F1475" s="11"/>
    </x:row>
    <x:row r="1476" spans="1:6" x14ac:dyDescent="0.25">
      <x:c r="A1476" s="1"/>
      <x:c r="B1476" s="1"/>
      <x:c r="C1476" s="1"/>
      <x:c r="D1476" s="1"/>
      <x:c r="E1476" s="1"/>
      <x:c r="F1476" s="11"/>
    </x:row>
    <x:row r="1477" spans="1:6" x14ac:dyDescent="0.25">
      <x:c r="A1477" s="1"/>
      <x:c r="B1477" s="1"/>
      <x:c r="C1477" s="1"/>
      <x:c r="D1477" s="1"/>
      <x:c r="E1477" s="1"/>
      <x:c r="F1477" s="11"/>
    </x:row>
    <x:row r="1478" spans="1:6" x14ac:dyDescent="0.25">
      <x:c r="A1478" s="1"/>
      <x:c r="B1478" s="1"/>
      <x:c r="C1478" s="1"/>
      <x:c r="D1478" s="1"/>
      <x:c r="E1478" s="1"/>
      <x:c r="F1478" s="11"/>
    </x:row>
    <x:row r="1479" spans="1:6" x14ac:dyDescent="0.25">
      <x:c r="A1479" s="1"/>
      <x:c r="B1479" s="1"/>
      <x:c r="C1479" s="1"/>
      <x:c r="D1479" s="1"/>
      <x:c r="E1479" s="1"/>
      <x:c r="F1479" s="11"/>
    </x:row>
    <x:row r="1480" spans="1:6" x14ac:dyDescent="0.25">
      <x:c r="A1480" s="1"/>
      <x:c r="B1480" s="1"/>
      <x:c r="C1480" s="1"/>
      <x:c r="D1480" s="1"/>
      <x:c r="E1480" s="1"/>
      <x:c r="F1480" s="11"/>
    </x:row>
    <x:row r="1481" spans="1:6" x14ac:dyDescent="0.25">
      <x:c r="A1481" s="1"/>
      <x:c r="B1481" s="1"/>
      <x:c r="C1481" s="1"/>
      <x:c r="D1481" s="1"/>
      <x:c r="E1481" s="1"/>
      <x:c r="F1481" s="11"/>
    </x:row>
    <x:row r="1482" spans="1:6" x14ac:dyDescent="0.25">
      <x:c r="A1482" s="1"/>
      <x:c r="B1482" s="1"/>
      <x:c r="C1482" s="1"/>
      <x:c r="D1482" s="1"/>
      <x:c r="E1482" s="1"/>
      <x:c r="F1482" s="11"/>
    </x:row>
    <x:row r="1483" spans="1:6" x14ac:dyDescent="0.25">
      <x:c r="A1483" s="1"/>
      <x:c r="B1483" s="1"/>
      <x:c r="C1483" s="1"/>
      <x:c r="D1483" s="1"/>
      <x:c r="E1483" s="1"/>
      <x:c r="F1483" s="11"/>
    </x:row>
    <x:row r="1484" spans="1:6" x14ac:dyDescent="0.25">
      <x:c r="A1484" s="1"/>
      <x:c r="B1484" s="1"/>
      <x:c r="C1484" s="1"/>
      <x:c r="D1484" s="1"/>
      <x:c r="E1484" s="1"/>
      <x:c r="F1484" s="11"/>
    </x:row>
    <x:row r="1485" spans="1:6" x14ac:dyDescent="0.25">
      <x:c r="A1485" s="1"/>
      <x:c r="B1485" s="1"/>
      <x:c r="C1485" s="1"/>
      <x:c r="D1485" s="1"/>
      <x:c r="E1485" s="1"/>
      <x:c r="F1485" s="11"/>
    </x:row>
    <x:row r="1486" spans="1:6" x14ac:dyDescent="0.25">
      <x:c r="A1486" s="1"/>
      <x:c r="B1486" s="1"/>
      <x:c r="C1486" s="1"/>
      <x:c r="D1486" s="1"/>
      <x:c r="E1486" s="1"/>
      <x:c r="F1486" s="11"/>
    </x:row>
    <x:row r="1487" spans="1:6" x14ac:dyDescent="0.25">
      <x:c r="A1487" s="1"/>
      <x:c r="B1487" s="1"/>
      <x:c r="C1487" s="1"/>
      <x:c r="D1487" s="1"/>
      <x:c r="E1487" s="1"/>
      <x:c r="F1487" s="11"/>
    </x:row>
    <x:row r="1488" spans="1:6" x14ac:dyDescent="0.25">
      <x:c r="A1488" s="1"/>
      <x:c r="B1488" s="1"/>
      <x:c r="C1488" s="1"/>
      <x:c r="D1488" s="1"/>
      <x:c r="E1488" s="1"/>
      <x:c r="F1488" s="11"/>
    </x:row>
    <x:row r="1489" spans="1:6" x14ac:dyDescent="0.25">
      <x:c r="A1489" s="1"/>
      <x:c r="B1489" s="1"/>
      <x:c r="C1489" s="1"/>
      <x:c r="D1489" s="1"/>
      <x:c r="E1489" s="1"/>
      <x:c r="F1489" s="11"/>
    </x:row>
    <x:row r="1490" spans="1:6" x14ac:dyDescent="0.25">
      <x:c r="A1490" s="1"/>
      <x:c r="B1490" s="1"/>
      <x:c r="C1490" s="1"/>
      <x:c r="D1490" s="1"/>
      <x:c r="E1490" s="1"/>
      <x:c r="F1490" s="11"/>
    </x:row>
    <x:row r="1491" spans="1:6" x14ac:dyDescent="0.25">
      <x:c r="A1491" s="1"/>
      <x:c r="B1491" s="1"/>
      <x:c r="C1491" s="1"/>
      <x:c r="D1491" s="1"/>
      <x:c r="E1491" s="1"/>
      <x:c r="F1491" s="11"/>
    </x:row>
    <x:row r="1492" spans="1:6" x14ac:dyDescent="0.25">
      <x:c r="A1492" s="1"/>
      <x:c r="B1492" s="1"/>
      <x:c r="C1492" s="1"/>
      <x:c r="D1492" s="1"/>
      <x:c r="E1492" s="1"/>
      <x:c r="F1492" s="11"/>
    </x:row>
    <x:row r="1493" spans="1:6" x14ac:dyDescent="0.25">
      <x:c r="A1493" s="1"/>
      <x:c r="B1493" s="1"/>
      <x:c r="C1493" s="1"/>
      <x:c r="D1493" s="1"/>
      <x:c r="E1493" s="1"/>
      <x:c r="F1493" s="11"/>
    </x:row>
    <x:row r="1494" spans="1:6" x14ac:dyDescent="0.25">
      <x:c r="A1494" s="1"/>
      <x:c r="B1494" s="1"/>
      <x:c r="C1494" s="1"/>
      <x:c r="D1494" s="1"/>
      <x:c r="E1494" s="1"/>
      <x:c r="F1494" s="11"/>
    </x:row>
    <x:row r="1495" spans="1:6" x14ac:dyDescent="0.25">
      <x:c r="A1495" s="1"/>
      <x:c r="B1495" s="1"/>
      <x:c r="C1495" s="1"/>
      <x:c r="D1495" s="1"/>
      <x:c r="E1495" s="1"/>
      <x:c r="F1495" s="11"/>
    </x:row>
    <x:row r="1496" spans="1:6" x14ac:dyDescent="0.25">
      <x:c r="A1496" s="1"/>
      <x:c r="B1496" s="1"/>
      <x:c r="C1496" s="1"/>
      <x:c r="D1496" s="1"/>
      <x:c r="E1496" s="1"/>
      <x:c r="F1496" s="11"/>
    </x:row>
    <x:row r="1497" spans="1:6" x14ac:dyDescent="0.25">
      <x:c r="A1497" s="1"/>
      <x:c r="B1497" s="1"/>
      <x:c r="C1497" s="1"/>
      <x:c r="D1497" s="1"/>
      <x:c r="E1497" s="1"/>
      <x:c r="F1497" s="11"/>
    </x:row>
    <x:row r="1498" spans="1:6" x14ac:dyDescent="0.25">
      <x:c r="A1498" s="1"/>
      <x:c r="B1498" s="1"/>
      <x:c r="C1498" s="1"/>
      <x:c r="D1498" s="1"/>
      <x:c r="E1498" s="1"/>
      <x:c r="F1498" s="11"/>
    </x:row>
    <x:row r="1499" spans="1:6" x14ac:dyDescent="0.25">
      <x:c r="A1499" s="1"/>
      <x:c r="B1499" s="1"/>
      <x:c r="C1499" s="1"/>
      <x:c r="D1499" s="1"/>
      <x:c r="E1499" s="1"/>
      <x:c r="F1499" s="11"/>
    </x:row>
    <x:row r="1500" spans="1:6" x14ac:dyDescent="0.25">
      <x:c r="A1500" s="1"/>
      <x:c r="B1500" s="1"/>
      <x:c r="C1500" s="1"/>
      <x:c r="D1500" s="1"/>
      <x:c r="E1500" s="1"/>
      <x:c r="F1500" s="11"/>
    </x:row>
    <x:row r="1501" spans="1:6" x14ac:dyDescent="0.25">
      <x:c r="A1501" s="1"/>
      <x:c r="B1501" s="1"/>
      <x:c r="C1501" s="1"/>
      <x:c r="D1501" s="1"/>
      <x:c r="E1501" s="1"/>
      <x:c r="F1501" s="11"/>
    </x:row>
    <x:row r="1502" spans="1:6" x14ac:dyDescent="0.25">
      <x:c r="A1502" s="1"/>
      <x:c r="B1502" s="1"/>
      <x:c r="C1502" s="1"/>
      <x:c r="D1502" s="1"/>
      <x:c r="E1502" s="1"/>
      <x:c r="F1502" s="11"/>
    </x:row>
    <x:row r="1503" spans="1:6" x14ac:dyDescent="0.25">
      <x:c r="A1503" s="1"/>
      <x:c r="B1503" s="1"/>
      <x:c r="C1503" s="1"/>
      <x:c r="D1503" s="1"/>
      <x:c r="E1503" s="1"/>
      <x:c r="F1503" s="11"/>
    </x:row>
    <x:row r="1504" spans="1:6" x14ac:dyDescent="0.25">
      <x:c r="A1504" s="1"/>
      <x:c r="B1504" s="1"/>
      <x:c r="C1504" s="1"/>
      <x:c r="D1504" s="1"/>
      <x:c r="E1504" s="1"/>
      <x:c r="F1504" s="11"/>
    </x:row>
    <x:row r="1505" spans="1:6" x14ac:dyDescent="0.25">
      <x:c r="A1505" s="1"/>
      <x:c r="B1505" s="1"/>
      <x:c r="C1505" s="1"/>
      <x:c r="D1505" s="1"/>
      <x:c r="E1505" s="1"/>
      <x:c r="F1505" s="11"/>
    </x:row>
    <x:row r="1506" spans="1:6" x14ac:dyDescent="0.25">
      <x:c r="A1506" s="1"/>
      <x:c r="B1506" s="1"/>
      <x:c r="C1506" s="1"/>
      <x:c r="D1506" s="1"/>
      <x:c r="E1506" s="1"/>
      <x:c r="F1506" s="11"/>
    </x:row>
    <x:row r="1507" spans="1:6" x14ac:dyDescent="0.25">
      <x:c r="A1507" s="1"/>
      <x:c r="B1507" s="1"/>
      <x:c r="C1507" s="1"/>
      <x:c r="D1507" s="1"/>
      <x:c r="E1507" s="1"/>
      <x:c r="F1507" s="11"/>
    </x:row>
    <x:row r="1508" spans="1:6" x14ac:dyDescent="0.25">
      <x:c r="A1508" s="1"/>
      <x:c r="B1508" s="1"/>
      <x:c r="C1508" s="1"/>
      <x:c r="D1508" s="1"/>
      <x:c r="E1508" s="1"/>
      <x:c r="F1508" s="11"/>
    </x:row>
    <x:row r="1509" spans="1:6" x14ac:dyDescent="0.25">
      <x:c r="A1509" s="1"/>
      <x:c r="B1509" s="1"/>
      <x:c r="C1509" s="1"/>
      <x:c r="D1509" s="1"/>
      <x:c r="E1509" s="1"/>
      <x:c r="F1509" s="11"/>
    </x:row>
    <x:row r="1510" spans="1:6" x14ac:dyDescent="0.25">
      <x:c r="A1510" s="1"/>
      <x:c r="B1510" s="1"/>
      <x:c r="C1510" s="1"/>
      <x:c r="D1510" s="1"/>
      <x:c r="E1510" s="1"/>
      <x:c r="F1510" s="11"/>
    </x:row>
    <x:row r="1511" spans="1:6" x14ac:dyDescent="0.25">
      <x:c r="A1511" s="1"/>
      <x:c r="B1511" s="1"/>
      <x:c r="C1511" s="1"/>
      <x:c r="D1511" s="1"/>
      <x:c r="E1511" s="1"/>
      <x:c r="F1511" s="11"/>
    </x:row>
    <x:row r="1512" spans="1:6" x14ac:dyDescent="0.25">
      <x:c r="A1512" s="1"/>
      <x:c r="B1512" s="1"/>
      <x:c r="C1512" s="1"/>
      <x:c r="D1512" s="1"/>
      <x:c r="E1512" s="1"/>
      <x:c r="F1512" s="11"/>
    </x:row>
    <x:row r="1513" spans="1:6" x14ac:dyDescent="0.25">
      <x:c r="A1513" s="1"/>
      <x:c r="B1513" s="1"/>
      <x:c r="C1513" s="1"/>
      <x:c r="D1513" s="1"/>
      <x:c r="E1513" s="1"/>
      <x:c r="F1513" s="11"/>
    </x:row>
    <x:row r="1514" spans="1:6" x14ac:dyDescent="0.25">
      <x:c r="A1514" s="1"/>
      <x:c r="B1514" s="1"/>
      <x:c r="C1514" s="1"/>
      <x:c r="D1514" s="1"/>
      <x:c r="E1514" s="1"/>
      <x:c r="F1514" s="11"/>
    </x:row>
    <x:row r="1515" spans="1:6" x14ac:dyDescent="0.25">
      <x:c r="A1515" s="1"/>
      <x:c r="B1515" s="1"/>
      <x:c r="C1515" s="1"/>
      <x:c r="D1515" s="1"/>
      <x:c r="E1515" s="1"/>
      <x:c r="F1515" s="11"/>
    </x:row>
    <x:row r="1516" spans="1:6" x14ac:dyDescent="0.25">
      <x:c r="A1516" s="1"/>
      <x:c r="B1516" s="1"/>
      <x:c r="C1516" s="1"/>
      <x:c r="D1516" s="1"/>
      <x:c r="E1516" s="1"/>
      <x:c r="F1516" s="11"/>
    </x:row>
    <x:row r="1517" spans="1:6" x14ac:dyDescent="0.25">
      <x:c r="A1517" s="1"/>
      <x:c r="B1517" s="1"/>
      <x:c r="C1517" s="1"/>
      <x:c r="D1517" s="1"/>
      <x:c r="E1517" s="1"/>
      <x:c r="F1517" s="11"/>
    </x:row>
    <x:row r="1518" spans="1:6" x14ac:dyDescent="0.25">
      <x:c r="A1518" s="1"/>
      <x:c r="B1518" s="1"/>
      <x:c r="C1518" s="1"/>
      <x:c r="D1518" s="1"/>
      <x:c r="E1518" s="1"/>
      <x:c r="F1518" s="11"/>
    </x:row>
    <x:row r="1519" spans="1:6" x14ac:dyDescent="0.25">
      <x:c r="A1519" s="1"/>
      <x:c r="B1519" s="1"/>
      <x:c r="C1519" s="1"/>
      <x:c r="D1519" s="1"/>
      <x:c r="E1519" s="1"/>
      <x:c r="F1519" s="11"/>
    </x:row>
    <x:row r="1520" spans="1:6" x14ac:dyDescent="0.25">
      <x:c r="A1520" s="1"/>
      <x:c r="B1520" s="1"/>
      <x:c r="C1520" s="1"/>
      <x:c r="D1520" s="1"/>
      <x:c r="E1520" s="1"/>
      <x:c r="F1520" s="11"/>
    </x:row>
    <x:row r="1521" spans="1:6" x14ac:dyDescent="0.25">
      <x:c r="A1521" s="1"/>
      <x:c r="B1521" s="1"/>
      <x:c r="C1521" s="1"/>
      <x:c r="D1521" s="1"/>
      <x:c r="E1521" s="1"/>
      <x:c r="F1521" s="11"/>
    </x:row>
    <x:row r="1522" spans="1:6" x14ac:dyDescent="0.25">
      <x:c r="A1522" s="1"/>
      <x:c r="B1522" s="1"/>
      <x:c r="C1522" s="1"/>
      <x:c r="D1522" s="1"/>
      <x:c r="E1522" s="1"/>
      <x:c r="F1522" s="11"/>
    </x:row>
    <x:row r="1523" spans="1:6" x14ac:dyDescent="0.25">
      <x:c r="A1523" s="1"/>
      <x:c r="B1523" s="1"/>
      <x:c r="C1523" s="1"/>
      <x:c r="D1523" s="1"/>
      <x:c r="E1523" s="1"/>
      <x:c r="F1523" s="11"/>
    </x:row>
    <x:row r="1524" spans="1:6" x14ac:dyDescent="0.25">
      <x:c r="A1524" s="1"/>
      <x:c r="B1524" s="1"/>
      <x:c r="C1524" s="1"/>
      <x:c r="D1524" s="1"/>
      <x:c r="E1524" s="1"/>
      <x:c r="F1524" s="11"/>
    </x:row>
    <x:row r="1525" spans="1:6" x14ac:dyDescent="0.25">
      <x:c r="A1525" s="1"/>
      <x:c r="B1525" s="1"/>
      <x:c r="C1525" s="1"/>
      <x:c r="D1525" s="1"/>
      <x:c r="E1525" s="1"/>
      <x:c r="F1525" s="11"/>
    </x:row>
    <x:row r="1526" spans="1:6" x14ac:dyDescent="0.25">
      <x:c r="A1526" s="1"/>
      <x:c r="B1526" s="1"/>
      <x:c r="C1526" s="1"/>
      <x:c r="D1526" s="1"/>
      <x:c r="E1526" s="1"/>
      <x:c r="F1526" s="11"/>
    </x:row>
    <x:row r="1527" spans="1:6" x14ac:dyDescent="0.25">
      <x:c r="A1527" s="1"/>
      <x:c r="B1527" s="1"/>
      <x:c r="C1527" s="1"/>
      <x:c r="D1527" s="1"/>
      <x:c r="E1527" s="1"/>
      <x:c r="F1527" s="11"/>
    </x:row>
    <x:row r="1528" spans="1:6" x14ac:dyDescent="0.25">
      <x:c r="A1528" s="1"/>
      <x:c r="B1528" s="1"/>
      <x:c r="C1528" s="1"/>
      <x:c r="D1528" s="1"/>
      <x:c r="E1528" s="1"/>
      <x:c r="F1528" s="11"/>
    </x:row>
    <x:row r="1529" spans="1:6" x14ac:dyDescent="0.25">
      <x:c r="A1529" s="1"/>
      <x:c r="B1529" s="1"/>
      <x:c r="C1529" s="1"/>
      <x:c r="D1529" s="1"/>
      <x:c r="E1529" s="1"/>
      <x:c r="F1529" s="11"/>
    </x:row>
    <x:row r="1530" spans="1:6" x14ac:dyDescent="0.25">
      <x:c r="A1530" s="1"/>
      <x:c r="B1530" s="1"/>
      <x:c r="C1530" s="1"/>
      <x:c r="D1530" s="1"/>
      <x:c r="E1530" s="1"/>
      <x:c r="F1530" s="11"/>
    </x:row>
    <x:row r="1531" spans="1:6" x14ac:dyDescent="0.25">
      <x:c r="A1531" s="1"/>
      <x:c r="B1531" s="1"/>
      <x:c r="C1531" s="1"/>
      <x:c r="D1531" s="1"/>
      <x:c r="E1531" s="1"/>
      <x:c r="F1531" s="11"/>
    </x:row>
    <x:row r="1532" spans="1:6" x14ac:dyDescent="0.25">
      <x:c r="A1532" s="1"/>
      <x:c r="B1532" s="1"/>
      <x:c r="C1532" s="1"/>
      <x:c r="D1532" s="1"/>
      <x:c r="E1532" s="1"/>
      <x:c r="F1532" s="11"/>
    </x:row>
    <x:row r="1533" spans="1:6" x14ac:dyDescent="0.25">
      <x:c r="A1533" s="1"/>
      <x:c r="B1533" s="1"/>
      <x:c r="C1533" s="1"/>
      <x:c r="D1533" s="1"/>
      <x:c r="E1533" s="1"/>
      <x:c r="F1533" s="11"/>
    </x:row>
    <x:row r="1534" spans="1:6" x14ac:dyDescent="0.25">
      <x:c r="A1534" s="1"/>
      <x:c r="B1534" s="1"/>
      <x:c r="C1534" s="1"/>
      <x:c r="D1534" s="1"/>
      <x:c r="E1534" s="1"/>
      <x:c r="F1534" s="11"/>
    </x:row>
    <x:row r="1535" spans="1:6" x14ac:dyDescent="0.25">
      <x:c r="A1535" s="1"/>
      <x:c r="B1535" s="1"/>
      <x:c r="C1535" s="1"/>
      <x:c r="D1535" s="1"/>
      <x:c r="E1535" s="1"/>
      <x:c r="F1535" s="11"/>
    </x:row>
    <x:row r="1536" spans="1:6" x14ac:dyDescent="0.25">
      <x:c r="A1536" s="1"/>
      <x:c r="B1536" s="1"/>
      <x:c r="C1536" s="1"/>
      <x:c r="D1536" s="1"/>
      <x:c r="E1536" s="1"/>
      <x:c r="F1536" s="11"/>
    </x:row>
    <x:row r="1537" spans="1:6" x14ac:dyDescent="0.25">
      <x:c r="A1537" s="1"/>
      <x:c r="B1537" s="1"/>
      <x:c r="C1537" s="1"/>
      <x:c r="D1537" s="1"/>
      <x:c r="E1537" s="1"/>
      <x:c r="F1537" s="11"/>
    </x:row>
    <x:row r="1538" spans="1:6" x14ac:dyDescent="0.25">
      <x:c r="A1538" s="1"/>
      <x:c r="B1538" s="1"/>
      <x:c r="C1538" s="1"/>
      <x:c r="D1538" s="1"/>
      <x:c r="E1538" s="1"/>
      <x:c r="F1538" s="11"/>
    </x:row>
    <x:row r="1539" spans="1:6" x14ac:dyDescent="0.25">
      <x:c r="A1539" s="1"/>
      <x:c r="B1539" s="1"/>
      <x:c r="C1539" s="1"/>
      <x:c r="D1539" s="1"/>
      <x:c r="E1539" s="1"/>
      <x:c r="F1539" s="11"/>
    </x:row>
    <x:row r="1540" spans="1:6" x14ac:dyDescent="0.25">
      <x:c r="A1540" s="1"/>
      <x:c r="B1540" s="1"/>
      <x:c r="C1540" s="1"/>
      <x:c r="D1540" s="1"/>
      <x:c r="E1540" s="1"/>
      <x:c r="F1540" s="11"/>
    </x:row>
    <x:row r="1541" spans="1:6" x14ac:dyDescent="0.25">
      <x:c r="A1541" s="1"/>
      <x:c r="B1541" s="1"/>
      <x:c r="C1541" s="1"/>
      <x:c r="D1541" s="1"/>
      <x:c r="E1541" s="1"/>
      <x:c r="F1541" s="11"/>
    </x:row>
    <x:row r="1542" spans="1:6" x14ac:dyDescent="0.25">
      <x:c r="A1542" s="1"/>
      <x:c r="B1542" s="1"/>
      <x:c r="C1542" s="1"/>
      <x:c r="D1542" s="1"/>
      <x:c r="E1542" s="1"/>
      <x:c r="F1542" s="11"/>
    </x:row>
    <x:row r="1543" spans="1:6" x14ac:dyDescent="0.25">
      <x:c r="A1543" s="1"/>
      <x:c r="B1543" s="1"/>
      <x:c r="C1543" s="1"/>
      <x:c r="D1543" s="1"/>
      <x:c r="E1543" s="1"/>
      <x:c r="F1543" s="11"/>
    </x:row>
    <x:row r="1544" spans="1:6" x14ac:dyDescent="0.25">
      <x:c r="A1544" s="1"/>
      <x:c r="B1544" s="1"/>
      <x:c r="C1544" s="1"/>
      <x:c r="D1544" s="1"/>
      <x:c r="E1544" s="1"/>
      <x:c r="F1544" s="11"/>
    </x:row>
    <x:row r="1545" spans="1:6" x14ac:dyDescent="0.25">
      <x:c r="A1545" s="1"/>
      <x:c r="B1545" s="1"/>
      <x:c r="C1545" s="1"/>
      <x:c r="D1545" s="1"/>
      <x:c r="E1545" s="1"/>
      <x:c r="F1545" s="11"/>
    </x:row>
    <x:row r="1546" spans="1:6" x14ac:dyDescent="0.25">
      <x:c r="A1546" s="1"/>
      <x:c r="B1546" s="1"/>
      <x:c r="C1546" s="1"/>
      <x:c r="D1546" s="1"/>
      <x:c r="E1546" s="1"/>
      <x:c r="F1546" s="11"/>
    </x:row>
    <x:row r="1547" spans="1:6" x14ac:dyDescent="0.25">
      <x:c r="A1547" s="1"/>
      <x:c r="B1547" s="1"/>
      <x:c r="C1547" s="1"/>
      <x:c r="D1547" s="1"/>
      <x:c r="E1547" s="1"/>
      <x:c r="F1547" s="11"/>
    </x:row>
    <x:row r="1548" spans="1:6" x14ac:dyDescent="0.25">
      <x:c r="A1548" s="1"/>
      <x:c r="B1548" s="1"/>
      <x:c r="C1548" s="1"/>
      <x:c r="D1548" s="1"/>
      <x:c r="E1548" s="1"/>
      <x:c r="F1548" s="11"/>
    </x:row>
    <x:row r="1549" spans="1:6" x14ac:dyDescent="0.25">
      <x:c r="A1549" s="1"/>
      <x:c r="B1549" s="1"/>
      <x:c r="C1549" s="1"/>
      <x:c r="D1549" s="1"/>
      <x:c r="E1549" s="1"/>
      <x:c r="F1549" s="11"/>
    </x:row>
    <x:row r="1550" spans="1:6" x14ac:dyDescent="0.25">
      <x:c r="A1550" s="1"/>
      <x:c r="B1550" s="1"/>
      <x:c r="C1550" s="1"/>
      <x:c r="D1550" s="1"/>
      <x:c r="E1550" s="1"/>
      <x:c r="F1550" s="11"/>
    </x:row>
    <x:row r="1551" spans="1:6" x14ac:dyDescent="0.25">
      <x:c r="A1551" s="1"/>
      <x:c r="B1551" s="1"/>
      <x:c r="C1551" s="1"/>
      <x:c r="D1551" s="1"/>
      <x:c r="E1551" s="1"/>
      <x:c r="F1551" s="11"/>
    </x:row>
    <x:row r="1552" spans="1:6" x14ac:dyDescent="0.25">
      <x:c r="A1552" s="1"/>
      <x:c r="B1552" s="1"/>
      <x:c r="C1552" s="1"/>
      <x:c r="D1552" s="1"/>
      <x:c r="E1552" s="1"/>
      <x:c r="F1552" s="11"/>
    </x:row>
    <x:row r="1553" spans="1:6" x14ac:dyDescent="0.25">
      <x:c r="A1553" s="1"/>
      <x:c r="B1553" s="1"/>
      <x:c r="C1553" s="1"/>
      <x:c r="D1553" s="1"/>
      <x:c r="E1553" s="1"/>
      <x:c r="F1553" s="11"/>
    </x:row>
    <x:row r="1554" spans="1:6" x14ac:dyDescent="0.25">
      <x:c r="A1554" s="1"/>
      <x:c r="B1554" s="1"/>
      <x:c r="C1554" s="1"/>
      <x:c r="D1554" s="1"/>
      <x:c r="E1554" s="1"/>
      <x:c r="F1554" s="11"/>
    </x:row>
    <x:row r="1555" spans="1:6" x14ac:dyDescent="0.25">
      <x:c r="A1555" s="1"/>
      <x:c r="B1555" s="1"/>
      <x:c r="C1555" s="1"/>
      <x:c r="D1555" s="1"/>
      <x:c r="E1555" s="1"/>
      <x:c r="F1555" s="11"/>
    </x:row>
    <x:row r="1556" spans="1:6" x14ac:dyDescent="0.25">
      <x:c r="A1556" s="1"/>
      <x:c r="B1556" s="1"/>
      <x:c r="C1556" s="1"/>
      <x:c r="D1556" s="1"/>
      <x:c r="E1556" s="1"/>
      <x:c r="F1556" s="11"/>
    </x:row>
    <x:row r="1557" spans="1:6" x14ac:dyDescent="0.25">
      <x:c r="A1557" s="1"/>
      <x:c r="B1557" s="1"/>
      <x:c r="C1557" s="1"/>
      <x:c r="D1557" s="1"/>
      <x:c r="E1557" s="1"/>
      <x:c r="F1557" s="11"/>
    </x:row>
    <x:row r="1558" spans="1:6" x14ac:dyDescent="0.25">
      <x:c r="A1558" s="1"/>
      <x:c r="B1558" s="1"/>
      <x:c r="C1558" s="1"/>
      <x:c r="D1558" s="1"/>
      <x:c r="E1558" s="1"/>
      <x:c r="F1558" s="11"/>
    </x:row>
    <x:row r="1559" spans="1:6" x14ac:dyDescent="0.25">
      <x:c r="A1559" s="1"/>
      <x:c r="B1559" s="1"/>
      <x:c r="C1559" s="1"/>
      <x:c r="D1559" s="1"/>
      <x:c r="E1559" s="1"/>
      <x:c r="F1559" s="11"/>
    </x:row>
    <x:row r="1560" spans="1:6" x14ac:dyDescent="0.25">
      <x:c r="A1560" s="1"/>
      <x:c r="B1560" s="1"/>
      <x:c r="C1560" s="1"/>
      <x:c r="D1560" s="1"/>
      <x:c r="E1560" s="1"/>
      <x:c r="F1560" s="11"/>
    </x:row>
    <x:row r="1561" spans="1:6" x14ac:dyDescent="0.25">
      <x:c r="A1561" s="1"/>
      <x:c r="B1561" s="1"/>
      <x:c r="C1561" s="1"/>
      <x:c r="D1561" s="1"/>
      <x:c r="E1561" s="1"/>
      <x:c r="F1561" s="11"/>
    </x:row>
    <x:row r="1562" spans="1:6" x14ac:dyDescent="0.25">
      <x:c r="A1562" s="1"/>
      <x:c r="B1562" s="1"/>
      <x:c r="C1562" s="1"/>
      <x:c r="D1562" s="1"/>
      <x:c r="E1562" s="1"/>
      <x:c r="F1562" s="11"/>
    </x:row>
    <x:row r="1563" spans="1:6" x14ac:dyDescent="0.25">
      <x:c r="A1563" s="1"/>
      <x:c r="B1563" s="1"/>
      <x:c r="C1563" s="1"/>
      <x:c r="D1563" s="1"/>
      <x:c r="E1563" s="1"/>
      <x:c r="F1563" s="11"/>
    </x:row>
    <x:row r="1564" spans="1:6" x14ac:dyDescent="0.25">
      <x:c r="A1564" s="1"/>
      <x:c r="B1564" s="1"/>
      <x:c r="C1564" s="1"/>
      <x:c r="D1564" s="1"/>
      <x:c r="E1564" s="1"/>
      <x:c r="F1564" s="11"/>
    </x:row>
    <x:row r="1565" spans="1:6" x14ac:dyDescent="0.25">
      <x:c r="A1565" s="1"/>
      <x:c r="B1565" s="1"/>
      <x:c r="C1565" s="1"/>
      <x:c r="D1565" s="1"/>
      <x:c r="E1565" s="1"/>
      <x:c r="F1565" s="11"/>
    </x:row>
    <x:row r="1566" spans="1:6" x14ac:dyDescent="0.25">
      <x:c r="A1566" s="1"/>
      <x:c r="B1566" s="1"/>
      <x:c r="C1566" s="1"/>
      <x:c r="D1566" s="1"/>
      <x:c r="E1566" s="1"/>
      <x:c r="F1566" s="11"/>
    </x:row>
    <x:row r="1567" spans="1:6" x14ac:dyDescent="0.25">
      <x:c r="A1567" s="1"/>
      <x:c r="B1567" s="1"/>
      <x:c r="C1567" s="1"/>
      <x:c r="D1567" s="1"/>
      <x:c r="E1567" s="1"/>
      <x:c r="F1567" s="11"/>
    </x:row>
    <x:row r="1568" spans="1:6" x14ac:dyDescent="0.25">
      <x:c r="A1568" s="1"/>
      <x:c r="B1568" s="1"/>
      <x:c r="C1568" s="1"/>
      <x:c r="D1568" s="1"/>
      <x:c r="E1568" s="1"/>
      <x:c r="F1568" s="11"/>
    </x:row>
    <x:row r="1569" spans="1:6" x14ac:dyDescent="0.25">
      <x:c r="A1569" s="1"/>
      <x:c r="B1569" s="1"/>
      <x:c r="C1569" s="1"/>
      <x:c r="D1569" s="1"/>
      <x:c r="E1569" s="1"/>
      <x:c r="F1569" s="11"/>
    </x:row>
    <x:row r="1570" spans="1:6" x14ac:dyDescent="0.25">
      <x:c r="A1570" s="1"/>
      <x:c r="B1570" s="1"/>
      <x:c r="C1570" s="1"/>
      <x:c r="D1570" s="1"/>
      <x:c r="E1570" s="1"/>
      <x:c r="F1570" s="11"/>
    </x:row>
    <x:row r="1571" spans="1:6" x14ac:dyDescent="0.25">
      <x:c r="A1571" s="1"/>
      <x:c r="B1571" s="1"/>
      <x:c r="C1571" s="1"/>
      <x:c r="D1571" s="1"/>
      <x:c r="E1571" s="1"/>
      <x:c r="F1571" s="11"/>
    </x:row>
    <x:row r="1572" spans="1:6" x14ac:dyDescent="0.25">
      <x:c r="A1572" s="1"/>
      <x:c r="B1572" s="1"/>
      <x:c r="C1572" s="1"/>
      <x:c r="D1572" s="1"/>
      <x:c r="E1572" s="1"/>
      <x:c r="F1572" s="11"/>
    </x:row>
    <x:row r="1573" spans="1:6" x14ac:dyDescent="0.25">
      <x:c r="A1573" s="1"/>
      <x:c r="B1573" s="1"/>
      <x:c r="C1573" s="1"/>
      <x:c r="D1573" s="1"/>
      <x:c r="E1573" s="1"/>
      <x:c r="F1573" s="11"/>
    </x:row>
    <x:row r="1574" spans="1:6" x14ac:dyDescent="0.25">
      <x:c r="A1574" s="1"/>
      <x:c r="B1574" s="1"/>
      <x:c r="C1574" s="1"/>
      <x:c r="D1574" s="1"/>
      <x:c r="E1574" s="1"/>
      <x:c r="F1574" s="11"/>
    </x:row>
    <x:row r="1575" spans="1:6" x14ac:dyDescent="0.25">
      <x:c r="A1575" s="1"/>
      <x:c r="B1575" s="1"/>
      <x:c r="C1575" s="1"/>
      <x:c r="D1575" s="1"/>
      <x:c r="E1575" s="1"/>
      <x:c r="F1575" s="11"/>
    </x:row>
    <x:row r="1576" spans="1:6" x14ac:dyDescent="0.25">
      <x:c r="A1576" s="1"/>
      <x:c r="B1576" s="1"/>
      <x:c r="C1576" s="1"/>
      <x:c r="D1576" s="1"/>
      <x:c r="E1576" s="1"/>
      <x:c r="F1576" s="11"/>
    </x:row>
    <x:row r="1577" spans="1:6" x14ac:dyDescent="0.25">
      <x:c r="A1577" s="1"/>
      <x:c r="B1577" s="1"/>
      <x:c r="C1577" s="1"/>
      <x:c r="D1577" s="1"/>
      <x:c r="E1577" s="1"/>
      <x:c r="F1577" s="11"/>
    </x:row>
    <x:row r="1578" spans="1:6" x14ac:dyDescent="0.25">
      <x:c r="A1578" s="1"/>
      <x:c r="B1578" s="1"/>
      <x:c r="C1578" s="1"/>
      <x:c r="D1578" s="1"/>
      <x:c r="E1578" s="1"/>
      <x:c r="F1578" s="11"/>
    </x:row>
    <x:row r="1579" spans="1:6" x14ac:dyDescent="0.25">
      <x:c r="A1579" s="1"/>
      <x:c r="B1579" s="1"/>
      <x:c r="C1579" s="1"/>
      <x:c r="D1579" s="1"/>
      <x:c r="E1579" s="1"/>
      <x:c r="F1579" s="11"/>
    </x:row>
    <x:row r="1580" spans="1:6" x14ac:dyDescent="0.25">
      <x:c r="A1580" s="1"/>
      <x:c r="B1580" s="1"/>
      <x:c r="C1580" s="1"/>
      <x:c r="D1580" s="1"/>
      <x:c r="E1580" s="1"/>
      <x:c r="F1580" s="11"/>
    </x:row>
    <x:row r="1581" spans="1:6" x14ac:dyDescent="0.25">
      <x:c r="A1581" s="1"/>
      <x:c r="B1581" s="1"/>
      <x:c r="C1581" s="1"/>
      <x:c r="D1581" s="1"/>
      <x:c r="E1581" s="1"/>
      <x:c r="F1581" s="11"/>
    </x:row>
    <x:row r="1582" spans="1:6" x14ac:dyDescent="0.25">
      <x:c r="A1582" s="1"/>
      <x:c r="B1582" s="1"/>
      <x:c r="C1582" s="1"/>
      <x:c r="D1582" s="1"/>
      <x:c r="E1582" s="1"/>
      <x:c r="F1582" s="11"/>
    </x:row>
    <x:row r="1583" spans="1:6" x14ac:dyDescent="0.25">
      <x:c r="A1583" s="1"/>
      <x:c r="B1583" s="1"/>
      <x:c r="C1583" s="1"/>
      <x:c r="D1583" s="1"/>
      <x:c r="E1583" s="1"/>
      <x:c r="F1583" s="11"/>
    </x:row>
    <x:row r="1584" spans="1:6" x14ac:dyDescent="0.25">
      <x:c r="A1584" s="1"/>
      <x:c r="B1584" s="1"/>
      <x:c r="C1584" s="1"/>
      <x:c r="D1584" s="1"/>
      <x:c r="E1584" s="1"/>
      <x:c r="F1584" s="11"/>
    </x:row>
    <x:row r="1585" spans="1:6" x14ac:dyDescent="0.25">
      <x:c r="A1585" s="1"/>
      <x:c r="B1585" s="1"/>
      <x:c r="C1585" s="1"/>
      <x:c r="D1585" s="1"/>
      <x:c r="E1585" s="1"/>
      <x:c r="F1585" s="11"/>
    </x:row>
    <x:row r="1586" spans="1:6" x14ac:dyDescent="0.25">
      <x:c r="A1586" s="1"/>
      <x:c r="B1586" s="1"/>
      <x:c r="C1586" s="1"/>
      <x:c r="D1586" s="1"/>
      <x:c r="E1586" s="1"/>
      <x:c r="F1586" s="11"/>
    </x:row>
    <x:row r="1587" spans="1:6" x14ac:dyDescent="0.25">
      <x:c r="A1587" s="1"/>
      <x:c r="B1587" s="1"/>
      <x:c r="C1587" s="1"/>
      <x:c r="D1587" s="1"/>
      <x:c r="E1587" s="1"/>
      <x:c r="F1587" s="11"/>
    </x:row>
    <x:row r="1588" spans="1:6" x14ac:dyDescent="0.25">
      <x:c r="A1588" s="1"/>
      <x:c r="B1588" s="1"/>
      <x:c r="C1588" s="1"/>
      <x:c r="D1588" s="1"/>
      <x:c r="E1588" s="1"/>
      <x:c r="F1588" s="11"/>
    </x:row>
    <x:row r="1589" spans="1:6" x14ac:dyDescent="0.25">
      <x:c r="A1589" s="1"/>
      <x:c r="B1589" s="1"/>
      <x:c r="C1589" s="1"/>
      <x:c r="D1589" s="1"/>
      <x:c r="E1589" s="1"/>
      <x:c r="F1589" s="11"/>
    </x:row>
    <x:row r="1590" spans="1:6" x14ac:dyDescent="0.25">
      <x:c r="A1590" s="1"/>
      <x:c r="B1590" s="1"/>
      <x:c r="C1590" s="1"/>
      <x:c r="D1590" s="1"/>
      <x:c r="E1590" s="1"/>
      <x:c r="F1590" s="11"/>
    </x:row>
    <x:row r="1591" spans="1:6" x14ac:dyDescent="0.25">
      <x:c r="A1591" s="1"/>
      <x:c r="B1591" s="1"/>
      <x:c r="C1591" s="1"/>
      <x:c r="D1591" s="1"/>
      <x:c r="E1591" s="1"/>
      <x:c r="F1591" s="11"/>
    </x:row>
    <x:row r="1592" spans="1:6" x14ac:dyDescent="0.25">
      <x:c r="A1592" s="1"/>
      <x:c r="B1592" s="1"/>
      <x:c r="C1592" s="1"/>
      <x:c r="D1592" s="1"/>
      <x:c r="E1592" s="1"/>
      <x:c r="F1592" s="11"/>
    </x:row>
    <x:row r="1593" spans="1:6" x14ac:dyDescent="0.25">
      <x:c r="A1593" s="1"/>
      <x:c r="B1593" s="1"/>
      <x:c r="C1593" s="1"/>
      <x:c r="D1593" s="1"/>
      <x:c r="E1593" s="1"/>
      <x:c r="F1593" s="11"/>
    </x:row>
    <x:row r="1594" spans="1:6" x14ac:dyDescent="0.25">
      <x:c r="A1594" s="1"/>
      <x:c r="B1594" s="1"/>
      <x:c r="C1594" s="1"/>
      <x:c r="D1594" s="1"/>
      <x:c r="E1594" s="1"/>
      <x:c r="F1594" s="11"/>
    </x:row>
    <x:row r="1595" spans="1:6" x14ac:dyDescent="0.25">
      <x:c r="A1595" s="1"/>
      <x:c r="B1595" s="1"/>
      <x:c r="C1595" s="1"/>
      <x:c r="D1595" s="1"/>
      <x:c r="E1595" s="1"/>
      <x:c r="F1595" s="11"/>
    </x:row>
    <x:row r="1596" spans="1:6" x14ac:dyDescent="0.25">
      <x:c r="A1596" s="1"/>
      <x:c r="B1596" s="1"/>
      <x:c r="C1596" s="1"/>
      <x:c r="D1596" s="1"/>
      <x:c r="E1596" s="1"/>
      <x:c r="F1596" s="11"/>
    </x:row>
    <x:row r="1597" spans="1:6" x14ac:dyDescent="0.25">
      <x:c r="A1597" s="1"/>
      <x:c r="B1597" s="1"/>
      <x:c r="C1597" s="1"/>
      <x:c r="D1597" s="1"/>
      <x:c r="E1597" s="1"/>
      <x:c r="F1597" s="11"/>
    </x:row>
    <x:row r="1598" spans="1:6" x14ac:dyDescent="0.25">
      <x:c r="A1598" s="1"/>
      <x:c r="B1598" s="1"/>
      <x:c r="C1598" s="1"/>
      <x:c r="D1598" s="1"/>
      <x:c r="E1598" s="1"/>
      <x:c r="F1598" s="11"/>
    </x:row>
    <x:row r="1599" spans="1:6" x14ac:dyDescent="0.25">
      <x:c r="A1599" s="1"/>
      <x:c r="B1599" s="1"/>
      <x:c r="C1599" s="1"/>
      <x:c r="D1599" s="1"/>
      <x:c r="E1599" s="1"/>
      <x:c r="F1599" s="11"/>
    </x:row>
    <x:row r="1600" spans="1:6" x14ac:dyDescent="0.25">
      <x:c r="A1600" s="1"/>
      <x:c r="B1600" s="1"/>
      <x:c r="C1600" s="1"/>
      <x:c r="D1600" s="1"/>
      <x:c r="E1600" s="1"/>
      <x:c r="F1600" s="11"/>
    </x:row>
    <x:row r="1601" spans="1:6" x14ac:dyDescent="0.25">
      <x:c r="A1601" s="1"/>
      <x:c r="B1601" s="1"/>
      <x:c r="C1601" s="1"/>
      <x:c r="D1601" s="1"/>
      <x:c r="E1601" s="1"/>
      <x:c r="F1601" s="11"/>
    </x:row>
    <x:row r="1602" spans="1:6" x14ac:dyDescent="0.25">
      <x:c r="A1602" s="1"/>
      <x:c r="B1602" s="1"/>
      <x:c r="C1602" s="1"/>
      <x:c r="D1602" s="1"/>
      <x:c r="E1602" s="1"/>
      <x:c r="F1602" s="11"/>
    </x:row>
    <x:row r="1603" spans="1:6" x14ac:dyDescent="0.25">
      <x:c r="A1603" s="1"/>
      <x:c r="B1603" s="1"/>
      <x:c r="C1603" s="1"/>
      <x:c r="D1603" s="1"/>
      <x:c r="E1603" s="1"/>
      <x:c r="F1603" s="11"/>
    </x:row>
    <x:row r="1604" spans="1:6" x14ac:dyDescent="0.25">
      <x:c r="A1604" s="1"/>
      <x:c r="B1604" s="1"/>
      <x:c r="C1604" s="1"/>
      <x:c r="D1604" s="1"/>
      <x:c r="E1604" s="1"/>
      <x:c r="F1604" s="11"/>
    </x:row>
    <x:row r="1605" spans="1:6" x14ac:dyDescent="0.25">
      <x:c r="A1605" s="1"/>
      <x:c r="B1605" s="1"/>
      <x:c r="C1605" s="1"/>
      <x:c r="D1605" s="1"/>
      <x:c r="E1605" s="1"/>
      <x:c r="F1605" s="11"/>
    </x:row>
    <x:row r="1606" spans="1:6" x14ac:dyDescent="0.25">
      <x:c r="A1606" s="1"/>
      <x:c r="B1606" s="1"/>
      <x:c r="C1606" s="1"/>
      <x:c r="D1606" s="1"/>
      <x:c r="E1606" s="1"/>
      <x:c r="F1606" s="11"/>
    </x:row>
    <x:row r="1607" spans="1:6" x14ac:dyDescent="0.25">
      <x:c r="A1607" s="1"/>
      <x:c r="B1607" s="1"/>
      <x:c r="C1607" s="1"/>
      <x:c r="D1607" s="1"/>
      <x:c r="E1607" s="1"/>
      <x:c r="F1607" s="11"/>
    </x:row>
    <x:row r="1608" spans="1:6" x14ac:dyDescent="0.25">
      <x:c r="A1608" s="1"/>
      <x:c r="B1608" s="1"/>
      <x:c r="C1608" s="1"/>
      <x:c r="D1608" s="1"/>
      <x:c r="E1608" s="1"/>
      <x:c r="F1608" s="11"/>
    </x:row>
    <x:row r="1609" spans="1:6" x14ac:dyDescent="0.25">
      <x:c r="A1609" s="1"/>
      <x:c r="B1609" s="1"/>
      <x:c r="C1609" s="1"/>
      <x:c r="D1609" s="1"/>
      <x:c r="E1609" s="1"/>
      <x:c r="F1609" s="11"/>
    </x:row>
    <x:row r="1610" spans="1:6" x14ac:dyDescent="0.25">
      <x:c r="A1610" s="1"/>
      <x:c r="B1610" s="1"/>
      <x:c r="C1610" s="1"/>
      <x:c r="D1610" s="1"/>
      <x:c r="E1610" s="1"/>
      <x:c r="F1610" s="11"/>
    </x:row>
    <x:row r="1611" spans="1:6" x14ac:dyDescent="0.25">
      <x:c r="A1611" s="1"/>
      <x:c r="B1611" s="1"/>
      <x:c r="C1611" s="1"/>
      <x:c r="D1611" s="1"/>
      <x:c r="E1611" s="1"/>
      <x:c r="F1611" s="11"/>
    </x:row>
    <x:row r="1612" spans="1:6" x14ac:dyDescent="0.25">
      <x:c r="A1612" s="1"/>
      <x:c r="B1612" s="1"/>
      <x:c r="C1612" s="1"/>
      <x:c r="D1612" s="1"/>
      <x:c r="E1612" s="1"/>
      <x:c r="F1612" s="11"/>
    </x:row>
    <x:row r="1613" spans="1:6" x14ac:dyDescent="0.25">
      <x:c r="A1613" s="1"/>
      <x:c r="B1613" s="1"/>
      <x:c r="C1613" s="1"/>
      <x:c r="D1613" s="1"/>
      <x:c r="E1613" s="1"/>
      <x:c r="F1613" s="11"/>
    </x:row>
    <x:row r="1614" spans="1:6" x14ac:dyDescent="0.25">
      <x:c r="A1614" s="1"/>
      <x:c r="B1614" s="1"/>
      <x:c r="C1614" s="1"/>
      <x:c r="D1614" s="1"/>
      <x:c r="E1614" s="1"/>
      <x:c r="F1614" s="11"/>
    </x:row>
    <x:row r="1615" spans="1:6" x14ac:dyDescent="0.25">
      <x:c r="A1615" s="1"/>
      <x:c r="B1615" s="1"/>
      <x:c r="C1615" s="1"/>
      <x:c r="D1615" s="1"/>
      <x:c r="E1615" s="1"/>
      <x:c r="F1615" s="11"/>
    </x:row>
    <x:row r="1616" spans="1:6" x14ac:dyDescent="0.25">
      <x:c r="A1616" s="1"/>
      <x:c r="B1616" s="1"/>
      <x:c r="C1616" s="1"/>
      <x:c r="D1616" s="1"/>
      <x:c r="E1616" s="1"/>
      <x:c r="F1616" s="11"/>
    </x:row>
    <x:row r="1617" spans="1:6" x14ac:dyDescent="0.25">
      <x:c r="A1617" s="1"/>
      <x:c r="B1617" s="1"/>
      <x:c r="C1617" s="1"/>
      <x:c r="D1617" s="1"/>
      <x:c r="E1617" s="1"/>
      <x:c r="F1617" s="11"/>
    </x:row>
    <x:row r="1618" spans="1:6" x14ac:dyDescent="0.25">
      <x:c r="A1618" s="1"/>
      <x:c r="B1618" s="1"/>
      <x:c r="C1618" s="1"/>
      <x:c r="D1618" s="1"/>
      <x:c r="E1618" s="1"/>
      <x:c r="F1618" s="11"/>
    </x:row>
    <x:row r="1619" spans="1:6" x14ac:dyDescent="0.25">
      <x:c r="A1619" s="1"/>
      <x:c r="B1619" s="1"/>
      <x:c r="C1619" s="1"/>
      <x:c r="D1619" s="1"/>
      <x:c r="E1619" s="1"/>
      <x:c r="F1619" s="11"/>
    </x:row>
    <x:row r="1620" spans="1:6" x14ac:dyDescent="0.25">
      <x:c r="A1620" s="1"/>
      <x:c r="B1620" s="1"/>
      <x:c r="C1620" s="1"/>
      <x:c r="D1620" s="1"/>
      <x:c r="E1620" s="1"/>
      <x:c r="F1620" s="11"/>
    </x:row>
    <x:row r="1621" spans="1:6" x14ac:dyDescent="0.25">
      <x:c r="A1621" s="1"/>
      <x:c r="B1621" s="1"/>
      <x:c r="C1621" s="1"/>
      <x:c r="D1621" s="1"/>
      <x:c r="E1621" s="1"/>
      <x:c r="F1621" s="11"/>
    </x:row>
    <x:row r="1622" spans="1:6" x14ac:dyDescent="0.25">
      <x:c r="A1622" s="1"/>
      <x:c r="B1622" s="1"/>
      <x:c r="C1622" s="1"/>
      <x:c r="D1622" s="1"/>
      <x:c r="E1622" s="1"/>
      <x:c r="F1622" s="11"/>
    </x:row>
    <x:row r="1623" spans="1:6" x14ac:dyDescent="0.25">
      <x:c r="A1623" s="1"/>
      <x:c r="B1623" s="1"/>
      <x:c r="C1623" s="1"/>
      <x:c r="D1623" s="1"/>
      <x:c r="E1623" s="1"/>
      <x:c r="F1623" s="11"/>
    </x:row>
    <x:row r="1624" spans="1:6" x14ac:dyDescent="0.25">
      <x:c r="A1624" s="1"/>
      <x:c r="B1624" s="1"/>
      <x:c r="C1624" s="1"/>
      <x:c r="D1624" s="1"/>
      <x:c r="E1624" s="1"/>
      <x:c r="F1624" s="11"/>
    </x:row>
    <x:row r="1625" spans="1:6" x14ac:dyDescent="0.25">
      <x:c r="A1625" s="1"/>
      <x:c r="B1625" s="1"/>
      <x:c r="C1625" s="1"/>
      <x:c r="D1625" s="1"/>
      <x:c r="E1625" s="1"/>
      <x:c r="F1625" s="11"/>
    </x:row>
    <x:row r="1626" spans="1:6" x14ac:dyDescent="0.25">
      <x:c r="A1626" s="1"/>
      <x:c r="B1626" s="1"/>
      <x:c r="C1626" s="1"/>
      <x:c r="D1626" s="1"/>
      <x:c r="E1626" s="1"/>
      <x:c r="F1626" s="11"/>
    </x:row>
    <x:row r="1627" spans="1:6" x14ac:dyDescent="0.25">
      <x:c r="A1627" s="1"/>
      <x:c r="B1627" s="1"/>
      <x:c r="C1627" s="1"/>
      <x:c r="D1627" s="1"/>
      <x:c r="E1627" s="1"/>
      <x:c r="F1627" s="11"/>
    </x:row>
    <x:row r="1628" spans="1:6" x14ac:dyDescent="0.25">
      <x:c r="A1628" s="1"/>
      <x:c r="B1628" s="1"/>
      <x:c r="C1628" s="1"/>
      <x:c r="D1628" s="1"/>
      <x:c r="E1628" s="1"/>
      <x:c r="F1628" s="11"/>
    </x:row>
    <x:row r="1629" spans="1:6" x14ac:dyDescent="0.25">
      <x:c r="A1629" s="1"/>
      <x:c r="B1629" s="1"/>
      <x:c r="C1629" s="1"/>
      <x:c r="D1629" s="1"/>
      <x:c r="E1629" s="1"/>
      <x:c r="F1629" s="11"/>
    </x:row>
    <x:row r="1630" spans="1:6" x14ac:dyDescent="0.25">
      <x:c r="A1630" s="1"/>
      <x:c r="B1630" s="1"/>
      <x:c r="C1630" s="1"/>
      <x:c r="D1630" s="1"/>
      <x:c r="E1630" s="1"/>
      <x:c r="F1630" s="11"/>
    </x:row>
    <x:row r="1631" spans="1:6" x14ac:dyDescent="0.25">
      <x:c r="A1631" s="1"/>
      <x:c r="B1631" s="1"/>
      <x:c r="C1631" s="1"/>
      <x:c r="D1631" s="1"/>
      <x:c r="E1631" s="1"/>
      <x:c r="F1631" s="11"/>
    </x:row>
    <x:row r="1632" spans="1:6" x14ac:dyDescent="0.25">
      <x:c r="A1632" s="1"/>
      <x:c r="B1632" s="1"/>
      <x:c r="C1632" s="1"/>
      <x:c r="D1632" s="1"/>
      <x:c r="E1632" s="1"/>
      <x:c r="F1632" s="11"/>
    </x:row>
    <x:row r="1633" spans="1:6" x14ac:dyDescent="0.25">
      <x:c r="A1633" s="1"/>
      <x:c r="B1633" s="1"/>
      <x:c r="C1633" s="1"/>
      <x:c r="D1633" s="1"/>
      <x:c r="E1633" s="1"/>
      <x:c r="F1633" s="11"/>
    </x:row>
    <x:row r="1634" spans="1:6" x14ac:dyDescent="0.25">
      <x:c r="A1634" s="1"/>
      <x:c r="B1634" s="1"/>
      <x:c r="C1634" s="1"/>
      <x:c r="D1634" s="1"/>
      <x:c r="E1634" s="1"/>
      <x:c r="F1634" s="11"/>
    </x:row>
    <x:row r="1635" spans="1:6" x14ac:dyDescent="0.25">
      <x:c r="A1635" s="1"/>
      <x:c r="B1635" s="1"/>
      <x:c r="C1635" s="1"/>
      <x:c r="D1635" s="1"/>
      <x:c r="E1635" s="1"/>
      <x:c r="F1635" s="11"/>
    </x:row>
    <x:row r="1636" spans="1:6" x14ac:dyDescent="0.25">
      <x:c r="A1636" s="1"/>
      <x:c r="B1636" s="1"/>
      <x:c r="C1636" s="1"/>
      <x:c r="D1636" s="1"/>
      <x:c r="E1636" s="1"/>
      <x:c r="F1636" s="11"/>
    </x:row>
    <x:row r="1637" spans="1:6" x14ac:dyDescent="0.25">
      <x:c r="A1637" s="1"/>
      <x:c r="B1637" s="1"/>
      <x:c r="C1637" s="1"/>
      <x:c r="D1637" s="1"/>
      <x:c r="E1637" s="1"/>
      <x:c r="F1637" s="11"/>
    </x:row>
    <x:row r="1638" spans="1:6" x14ac:dyDescent="0.25">
      <x:c r="A1638" s="1"/>
      <x:c r="B1638" s="1"/>
      <x:c r="C1638" s="1"/>
      <x:c r="D1638" s="1"/>
      <x:c r="E1638" s="1"/>
      <x:c r="F1638" s="11"/>
    </x:row>
    <x:row r="1639" spans="1:6" x14ac:dyDescent="0.25">
      <x:c r="A1639" s="1"/>
      <x:c r="B1639" s="1"/>
      <x:c r="C1639" s="1"/>
      <x:c r="D1639" s="1"/>
      <x:c r="E1639" s="1"/>
      <x:c r="F1639" s="11"/>
    </x:row>
    <x:row r="1640" spans="1:6" x14ac:dyDescent="0.25">
      <x:c r="A1640" s="1"/>
      <x:c r="B1640" s="1"/>
      <x:c r="C1640" s="1"/>
      <x:c r="D1640" s="1"/>
      <x:c r="E1640" s="1"/>
      <x:c r="F1640" s="11"/>
    </x:row>
    <x:row r="1641" spans="1:6" x14ac:dyDescent="0.25">
      <x:c r="A1641" s="1"/>
      <x:c r="B1641" s="1"/>
      <x:c r="C1641" s="1"/>
      <x:c r="D1641" s="1"/>
      <x:c r="E1641" s="1"/>
      <x:c r="F1641" s="11"/>
    </x:row>
    <x:row r="1642" spans="1:6" x14ac:dyDescent="0.25">
      <x:c r="A1642" s="1"/>
      <x:c r="B1642" s="1"/>
      <x:c r="C1642" s="1"/>
      <x:c r="D1642" s="1"/>
      <x:c r="E1642" s="1"/>
      <x:c r="F1642" s="11"/>
    </x:row>
    <x:row r="1643" spans="1:6" x14ac:dyDescent="0.25">
      <x:c r="A1643" s="1"/>
      <x:c r="B1643" s="1"/>
      <x:c r="C1643" s="1"/>
      <x:c r="D1643" s="1"/>
      <x:c r="E1643" s="1"/>
      <x:c r="F1643" s="11"/>
    </x:row>
    <x:row r="1644" spans="1:6" x14ac:dyDescent="0.25">
      <x:c r="A1644" s="1"/>
      <x:c r="B1644" s="1"/>
      <x:c r="C1644" s="1"/>
      <x:c r="D1644" s="1"/>
      <x:c r="E1644" s="1"/>
      <x:c r="F1644" s="11"/>
    </x:row>
    <x:row r="1645" spans="1:6" x14ac:dyDescent="0.25">
      <x:c r="A1645" s="1"/>
      <x:c r="B1645" s="1"/>
      <x:c r="C1645" s="1"/>
      <x:c r="D1645" s="1"/>
      <x:c r="E1645" s="1"/>
      <x:c r="F1645" s="11"/>
    </x:row>
    <x:row r="1646" spans="1:6" x14ac:dyDescent="0.25">
      <x:c r="A1646" s="1"/>
      <x:c r="B1646" s="1"/>
      <x:c r="C1646" s="1"/>
      <x:c r="D1646" s="1"/>
      <x:c r="E1646" s="1"/>
      <x:c r="F1646" s="11"/>
    </x:row>
    <x:row r="1647" spans="1:6" x14ac:dyDescent="0.25">
      <x:c r="A1647" s="1"/>
      <x:c r="B1647" s="1"/>
      <x:c r="C1647" s="1"/>
      <x:c r="D1647" s="1"/>
      <x:c r="E1647" s="1"/>
      <x:c r="F1647" s="11"/>
    </x:row>
    <x:row r="1648" spans="1:6" x14ac:dyDescent="0.25">
      <x:c r="A1648" s="1"/>
      <x:c r="B1648" s="1"/>
      <x:c r="C1648" s="1"/>
      <x:c r="D1648" s="1"/>
      <x:c r="E1648" s="1"/>
      <x:c r="F1648" s="11"/>
    </x:row>
    <x:row r="1649" spans="1:6" x14ac:dyDescent="0.25">
      <x:c r="A1649" s="1"/>
      <x:c r="B1649" s="1"/>
      <x:c r="C1649" s="1"/>
      <x:c r="D1649" s="1"/>
      <x:c r="E1649" s="1"/>
      <x:c r="F1649" s="11"/>
    </x:row>
    <x:row r="1650" spans="1:6" x14ac:dyDescent="0.25">
      <x:c r="A1650" s="1"/>
      <x:c r="B1650" s="1"/>
      <x:c r="C1650" s="1"/>
      <x:c r="D1650" s="1"/>
      <x:c r="E1650" s="1"/>
      <x:c r="F1650" s="11"/>
    </x:row>
    <x:row r="1651" spans="1:6" x14ac:dyDescent="0.25">
      <x:c r="A1651" s="1"/>
      <x:c r="B1651" s="1"/>
      <x:c r="C1651" s="1"/>
      <x:c r="D1651" s="1"/>
      <x:c r="E1651" s="1"/>
      <x:c r="F1651" s="11"/>
    </x:row>
    <x:row r="1652" spans="1:6" x14ac:dyDescent="0.25">
      <x:c r="A1652" s="1"/>
      <x:c r="B1652" s="1"/>
      <x:c r="C1652" s="1"/>
      <x:c r="D1652" s="1"/>
      <x:c r="E1652" s="1"/>
      <x:c r="F1652" s="11"/>
    </x:row>
    <x:row r="1653" spans="1:6" x14ac:dyDescent="0.25">
      <x:c r="A1653" s="1"/>
      <x:c r="B1653" s="1"/>
      <x:c r="C1653" s="1"/>
      <x:c r="D1653" s="1"/>
      <x:c r="E1653" s="1"/>
      <x:c r="F1653" s="11"/>
    </x:row>
    <x:row r="1654" spans="1:6" x14ac:dyDescent="0.25">
      <x:c r="A1654" s="1"/>
      <x:c r="B1654" s="1"/>
      <x:c r="C1654" s="1"/>
      <x:c r="D1654" s="1"/>
      <x:c r="E1654" s="1"/>
      <x:c r="F1654" s="11"/>
    </x:row>
    <x:row r="1655" spans="1:6" x14ac:dyDescent="0.25">
      <x:c r="A1655" s="1"/>
      <x:c r="B1655" s="1"/>
      <x:c r="C1655" s="1"/>
      <x:c r="D1655" s="1"/>
      <x:c r="E1655" s="1"/>
      <x:c r="F1655" s="11"/>
    </x:row>
    <x:row r="1656" spans="1:6" x14ac:dyDescent="0.25">
      <x:c r="A1656" s="1"/>
      <x:c r="B1656" s="1"/>
      <x:c r="C1656" s="1"/>
      <x:c r="D1656" s="1"/>
      <x:c r="E1656" s="1"/>
      <x:c r="F1656" s="11"/>
    </x:row>
    <x:row r="1657" spans="1:6" x14ac:dyDescent="0.25">
      <x:c r="A1657" s="1"/>
      <x:c r="B1657" s="1"/>
      <x:c r="C1657" s="1"/>
      <x:c r="D1657" s="1"/>
      <x:c r="E1657" s="1"/>
      <x:c r="F1657" s="11"/>
    </x:row>
    <x:row r="1658" spans="1:6" x14ac:dyDescent="0.25">
      <x:c r="A1658" s="1"/>
      <x:c r="B1658" s="1"/>
      <x:c r="C1658" s="1"/>
      <x:c r="D1658" s="1"/>
      <x:c r="E1658" s="1"/>
      <x:c r="F1658" s="11"/>
    </x:row>
    <x:row r="1659" spans="1:6" x14ac:dyDescent="0.25">
      <x:c r="A1659" s="1"/>
      <x:c r="B1659" s="1"/>
      <x:c r="C1659" s="1"/>
      <x:c r="D1659" s="1"/>
      <x:c r="E1659" s="1"/>
      <x:c r="F1659" s="11"/>
    </x:row>
    <x:row r="1660" spans="1:6" x14ac:dyDescent="0.25">
      <x:c r="A1660" s="1"/>
      <x:c r="B1660" s="1"/>
      <x:c r="C1660" s="1"/>
      <x:c r="D1660" s="1"/>
      <x:c r="E1660" s="1"/>
      <x:c r="F1660" s="11"/>
    </x:row>
    <x:row r="1661" spans="1:6" x14ac:dyDescent="0.25">
      <x:c r="A1661" s="1"/>
      <x:c r="B1661" s="1"/>
      <x:c r="C1661" s="1"/>
      <x:c r="D1661" s="1"/>
      <x:c r="E1661" s="1"/>
      <x:c r="F1661" s="11"/>
    </x:row>
    <x:row r="1662" spans="1:6" x14ac:dyDescent="0.25">
      <x:c r="A1662" s="1"/>
      <x:c r="B1662" s="1"/>
      <x:c r="C1662" s="1"/>
      <x:c r="D1662" s="1"/>
      <x:c r="E1662" s="1"/>
      <x:c r="F1662" s="11"/>
    </x:row>
    <x:row r="1663" spans="1:6" x14ac:dyDescent="0.25">
      <x:c r="A1663" s="1"/>
      <x:c r="B1663" s="1"/>
      <x:c r="C1663" s="1"/>
      <x:c r="D1663" s="1"/>
      <x:c r="E1663" s="1"/>
      <x:c r="F1663" s="11"/>
    </x:row>
    <x:row r="1664" spans="1:6" x14ac:dyDescent="0.25">
      <x:c r="A1664" s="1"/>
      <x:c r="B1664" s="1"/>
      <x:c r="C1664" s="1"/>
      <x:c r="D1664" s="1"/>
      <x:c r="E1664" s="1"/>
      <x:c r="F1664" s="11"/>
    </x:row>
    <x:row r="1665" spans="1:6" x14ac:dyDescent="0.25">
      <x:c r="A1665" s="1"/>
      <x:c r="B1665" s="1"/>
      <x:c r="C1665" s="1"/>
      <x:c r="D1665" s="1"/>
      <x:c r="E1665" s="1"/>
      <x:c r="F1665" s="11"/>
    </x:row>
    <x:row r="1666" spans="1:6" x14ac:dyDescent="0.25">
      <x:c r="A1666" s="1"/>
      <x:c r="B1666" s="1"/>
      <x:c r="C1666" s="1"/>
      <x:c r="D1666" s="1"/>
      <x:c r="E1666" s="1"/>
      <x:c r="F1666" s="11"/>
    </x:row>
    <x:row r="1667" spans="1:6" x14ac:dyDescent="0.25">
      <x:c r="A1667" s="1"/>
      <x:c r="B1667" s="1"/>
      <x:c r="C1667" s="1"/>
      <x:c r="D1667" s="1"/>
      <x:c r="E1667" s="1"/>
      <x:c r="F1667" s="11"/>
    </x:row>
    <x:row r="1668" spans="1:6" x14ac:dyDescent="0.25">
      <x:c r="A1668" s="1"/>
      <x:c r="B1668" s="1"/>
      <x:c r="C1668" s="1"/>
      <x:c r="D1668" s="1"/>
      <x:c r="E1668" s="1"/>
      <x:c r="F1668" s="11"/>
    </x:row>
    <x:row r="1669" spans="1:6" x14ac:dyDescent="0.25">
      <x:c r="A1669" s="1"/>
      <x:c r="B1669" s="1"/>
      <x:c r="C1669" s="1"/>
      <x:c r="D1669" s="1"/>
      <x:c r="E1669" s="1"/>
      <x:c r="F1669" s="11"/>
    </x:row>
    <x:row r="1670" spans="1:6" x14ac:dyDescent="0.25">
      <x:c r="A1670" s="1"/>
      <x:c r="B1670" s="1"/>
      <x:c r="C1670" s="1"/>
      <x:c r="D1670" s="1"/>
      <x:c r="E1670" s="1"/>
      <x:c r="F1670" s="11"/>
    </x:row>
    <x:row r="1671" spans="1:6" x14ac:dyDescent="0.25">
      <x:c r="A1671" s="1"/>
      <x:c r="B1671" s="1"/>
      <x:c r="C1671" s="1"/>
      <x:c r="D1671" s="1"/>
      <x:c r="E1671" s="1"/>
      <x:c r="F1671" s="11"/>
    </x:row>
    <x:row r="1672" spans="1:6" x14ac:dyDescent="0.25">
      <x:c r="A1672" s="1"/>
      <x:c r="B1672" s="1"/>
      <x:c r="C1672" s="1"/>
      <x:c r="D1672" s="1"/>
      <x:c r="E1672" s="1"/>
      <x:c r="F1672" s="11"/>
    </x:row>
    <x:row r="1673" spans="1:6" x14ac:dyDescent="0.25">
      <x:c r="A1673" s="1"/>
      <x:c r="B1673" s="1"/>
      <x:c r="C1673" s="1"/>
      <x:c r="D1673" s="1"/>
      <x:c r="E1673" s="1"/>
      <x:c r="F1673" s="11"/>
    </x:row>
    <x:row r="1674" spans="1:6" x14ac:dyDescent="0.25">
      <x:c r="A1674" s="1"/>
      <x:c r="B1674" s="1"/>
      <x:c r="C1674" s="1"/>
      <x:c r="D1674" s="1"/>
      <x:c r="E1674" s="1"/>
      <x:c r="F1674" s="11"/>
    </x:row>
    <x:row r="1675" spans="1:6" x14ac:dyDescent="0.25">
      <x:c r="A1675" s="1"/>
      <x:c r="B1675" s="1"/>
      <x:c r="C1675" s="1"/>
      <x:c r="D1675" s="1"/>
      <x:c r="E1675" s="1"/>
      <x:c r="F1675" s="11"/>
    </x:row>
    <x:row r="1676" spans="1:6" x14ac:dyDescent="0.25">
      <x:c r="A1676" s="1"/>
      <x:c r="B1676" s="1"/>
      <x:c r="C1676" s="1"/>
      <x:c r="D1676" s="1"/>
      <x:c r="E1676" s="1"/>
      <x:c r="F1676" s="11"/>
    </x:row>
    <x:row r="1677" spans="1:6" x14ac:dyDescent="0.25">
      <x:c r="A1677" s="1"/>
      <x:c r="B1677" s="1"/>
      <x:c r="C1677" s="1"/>
      <x:c r="D1677" s="1"/>
      <x:c r="E1677" s="1"/>
      <x:c r="F1677" s="11"/>
    </x:row>
    <x:row r="1678" spans="1:6" x14ac:dyDescent="0.25">
      <x:c r="A1678" s="1"/>
      <x:c r="B1678" s="1"/>
      <x:c r="C1678" s="1"/>
      <x:c r="D1678" s="1"/>
      <x:c r="E1678" s="1"/>
      <x:c r="F1678" s="11"/>
    </x:row>
    <x:row r="1679" spans="1:6" x14ac:dyDescent="0.25">
      <x:c r="A1679" s="1"/>
      <x:c r="B1679" s="1"/>
      <x:c r="C1679" s="1"/>
      <x:c r="D1679" s="1"/>
      <x:c r="E1679" s="1"/>
      <x:c r="F1679" s="11"/>
    </x:row>
    <x:row r="1680" spans="1:6" x14ac:dyDescent="0.25">
      <x:c r="A1680" s="1"/>
      <x:c r="B1680" s="1"/>
      <x:c r="C1680" s="1"/>
      <x:c r="D1680" s="1"/>
      <x:c r="E1680" s="1"/>
      <x:c r="F1680" s="11"/>
    </x:row>
    <x:row r="1681" spans="1:6" x14ac:dyDescent="0.25">
      <x:c r="A1681" s="1"/>
      <x:c r="B1681" s="1"/>
      <x:c r="C1681" s="1"/>
      <x:c r="D1681" s="1"/>
      <x:c r="E1681" s="1"/>
      <x:c r="F1681" s="11"/>
    </x:row>
    <x:row r="1682" spans="1:6" x14ac:dyDescent="0.25">
      <x:c r="A1682" s="1"/>
      <x:c r="B1682" s="1"/>
      <x:c r="C1682" s="1"/>
      <x:c r="D1682" s="1"/>
      <x:c r="E1682" s="1"/>
      <x:c r="F1682" s="11"/>
    </x:row>
    <x:row r="1683" spans="1:6" x14ac:dyDescent="0.25">
      <x:c r="A1683" s="1"/>
      <x:c r="B1683" s="1"/>
      <x:c r="C1683" s="1"/>
      <x:c r="D1683" s="1"/>
      <x:c r="E1683" s="1"/>
      <x:c r="F1683" s="11"/>
    </x:row>
    <x:row r="1684" spans="1:6" x14ac:dyDescent="0.25">
      <x:c r="A1684" s="1"/>
      <x:c r="B1684" s="1"/>
      <x:c r="C1684" s="1"/>
      <x:c r="D1684" s="1"/>
      <x:c r="E1684" s="1"/>
      <x:c r="F1684" s="11"/>
    </x:row>
    <x:row r="1685" spans="1:6" x14ac:dyDescent="0.25">
      <x:c r="A1685" s="1"/>
      <x:c r="B1685" s="1"/>
      <x:c r="C1685" s="1"/>
      <x:c r="D1685" s="1"/>
      <x:c r="E1685" s="1"/>
      <x:c r="F1685" s="11"/>
    </x:row>
    <x:row r="1686" spans="1:6" x14ac:dyDescent="0.25">
      <x:c r="A1686" s="1"/>
      <x:c r="B1686" s="1"/>
      <x:c r="C1686" s="1"/>
      <x:c r="D1686" s="1"/>
      <x:c r="E1686" s="1"/>
      <x:c r="F1686" s="11"/>
    </x:row>
    <x:row r="1687" spans="1:6" x14ac:dyDescent="0.25">
      <x:c r="A1687" s="1"/>
      <x:c r="B1687" s="1"/>
      <x:c r="C1687" s="1"/>
      <x:c r="D1687" s="1"/>
      <x:c r="E1687" s="1"/>
      <x:c r="F1687" s="11"/>
    </x:row>
    <x:row r="1688" spans="1:6" x14ac:dyDescent="0.25">
      <x:c r="A1688" s="1"/>
      <x:c r="B1688" s="1"/>
      <x:c r="C1688" s="1"/>
      <x:c r="D1688" s="1"/>
      <x:c r="E1688" s="1"/>
      <x:c r="F1688" s="11"/>
    </x:row>
    <x:row r="1689" spans="1:6" x14ac:dyDescent="0.25">
      <x:c r="A1689" s="1"/>
      <x:c r="B1689" s="1"/>
      <x:c r="C1689" s="1"/>
      <x:c r="D1689" s="1"/>
      <x:c r="E1689" s="1"/>
      <x:c r="F1689" s="11"/>
    </x:row>
    <x:row r="1690" spans="1:6" x14ac:dyDescent="0.25">
      <x:c r="A1690" s="1"/>
      <x:c r="B1690" s="1"/>
      <x:c r="C1690" s="1"/>
      <x:c r="D1690" s="1"/>
      <x:c r="E1690" s="1"/>
      <x:c r="F1690" s="11"/>
    </x:row>
    <x:row r="1691" spans="1:6" x14ac:dyDescent="0.25">
      <x:c r="A1691" s="1"/>
      <x:c r="B1691" s="1"/>
      <x:c r="C1691" s="1"/>
      <x:c r="D1691" s="1"/>
      <x:c r="E1691" s="1"/>
      <x:c r="F1691" s="11"/>
    </x:row>
    <x:row r="1692" spans="1:6" x14ac:dyDescent="0.25">
      <x:c r="A1692" s="1"/>
      <x:c r="B1692" s="1"/>
      <x:c r="C1692" s="1"/>
      <x:c r="D1692" s="1"/>
      <x:c r="E1692" s="1"/>
      <x:c r="F1692" s="11"/>
    </x:row>
    <x:row r="1693" spans="1:6" x14ac:dyDescent="0.25">
      <x:c r="A1693" s="1"/>
      <x:c r="B1693" s="1"/>
      <x:c r="C1693" s="1"/>
      <x:c r="D1693" s="1"/>
      <x:c r="E1693" s="1"/>
      <x:c r="F1693" s="11"/>
    </x:row>
    <x:row r="1694" spans="1:6" x14ac:dyDescent="0.25">
      <x:c r="A1694" s="1"/>
      <x:c r="B1694" s="1"/>
      <x:c r="C1694" s="1"/>
      <x:c r="D1694" s="1"/>
      <x:c r="E1694" s="1"/>
      <x:c r="F1694" s="11"/>
    </x:row>
    <x:row r="1695" spans="1:6" x14ac:dyDescent="0.25">
      <x:c r="A1695" s="1"/>
      <x:c r="B1695" s="1"/>
      <x:c r="C1695" s="1"/>
      <x:c r="D1695" s="1"/>
      <x:c r="E1695" s="1"/>
      <x:c r="F1695" s="11"/>
    </x:row>
    <x:row r="1696" spans="1:6" x14ac:dyDescent="0.25">
      <x:c r="A1696" s="1"/>
      <x:c r="B1696" s="1"/>
      <x:c r="C1696" s="1"/>
      <x:c r="D1696" s="1"/>
      <x:c r="E1696" s="1"/>
      <x:c r="F1696" s="11"/>
    </x:row>
    <x:row r="1697" spans="1:6" x14ac:dyDescent="0.25">
      <x:c r="A1697" s="1"/>
      <x:c r="B1697" s="1"/>
      <x:c r="C1697" s="1"/>
      <x:c r="D1697" s="1"/>
      <x:c r="E1697" s="1"/>
      <x:c r="F1697" s="11"/>
    </x:row>
    <x:row r="1698" spans="1:6" x14ac:dyDescent="0.25">
      <x:c r="A1698" s="1"/>
      <x:c r="B1698" s="1"/>
      <x:c r="C1698" s="1"/>
      <x:c r="D1698" s="1"/>
      <x:c r="E1698" s="1"/>
      <x:c r="F1698" s="11"/>
    </x:row>
    <x:row r="1699" spans="1:6" x14ac:dyDescent="0.25">
      <x:c r="A1699" s="1"/>
      <x:c r="B1699" s="1"/>
      <x:c r="C1699" s="1"/>
      <x:c r="D1699" s="1"/>
      <x:c r="E1699" s="1"/>
      <x:c r="F1699" s="11"/>
    </x:row>
    <x:row r="1700" spans="1:6" x14ac:dyDescent="0.25">
      <x:c r="A1700" s="1"/>
      <x:c r="B1700" s="1"/>
      <x:c r="C1700" s="1"/>
      <x:c r="D1700" s="1"/>
      <x:c r="E1700" s="1"/>
      <x:c r="F1700" s="11"/>
    </x:row>
    <x:row r="1701" spans="1:6" x14ac:dyDescent="0.25">
      <x:c r="A1701" s="1"/>
      <x:c r="B1701" s="1"/>
      <x:c r="C1701" s="1"/>
      <x:c r="D1701" s="1"/>
      <x:c r="E1701" s="1"/>
      <x:c r="F1701" s="11"/>
    </x:row>
    <x:row r="1702" spans="1:6" x14ac:dyDescent="0.25">
      <x:c r="A1702" s="1"/>
      <x:c r="B1702" s="1"/>
      <x:c r="C1702" s="1"/>
      <x:c r="D1702" s="1"/>
      <x:c r="E1702" s="1"/>
      <x:c r="F1702" s="11"/>
    </x:row>
    <x:row r="1703" spans="1:6" x14ac:dyDescent="0.25">
      <x:c r="A1703" s="1"/>
      <x:c r="B1703" s="1"/>
      <x:c r="C1703" s="1"/>
      <x:c r="D1703" s="1"/>
      <x:c r="E1703" s="1"/>
      <x:c r="F1703" s="11"/>
    </x:row>
    <x:row r="1704" spans="1:6" x14ac:dyDescent="0.25">
      <x:c r="A1704" s="1"/>
      <x:c r="B1704" s="1"/>
      <x:c r="C1704" s="1"/>
      <x:c r="D1704" s="1"/>
      <x:c r="E1704" s="1"/>
      <x:c r="F1704" s="11"/>
    </x:row>
    <x:row r="1705" spans="1:6" x14ac:dyDescent="0.25">
      <x:c r="A1705" s="1"/>
      <x:c r="B1705" s="1"/>
      <x:c r="C1705" s="1"/>
      <x:c r="D1705" s="1"/>
      <x:c r="E1705" s="1"/>
      <x:c r="F1705" s="11"/>
    </x:row>
    <x:row r="1706" spans="1:6" x14ac:dyDescent="0.25">
      <x:c r="A1706" s="1"/>
      <x:c r="B1706" s="1"/>
      <x:c r="C1706" s="1"/>
      <x:c r="D1706" s="1"/>
      <x:c r="E1706" s="1"/>
      <x:c r="F1706" s="11"/>
    </x:row>
    <x:row r="1707" spans="1:6" x14ac:dyDescent="0.25">
      <x:c r="A1707" s="1"/>
      <x:c r="B1707" s="1"/>
      <x:c r="C1707" s="1"/>
      <x:c r="D1707" s="1"/>
      <x:c r="E1707" s="1"/>
      <x:c r="F1707" s="11"/>
    </x:row>
    <x:row r="1708" spans="1:6" x14ac:dyDescent="0.25">
      <x:c r="A1708" s="1"/>
      <x:c r="B1708" s="1"/>
      <x:c r="C1708" s="1"/>
      <x:c r="D1708" s="1"/>
      <x:c r="E1708" s="1"/>
      <x:c r="F1708" s="11"/>
    </x:row>
    <x:row r="1709" spans="1:6" x14ac:dyDescent="0.25">
      <x:c r="A1709" s="1"/>
      <x:c r="B1709" s="1"/>
      <x:c r="C1709" s="1"/>
      <x:c r="D1709" s="1"/>
      <x:c r="E1709" s="1"/>
      <x:c r="F1709" s="11"/>
    </x:row>
    <x:row r="1710" spans="1:6" x14ac:dyDescent="0.25">
      <x:c r="A1710" s="1"/>
      <x:c r="B1710" s="1"/>
      <x:c r="C1710" s="1"/>
      <x:c r="D1710" s="1"/>
      <x:c r="E1710" s="1"/>
      <x:c r="F1710" s="11"/>
    </x:row>
    <x:row r="1711" spans="1:6" x14ac:dyDescent="0.25">
      <x:c r="A1711" s="1"/>
      <x:c r="B1711" s="1"/>
      <x:c r="C1711" s="1"/>
      <x:c r="D1711" s="1"/>
      <x:c r="E1711" s="1"/>
      <x:c r="F1711" s="11"/>
    </x:row>
    <x:row r="1712" spans="1:6" x14ac:dyDescent="0.25">
      <x:c r="A1712" s="1"/>
      <x:c r="B1712" s="1"/>
      <x:c r="C1712" s="1"/>
      <x:c r="D1712" s="1"/>
      <x:c r="E1712" s="1"/>
      <x:c r="F1712" s="11"/>
    </x:row>
    <x:row r="1713" spans="1:6" x14ac:dyDescent="0.25">
      <x:c r="A1713" s="1"/>
      <x:c r="B1713" s="1"/>
      <x:c r="C1713" s="1"/>
      <x:c r="D1713" s="1"/>
      <x:c r="E1713" s="1"/>
      <x:c r="F1713" s="11"/>
    </x:row>
    <x:row r="1714" spans="1:6" x14ac:dyDescent="0.25">
      <x:c r="A1714" s="1"/>
      <x:c r="B1714" s="1"/>
      <x:c r="C1714" s="1"/>
      <x:c r="D1714" s="1"/>
      <x:c r="E1714" s="1"/>
      <x:c r="F1714" s="11"/>
    </x:row>
    <x:row r="1715" spans="1:6" x14ac:dyDescent="0.25">
      <x:c r="A1715" s="1"/>
      <x:c r="B1715" s="1"/>
      <x:c r="C1715" s="1"/>
      <x:c r="D1715" s="1"/>
      <x:c r="E1715" s="1"/>
      <x:c r="F1715" s="11"/>
    </x:row>
    <x:row r="1716" spans="1:6" x14ac:dyDescent="0.25">
      <x:c r="A1716" s="1"/>
      <x:c r="B1716" s="1"/>
      <x:c r="C1716" s="1"/>
      <x:c r="D1716" s="1"/>
      <x:c r="E1716" s="1"/>
      <x:c r="F1716" s="11"/>
    </x:row>
    <x:row r="1717" spans="1:6" x14ac:dyDescent="0.25">
      <x:c r="A1717" s="1"/>
      <x:c r="B1717" s="1"/>
      <x:c r="C1717" s="1"/>
      <x:c r="D1717" s="1"/>
      <x:c r="E1717" s="1"/>
      <x:c r="F1717" s="11"/>
    </x:row>
    <x:row r="1718" spans="1:6" x14ac:dyDescent="0.25">
      <x:c r="A1718" s="1"/>
      <x:c r="B1718" s="1"/>
      <x:c r="C1718" s="1"/>
      <x:c r="D1718" s="1"/>
      <x:c r="E1718" s="1"/>
      <x:c r="F1718" s="11"/>
    </x:row>
    <x:row r="1719" spans="1:6" x14ac:dyDescent="0.25">
      <x:c r="A1719" s="1"/>
      <x:c r="B1719" s="1"/>
      <x:c r="C1719" s="1"/>
      <x:c r="D1719" s="1"/>
      <x:c r="E1719" s="1"/>
      <x:c r="F1719" s="11"/>
    </x:row>
    <x:row r="1720" spans="1:6" x14ac:dyDescent="0.25">
      <x:c r="A1720" s="1"/>
      <x:c r="B1720" s="1"/>
      <x:c r="C1720" s="1"/>
      <x:c r="D1720" s="1"/>
      <x:c r="E1720" s="1"/>
      <x:c r="F1720" s="11"/>
    </x:row>
    <x:row r="1721" spans="1:6" x14ac:dyDescent="0.25">
      <x:c r="A1721" s="1"/>
      <x:c r="B1721" s="1"/>
      <x:c r="C1721" s="1"/>
      <x:c r="D1721" s="1"/>
      <x:c r="E1721" s="1"/>
      <x:c r="F1721" s="11"/>
    </x:row>
    <x:row r="1722" spans="1:6" x14ac:dyDescent="0.25">
      <x:c r="A1722" s="1"/>
      <x:c r="B1722" s="1"/>
      <x:c r="C1722" s="1"/>
      <x:c r="D1722" s="1"/>
      <x:c r="E1722" s="1"/>
      <x:c r="F1722" s="11"/>
    </x:row>
    <x:row r="1723" spans="1:6" x14ac:dyDescent="0.25">
      <x:c r="A1723" s="1"/>
      <x:c r="B1723" s="1"/>
      <x:c r="C1723" s="1"/>
      <x:c r="D1723" s="1"/>
      <x:c r="E1723" s="1"/>
      <x:c r="F1723" s="11"/>
    </x:row>
    <x:row r="1724" spans="1:6" x14ac:dyDescent="0.25">
      <x:c r="A1724" s="1"/>
      <x:c r="B1724" s="1"/>
      <x:c r="C1724" s="1"/>
      <x:c r="D1724" s="1"/>
      <x:c r="E1724" s="1"/>
      <x:c r="F1724" s="11"/>
    </x:row>
    <x:row r="1725" spans="1:6" x14ac:dyDescent="0.25">
      <x:c r="A1725" s="1"/>
      <x:c r="B1725" s="1"/>
      <x:c r="C1725" s="1"/>
      <x:c r="D1725" s="1"/>
      <x:c r="E1725" s="1"/>
      <x:c r="F1725" s="11"/>
    </x:row>
    <x:row r="1726" spans="1:6" x14ac:dyDescent="0.25">
      <x:c r="A1726" s="1"/>
      <x:c r="B1726" s="1"/>
      <x:c r="C1726" s="1"/>
      <x:c r="D1726" s="1"/>
      <x:c r="E1726" s="1"/>
      <x:c r="F1726" s="11"/>
    </x:row>
    <x:row r="1727" spans="1:6" x14ac:dyDescent="0.25">
      <x:c r="A1727" s="1"/>
      <x:c r="B1727" s="1"/>
      <x:c r="C1727" s="1"/>
      <x:c r="D1727" s="1"/>
      <x:c r="E1727" s="1"/>
      <x:c r="F1727" s="11"/>
    </x:row>
    <x:row r="1728" spans="1:6" x14ac:dyDescent="0.25">
      <x:c r="A1728" s="1"/>
      <x:c r="B1728" s="1"/>
      <x:c r="C1728" s="1"/>
      <x:c r="D1728" s="1"/>
      <x:c r="E1728" s="1"/>
      <x:c r="F1728" s="11"/>
    </x:row>
    <x:row r="1729" spans="1:6" x14ac:dyDescent="0.25">
      <x:c r="A1729" s="1"/>
      <x:c r="B1729" s="1"/>
      <x:c r="C1729" s="1"/>
      <x:c r="D1729" s="1"/>
      <x:c r="E1729" s="1"/>
      <x:c r="F1729" s="11"/>
    </x:row>
    <x:row r="1730" spans="1:6" x14ac:dyDescent="0.25">
      <x:c r="A1730" s="1"/>
      <x:c r="B1730" s="1"/>
      <x:c r="C1730" s="1"/>
      <x:c r="D1730" s="1"/>
      <x:c r="E1730" s="1"/>
      <x:c r="F1730" s="11"/>
    </x:row>
    <x:row r="1731" spans="1:6" x14ac:dyDescent="0.25">
      <x:c r="A1731" s="1"/>
      <x:c r="B1731" s="1"/>
      <x:c r="C1731" s="1"/>
      <x:c r="D1731" s="1"/>
      <x:c r="E1731" s="1"/>
      <x:c r="F1731" s="11"/>
    </x:row>
    <x:row r="1732" spans="1:6" x14ac:dyDescent="0.25">
      <x:c r="A1732" s="1"/>
      <x:c r="B1732" s="1"/>
      <x:c r="C1732" s="1"/>
      <x:c r="D1732" s="1"/>
      <x:c r="E1732" s="1"/>
      <x:c r="F1732" s="11"/>
    </x:row>
    <x:row r="1733" spans="1:6" x14ac:dyDescent="0.25">
      <x:c r="A1733" s="1"/>
      <x:c r="B1733" s="1"/>
      <x:c r="C1733" s="1"/>
      <x:c r="D1733" s="1"/>
      <x:c r="E1733" s="1"/>
      <x:c r="F1733" s="11"/>
    </x:row>
    <x:row r="1734" spans="1:6" x14ac:dyDescent="0.25">
      <x:c r="A1734" s="1"/>
      <x:c r="B1734" s="1"/>
      <x:c r="C1734" s="1"/>
      <x:c r="D1734" s="1"/>
      <x:c r="E1734" s="1"/>
      <x:c r="F1734" s="11"/>
    </x:row>
    <x:row r="1735" spans="1:6" x14ac:dyDescent="0.25">
      <x:c r="A1735" s="1"/>
      <x:c r="B1735" s="1"/>
      <x:c r="C1735" s="1"/>
      <x:c r="D1735" s="1"/>
      <x:c r="E1735" s="1"/>
      <x:c r="F1735" s="11"/>
    </x:row>
    <x:row r="1736" spans="1:6" x14ac:dyDescent="0.25">
      <x:c r="A1736" s="1"/>
      <x:c r="B1736" s="1"/>
      <x:c r="C1736" s="1"/>
      <x:c r="D1736" s="1"/>
      <x:c r="E1736" s="1"/>
      <x:c r="F1736" s="11"/>
    </x:row>
    <x:row r="1737" spans="1:6" x14ac:dyDescent="0.25">
      <x:c r="A1737" s="1"/>
      <x:c r="B1737" s="1"/>
      <x:c r="C1737" s="1"/>
      <x:c r="D1737" s="1"/>
      <x:c r="E1737" s="1"/>
      <x:c r="F1737" s="11"/>
    </x:row>
    <x:row r="1738" spans="1:6" x14ac:dyDescent="0.25">
      <x:c r="A1738" s="1"/>
      <x:c r="B1738" s="1"/>
      <x:c r="C1738" s="1"/>
      <x:c r="D1738" s="1"/>
      <x:c r="E1738" s="1"/>
      <x:c r="F1738" s="11"/>
    </x:row>
    <x:row r="1739" spans="1:6" x14ac:dyDescent="0.25">
      <x:c r="A1739" s="1"/>
      <x:c r="B1739" s="1"/>
      <x:c r="C1739" s="1"/>
      <x:c r="D1739" s="1"/>
      <x:c r="E1739" s="1"/>
      <x:c r="F1739" s="11"/>
    </x:row>
    <x:row r="1740" spans="1:6" x14ac:dyDescent="0.25">
      <x:c r="A1740" s="1"/>
      <x:c r="B1740" s="1"/>
      <x:c r="C1740" s="1"/>
      <x:c r="D1740" s="1"/>
      <x:c r="E1740" s="1"/>
      <x:c r="F1740" s="11"/>
    </x:row>
    <x:row r="1741" spans="1:6" x14ac:dyDescent="0.25">
      <x:c r="A1741" s="1"/>
      <x:c r="B1741" s="1"/>
      <x:c r="C1741" s="1"/>
      <x:c r="D1741" s="1"/>
      <x:c r="E1741" s="1"/>
      <x:c r="F1741" s="11"/>
    </x:row>
    <x:row r="1742" spans="1:6" x14ac:dyDescent="0.25">
      <x:c r="A1742" s="1"/>
      <x:c r="B1742" s="1"/>
      <x:c r="C1742" s="1"/>
      <x:c r="D1742" s="1"/>
      <x:c r="E1742" s="1"/>
      <x:c r="F1742" s="11"/>
    </x:row>
    <x:row r="1743" spans="1:6" x14ac:dyDescent="0.25">
      <x:c r="A1743" s="1"/>
      <x:c r="B1743" s="1"/>
      <x:c r="C1743" s="1"/>
      <x:c r="D1743" s="1"/>
      <x:c r="E1743" s="1"/>
      <x:c r="F1743" s="11"/>
    </x:row>
    <x:row r="1744" spans="1:6" x14ac:dyDescent="0.25">
      <x:c r="A1744" s="1"/>
      <x:c r="B1744" s="1"/>
      <x:c r="C1744" s="1"/>
      <x:c r="D1744" s="1"/>
      <x:c r="E1744" s="1"/>
      <x:c r="F1744" s="11"/>
    </x:row>
    <x:row r="1745" spans="1:6" x14ac:dyDescent="0.25">
      <x:c r="A1745" s="1"/>
      <x:c r="B1745" s="1"/>
      <x:c r="C1745" s="1"/>
      <x:c r="D1745" s="1"/>
      <x:c r="E1745" s="1"/>
      <x:c r="F1745" s="11"/>
    </x:row>
    <x:row r="1746" spans="1:6" x14ac:dyDescent="0.25">
      <x:c r="A1746" s="1"/>
      <x:c r="B1746" s="1"/>
      <x:c r="C1746" s="1"/>
      <x:c r="D1746" s="1"/>
      <x:c r="E1746" s="1"/>
      <x:c r="F1746" s="11"/>
    </x:row>
    <x:row r="1747" spans="1:6" x14ac:dyDescent="0.25">
      <x:c r="A1747" s="1"/>
      <x:c r="B1747" s="1"/>
      <x:c r="C1747" s="1"/>
      <x:c r="D1747" s="1"/>
      <x:c r="E1747" s="1"/>
      <x:c r="F1747" s="11"/>
    </x:row>
    <x:row r="1748" spans="1:6" x14ac:dyDescent="0.25">
      <x:c r="A1748" s="1"/>
      <x:c r="B1748" s="1"/>
      <x:c r="C1748" s="1"/>
      <x:c r="D1748" s="1"/>
      <x:c r="E1748" s="1"/>
      <x:c r="F1748" s="11"/>
    </x:row>
    <x:row r="1749" spans="1:6" x14ac:dyDescent="0.25">
      <x:c r="A1749" s="1"/>
      <x:c r="B1749" s="1"/>
      <x:c r="C1749" s="1"/>
      <x:c r="D1749" s="1"/>
      <x:c r="E1749" s="1"/>
      <x:c r="F1749" s="11"/>
    </x:row>
    <x:row r="1750" spans="1:6" x14ac:dyDescent="0.25">
      <x:c r="A1750" s="1"/>
      <x:c r="B1750" s="1"/>
      <x:c r="C1750" s="1"/>
      <x:c r="D1750" s="1"/>
      <x:c r="E1750" s="1"/>
      <x:c r="F1750" s="11"/>
    </x:row>
    <x:row r="1751" spans="1:6" x14ac:dyDescent="0.25">
      <x:c r="A1751" s="1"/>
      <x:c r="B1751" s="1"/>
      <x:c r="C1751" s="1"/>
      <x:c r="D1751" s="1"/>
      <x:c r="E1751" s="1"/>
      <x:c r="F1751" s="11"/>
    </x:row>
    <x:row r="1752" spans="1:6" x14ac:dyDescent="0.25">
      <x:c r="A1752" s="1"/>
      <x:c r="B1752" s="1"/>
      <x:c r="C1752" s="1"/>
      <x:c r="D1752" s="1"/>
      <x:c r="E1752" s="1"/>
      <x:c r="F1752" s="11"/>
    </x:row>
    <x:row r="1753" spans="1:6" x14ac:dyDescent="0.25">
      <x:c r="A1753" s="1"/>
      <x:c r="B1753" s="1"/>
      <x:c r="C1753" s="1"/>
      <x:c r="D1753" s="1"/>
      <x:c r="E1753" s="1"/>
      <x:c r="F1753" s="11"/>
    </x:row>
    <x:row r="1754" spans="1:6" x14ac:dyDescent="0.25">
      <x:c r="A1754" s="1"/>
      <x:c r="B1754" s="1"/>
      <x:c r="C1754" s="1"/>
      <x:c r="D1754" s="1"/>
      <x:c r="E1754" s="1"/>
      <x:c r="F1754" s="11"/>
    </x:row>
    <x:row r="1755" spans="1:6" x14ac:dyDescent="0.25">
      <x:c r="A1755" s="1"/>
      <x:c r="B1755" s="1"/>
      <x:c r="C1755" s="1"/>
      <x:c r="D1755" s="1"/>
      <x:c r="E1755" s="1"/>
      <x:c r="F1755" s="11"/>
    </x:row>
    <x:row r="1756" spans="1:6" x14ac:dyDescent="0.25">
      <x:c r="A1756" s="1"/>
      <x:c r="B1756" s="1"/>
      <x:c r="C1756" s="1"/>
      <x:c r="D1756" s="1"/>
      <x:c r="E1756" s="1"/>
      <x:c r="F1756" s="11"/>
    </x:row>
    <x:row r="1757" spans="1:6" x14ac:dyDescent="0.25">
      <x:c r="A1757" s="1"/>
      <x:c r="B1757" s="1"/>
      <x:c r="C1757" s="1"/>
      <x:c r="D1757" s="1"/>
      <x:c r="E1757" s="1"/>
      <x:c r="F1757" s="11"/>
    </x:row>
    <x:row r="1758" spans="1:6" x14ac:dyDescent="0.25">
      <x:c r="A1758" s="1"/>
      <x:c r="B1758" s="1"/>
      <x:c r="C1758" s="1"/>
      <x:c r="D1758" s="1"/>
      <x:c r="E1758" s="1"/>
      <x:c r="F1758" s="11"/>
    </x:row>
    <x:row r="1759" spans="1:6" x14ac:dyDescent="0.25">
      <x:c r="A1759" s="1"/>
      <x:c r="B1759" s="1"/>
      <x:c r="C1759" s="1"/>
      <x:c r="D1759" s="1"/>
      <x:c r="E1759" s="1"/>
      <x:c r="F1759" s="11"/>
    </x:row>
    <x:row r="1760" spans="1:6" x14ac:dyDescent="0.25">
      <x:c r="A1760" s="1"/>
      <x:c r="B1760" s="1"/>
      <x:c r="C1760" s="1"/>
      <x:c r="D1760" s="1"/>
      <x:c r="E1760" s="1"/>
      <x:c r="F1760" s="11"/>
    </x:row>
    <x:row r="1761" spans="1:6" x14ac:dyDescent="0.25">
      <x:c r="A1761" s="1"/>
      <x:c r="B1761" s="1"/>
      <x:c r="C1761" s="1"/>
      <x:c r="D1761" s="1"/>
      <x:c r="E1761" s="1"/>
      <x:c r="F1761" s="11"/>
    </x:row>
    <x:row r="1762" spans="1:6" x14ac:dyDescent="0.25">
      <x:c r="A1762" s="1"/>
      <x:c r="B1762" s="1"/>
      <x:c r="C1762" s="1"/>
      <x:c r="D1762" s="1"/>
      <x:c r="E1762" s="1"/>
      <x:c r="F1762" s="11"/>
    </x:row>
    <x:row r="1763" spans="1:6" x14ac:dyDescent="0.25">
      <x:c r="A1763" s="1"/>
      <x:c r="B1763" s="1"/>
      <x:c r="C1763" s="1"/>
      <x:c r="D1763" s="1"/>
      <x:c r="E1763" s="1"/>
      <x:c r="F1763" s="11"/>
    </x:row>
    <x:row r="1764" spans="1:6" x14ac:dyDescent="0.25">
      <x:c r="A1764" s="1"/>
      <x:c r="B1764" s="1"/>
      <x:c r="C1764" s="1"/>
      <x:c r="D1764" s="1"/>
      <x:c r="E1764" s="1"/>
      <x:c r="F1764" s="11"/>
    </x:row>
    <x:row r="1765" spans="1:6" x14ac:dyDescent="0.25">
      <x:c r="A1765" s="1"/>
      <x:c r="B1765" s="1"/>
      <x:c r="C1765" s="1"/>
      <x:c r="D1765" s="1"/>
      <x:c r="E1765" s="1"/>
      <x:c r="F1765" s="11"/>
    </x:row>
    <x:row r="1766" spans="1:6" x14ac:dyDescent="0.25">
      <x:c r="A1766" s="1"/>
      <x:c r="B1766" s="1"/>
      <x:c r="C1766" s="1"/>
      <x:c r="D1766" s="1"/>
      <x:c r="E1766" s="1"/>
      <x:c r="F1766" s="11"/>
    </x:row>
    <x:row r="1767" spans="1:6" x14ac:dyDescent="0.25">
      <x:c r="A1767" s="1"/>
      <x:c r="B1767" s="1"/>
      <x:c r="C1767" s="1"/>
      <x:c r="D1767" s="1"/>
      <x:c r="E1767" s="1"/>
      <x:c r="F1767" s="11"/>
    </x:row>
    <x:row r="1768" spans="1:6" x14ac:dyDescent="0.25">
      <x:c r="A1768" s="1"/>
      <x:c r="B1768" s="1"/>
      <x:c r="C1768" s="1"/>
      <x:c r="D1768" s="1"/>
      <x:c r="E1768" s="1"/>
      <x:c r="F1768" s="11"/>
    </x:row>
    <x:row r="1769" spans="1:6" x14ac:dyDescent="0.25">
      <x:c r="A1769" s="1"/>
      <x:c r="B1769" s="1"/>
      <x:c r="C1769" s="1"/>
      <x:c r="D1769" s="1"/>
      <x:c r="E1769" s="1"/>
      <x:c r="F1769" s="11"/>
    </x:row>
    <x:row r="1770" spans="1:6" x14ac:dyDescent="0.25">
      <x:c r="A1770" s="1"/>
      <x:c r="B1770" s="1"/>
      <x:c r="C1770" s="1"/>
      <x:c r="D1770" s="1"/>
      <x:c r="E1770" s="1"/>
      <x:c r="F1770" s="11"/>
    </x:row>
    <x:row r="1771" spans="1:6" x14ac:dyDescent="0.25">
      <x:c r="A1771" s="1"/>
      <x:c r="B1771" s="1"/>
      <x:c r="C1771" s="1"/>
      <x:c r="D1771" s="1"/>
      <x:c r="E1771" s="1"/>
      <x:c r="F1771" s="11"/>
    </x:row>
    <x:row r="1772" spans="1:6" x14ac:dyDescent="0.25">
      <x:c r="A1772" s="1"/>
      <x:c r="B1772" s="1"/>
      <x:c r="C1772" s="1"/>
      <x:c r="D1772" s="1"/>
      <x:c r="E1772" s="1"/>
      <x:c r="F1772" s="11"/>
    </x:row>
    <x:row r="1773" spans="1:6" x14ac:dyDescent="0.25">
      <x:c r="A1773" s="1"/>
      <x:c r="B1773" s="1"/>
      <x:c r="C1773" s="1"/>
      <x:c r="D1773" s="1"/>
      <x:c r="E1773" s="1"/>
      <x:c r="F1773" s="11"/>
    </x:row>
    <x:row r="1774" spans="1:6" x14ac:dyDescent="0.25">
      <x:c r="A1774" s="1"/>
      <x:c r="B1774" s="1"/>
      <x:c r="C1774" s="1"/>
      <x:c r="D1774" s="1"/>
      <x:c r="E1774" s="1"/>
      <x:c r="F1774" s="11"/>
    </x:row>
    <x:row r="1775" spans="1:6" x14ac:dyDescent="0.25">
      <x:c r="A1775" s="1"/>
      <x:c r="B1775" s="1"/>
      <x:c r="C1775" s="1"/>
      <x:c r="D1775" s="1"/>
      <x:c r="E1775" s="1"/>
      <x:c r="F1775" s="11"/>
    </x:row>
    <x:row r="1776" spans="1:6" x14ac:dyDescent="0.25">
      <x:c r="A1776" s="1"/>
      <x:c r="B1776" s="1"/>
      <x:c r="C1776" s="1"/>
      <x:c r="D1776" s="1"/>
      <x:c r="E1776" s="1"/>
      <x:c r="F1776" s="11"/>
    </x:row>
    <x:row r="1777" spans="1:6" x14ac:dyDescent="0.25">
      <x:c r="A1777" s="1"/>
      <x:c r="B1777" s="1"/>
      <x:c r="C1777" s="1"/>
      <x:c r="D1777" s="1"/>
      <x:c r="E1777" s="1"/>
      <x:c r="F1777" s="11"/>
    </x:row>
    <x:row r="1778" spans="1:6" x14ac:dyDescent="0.25">
      <x:c r="A1778" s="1"/>
      <x:c r="B1778" s="1"/>
      <x:c r="C1778" s="1"/>
      <x:c r="D1778" s="1"/>
      <x:c r="E1778" s="1"/>
      <x:c r="F1778" s="11"/>
    </x:row>
    <x:row r="1779" spans="1:6" x14ac:dyDescent="0.25">
      <x:c r="A1779" s="1"/>
      <x:c r="B1779" s="1"/>
      <x:c r="C1779" s="1"/>
      <x:c r="D1779" s="1"/>
      <x:c r="E1779" s="1"/>
      <x:c r="F1779" s="11"/>
    </x:row>
    <x:row r="1780" spans="1:6" x14ac:dyDescent="0.25">
      <x:c r="A1780" s="1"/>
      <x:c r="B1780" s="1"/>
      <x:c r="C1780" s="1"/>
      <x:c r="D1780" s="1"/>
      <x:c r="E1780" s="1"/>
      <x:c r="F1780" s="11"/>
    </x:row>
    <x:row r="1781" spans="1:6" x14ac:dyDescent="0.25">
      <x:c r="A1781" s="1"/>
      <x:c r="B1781" s="1"/>
      <x:c r="C1781" s="1"/>
      <x:c r="D1781" s="1"/>
      <x:c r="E1781" s="1"/>
      <x:c r="F1781" s="11"/>
    </x:row>
    <x:row r="1782" spans="1:6" x14ac:dyDescent="0.25">
      <x:c r="A1782" s="1"/>
      <x:c r="B1782" s="1"/>
      <x:c r="C1782" s="1"/>
      <x:c r="D1782" s="1"/>
      <x:c r="E1782" s="1"/>
      <x:c r="F1782" s="11"/>
    </x:row>
    <x:row r="1783" spans="1:6" x14ac:dyDescent="0.25">
      <x:c r="A1783" s="1"/>
      <x:c r="B1783" s="1"/>
      <x:c r="C1783" s="1"/>
      <x:c r="D1783" s="1"/>
      <x:c r="E1783" s="1"/>
      <x:c r="F1783" s="11"/>
    </x:row>
    <x:row r="1784" spans="1:6" x14ac:dyDescent="0.25">
      <x:c r="A1784" s="1"/>
      <x:c r="B1784" s="1"/>
      <x:c r="C1784" s="1"/>
      <x:c r="D1784" s="1"/>
      <x:c r="E1784" s="1"/>
      <x:c r="F1784" s="11"/>
    </x:row>
    <x:row r="1785" spans="1:6" x14ac:dyDescent="0.25">
      <x:c r="A1785" s="1"/>
      <x:c r="B1785" s="1"/>
      <x:c r="C1785" s="1"/>
      <x:c r="D1785" s="1"/>
      <x:c r="E1785" s="1"/>
      <x:c r="F1785" s="11"/>
    </x:row>
    <x:row r="1786" spans="1:6" x14ac:dyDescent="0.25">
      <x:c r="A1786" s="1"/>
      <x:c r="B1786" s="1"/>
      <x:c r="C1786" s="1"/>
      <x:c r="D1786" s="1"/>
      <x:c r="E1786" s="1"/>
      <x:c r="F1786" s="11"/>
    </x:row>
    <x:row r="1787" spans="1:6" x14ac:dyDescent="0.25">
      <x:c r="A1787" s="1"/>
      <x:c r="B1787" s="1"/>
      <x:c r="C1787" s="1"/>
      <x:c r="D1787" s="1"/>
      <x:c r="E1787" s="1"/>
      <x:c r="F1787" s="11"/>
    </x:row>
    <x:row r="1788" spans="1:6" x14ac:dyDescent="0.25">
      <x:c r="A1788" s="1"/>
      <x:c r="B1788" s="1"/>
      <x:c r="C1788" s="1"/>
      <x:c r="D1788" s="1"/>
      <x:c r="E1788" s="1"/>
      <x:c r="F1788" s="11"/>
    </x:row>
    <x:row r="1789" spans="1:6" x14ac:dyDescent="0.25">
      <x:c r="A1789" s="1"/>
      <x:c r="B1789" s="1"/>
      <x:c r="C1789" s="1"/>
      <x:c r="D1789" s="1"/>
      <x:c r="E1789" s="1"/>
      <x:c r="F1789" s="11"/>
    </x:row>
    <x:row r="1790" spans="1:6" x14ac:dyDescent="0.25">
      <x:c r="A1790" s="1"/>
      <x:c r="B1790" s="1"/>
      <x:c r="C1790" s="1"/>
      <x:c r="D1790" s="1"/>
      <x:c r="E1790" s="1"/>
      <x:c r="F1790" s="11"/>
    </x:row>
    <x:row r="1791" spans="1:6" x14ac:dyDescent="0.25">
      <x:c r="A1791" s="1"/>
      <x:c r="B1791" s="1"/>
      <x:c r="C1791" s="1"/>
      <x:c r="D1791" s="1"/>
      <x:c r="E1791" s="1"/>
      <x:c r="F1791" s="11"/>
    </x:row>
    <x:row r="1792" spans="1:6" x14ac:dyDescent="0.25">
      <x:c r="A1792" s="1"/>
      <x:c r="B1792" s="1"/>
      <x:c r="C1792" s="1"/>
      <x:c r="D1792" s="1"/>
      <x:c r="E1792" s="1"/>
      <x:c r="F1792" s="11"/>
    </x:row>
    <x:row r="1793" spans="1:6" x14ac:dyDescent="0.25">
      <x:c r="A1793" s="1"/>
      <x:c r="B1793" s="1"/>
      <x:c r="C1793" s="1"/>
      <x:c r="D1793" s="1"/>
      <x:c r="E1793" s="1"/>
      <x:c r="F1793" s="11"/>
    </x:row>
    <x:row r="1794" spans="1:6" x14ac:dyDescent="0.25">
      <x:c r="A1794" s="1"/>
      <x:c r="B1794" s="1"/>
      <x:c r="C1794" s="1"/>
      <x:c r="D1794" s="1"/>
      <x:c r="E1794" s="1"/>
      <x:c r="F1794" s="11"/>
    </x:row>
    <x:row r="1795" spans="1:6" x14ac:dyDescent="0.25">
      <x:c r="A1795" s="1"/>
      <x:c r="B1795" s="1"/>
      <x:c r="C1795" s="1"/>
      <x:c r="D1795" s="1"/>
      <x:c r="E1795" s="1"/>
      <x:c r="F1795" s="11"/>
    </x:row>
    <x:row r="1796" spans="1:6" x14ac:dyDescent="0.25">
      <x:c r="A1796" s="1"/>
      <x:c r="B1796" s="1"/>
      <x:c r="C1796" s="1"/>
      <x:c r="D1796" s="1"/>
      <x:c r="E1796" s="1"/>
      <x:c r="F1796" s="11"/>
    </x:row>
    <x:row r="1797" spans="1:6" x14ac:dyDescent="0.25">
      <x:c r="A1797" s="1"/>
      <x:c r="B1797" s="1"/>
      <x:c r="C1797" s="1"/>
      <x:c r="D1797" s="1"/>
      <x:c r="E1797" s="1"/>
      <x:c r="F1797" s="11"/>
    </x:row>
    <x:row r="1798" spans="1:6" x14ac:dyDescent="0.25">
      <x:c r="A1798" s="1"/>
      <x:c r="B1798" s="1"/>
      <x:c r="C1798" s="1"/>
      <x:c r="D1798" s="1"/>
      <x:c r="E1798" s="1"/>
      <x:c r="F1798" s="11"/>
    </x:row>
    <x:row r="1799" spans="1:6" x14ac:dyDescent="0.25">
      <x:c r="A1799" s="1"/>
      <x:c r="B1799" s="1"/>
      <x:c r="C1799" s="1"/>
      <x:c r="D1799" s="1"/>
      <x:c r="E1799" s="1"/>
      <x:c r="F1799" s="11"/>
    </x:row>
    <x:row r="1800" spans="1:6" x14ac:dyDescent="0.25">
      <x:c r="A1800" s="1"/>
      <x:c r="B1800" s="1"/>
      <x:c r="C1800" s="1"/>
      <x:c r="D1800" s="1"/>
      <x:c r="E1800" s="1"/>
      <x:c r="F1800" s="11"/>
    </x:row>
    <x:row r="1801" spans="1:6" x14ac:dyDescent="0.25">
      <x:c r="A1801" s="1"/>
      <x:c r="B1801" s="1"/>
      <x:c r="C1801" s="1"/>
      <x:c r="D1801" s="1"/>
      <x:c r="E1801" s="1"/>
      <x:c r="F1801" s="11"/>
    </x:row>
    <x:row r="1802" spans="1:6" x14ac:dyDescent="0.25">
      <x:c r="A1802" s="1"/>
      <x:c r="B1802" s="1"/>
      <x:c r="C1802" s="1"/>
      <x:c r="D1802" s="1"/>
      <x:c r="E1802" s="1"/>
      <x:c r="F1802" s="11"/>
    </x:row>
    <x:row r="1803" spans="1:6" x14ac:dyDescent="0.25">
      <x:c r="A1803" s="1"/>
      <x:c r="B1803" s="1"/>
      <x:c r="C1803" s="1"/>
      <x:c r="D1803" s="1"/>
      <x:c r="E1803" s="1"/>
      <x:c r="F1803" s="11"/>
    </x:row>
    <x:row r="1804" spans="1:6" x14ac:dyDescent="0.25">
      <x:c r="A1804" s="1"/>
      <x:c r="B1804" s="1"/>
      <x:c r="C1804" s="1"/>
      <x:c r="D1804" s="1"/>
      <x:c r="E1804" s="1"/>
      <x:c r="F1804" s="11"/>
    </x:row>
    <x:row r="1805" spans="1:6" x14ac:dyDescent="0.25">
      <x:c r="A1805" s="1"/>
      <x:c r="B1805" s="1"/>
      <x:c r="C1805" s="1"/>
      <x:c r="D1805" s="1"/>
      <x:c r="E1805" s="1"/>
      <x:c r="F1805" s="11"/>
    </x:row>
    <x:row r="1806" spans="1:6" x14ac:dyDescent="0.25">
      <x:c r="A1806" s="1"/>
      <x:c r="B1806" s="1"/>
      <x:c r="C1806" s="1"/>
      <x:c r="D1806" s="1"/>
      <x:c r="E1806" s="1"/>
      <x:c r="F1806" s="11"/>
    </x:row>
    <x:row r="1807" spans="1:6" x14ac:dyDescent="0.25">
      <x:c r="A1807" s="1"/>
      <x:c r="B1807" s="1"/>
      <x:c r="C1807" s="1"/>
      <x:c r="D1807" s="1"/>
      <x:c r="E1807" s="1"/>
      <x:c r="F1807" s="11"/>
    </x:row>
    <x:row r="1808" spans="1:6" x14ac:dyDescent="0.25">
      <x:c r="A1808" s="1"/>
      <x:c r="B1808" s="1"/>
      <x:c r="C1808" s="1"/>
      <x:c r="D1808" s="1"/>
      <x:c r="E1808" s="1"/>
      <x:c r="F1808" s="11"/>
    </x:row>
    <x:row r="1809" spans="1:6" x14ac:dyDescent="0.25">
      <x:c r="A1809" s="1"/>
      <x:c r="B1809" s="1"/>
      <x:c r="C1809" s="1"/>
      <x:c r="D1809" s="1"/>
      <x:c r="E1809" s="1"/>
      <x:c r="F1809" s="11"/>
    </x:row>
    <x:row r="1810" spans="1:6" x14ac:dyDescent="0.25">
      <x:c r="A1810" s="1"/>
      <x:c r="B1810" s="1"/>
      <x:c r="C1810" s="1"/>
      <x:c r="D1810" s="1"/>
      <x:c r="E1810" s="1"/>
      <x:c r="F1810" s="11"/>
    </x:row>
    <x:row r="1811" spans="1:6" x14ac:dyDescent="0.25">
      <x:c r="A1811" s="1"/>
      <x:c r="B1811" s="1"/>
      <x:c r="C1811" s="1"/>
      <x:c r="D1811" s="1"/>
      <x:c r="E1811" s="1"/>
      <x:c r="F1811" s="11"/>
    </x:row>
    <x:row r="1812" spans="1:6" x14ac:dyDescent="0.25">
      <x:c r="A1812" s="1"/>
      <x:c r="B1812" s="1"/>
      <x:c r="C1812" s="1"/>
      <x:c r="D1812" s="1"/>
      <x:c r="E1812" s="1"/>
      <x:c r="F1812" s="11"/>
    </x:row>
    <x:row r="1813" spans="1:6" x14ac:dyDescent="0.25">
      <x:c r="A1813" s="1"/>
      <x:c r="B1813" s="1"/>
      <x:c r="C1813" s="1"/>
      <x:c r="D1813" s="1"/>
      <x:c r="E1813" s="1"/>
      <x:c r="F1813" s="11"/>
    </x:row>
    <x:row r="1814" spans="1:6" x14ac:dyDescent="0.25">
      <x:c r="A1814" s="1"/>
      <x:c r="B1814" s="1"/>
      <x:c r="C1814" s="1"/>
      <x:c r="D1814" s="1"/>
      <x:c r="E1814" s="1"/>
      <x:c r="F1814" s="11"/>
    </x:row>
    <x:row r="1815" spans="1:6" x14ac:dyDescent="0.25">
      <x:c r="A1815" s="1"/>
      <x:c r="B1815" s="1"/>
      <x:c r="C1815" s="1"/>
      <x:c r="D1815" s="1"/>
      <x:c r="E1815" s="1"/>
      <x:c r="F1815" s="11"/>
    </x:row>
    <x:row r="1816" spans="1:6" x14ac:dyDescent="0.25">
      <x:c r="A1816" s="1"/>
      <x:c r="B1816" s="1"/>
      <x:c r="C1816" s="1"/>
      <x:c r="D1816" s="1"/>
      <x:c r="E1816" s="1"/>
      <x:c r="F1816" s="11"/>
    </x:row>
    <x:row r="1817" spans="1:6" x14ac:dyDescent="0.25">
      <x:c r="A1817" s="1"/>
      <x:c r="B1817" s="1"/>
      <x:c r="C1817" s="1"/>
      <x:c r="D1817" s="1"/>
      <x:c r="E1817" s="1"/>
      <x:c r="F1817" s="11"/>
    </x:row>
    <x:row r="1818" spans="1:6" x14ac:dyDescent="0.25">
      <x:c r="A1818" s="1"/>
      <x:c r="B1818" s="1"/>
      <x:c r="C1818" s="1"/>
      <x:c r="D1818" s="1"/>
      <x:c r="E1818" s="1"/>
      <x:c r="F1818" s="11"/>
    </x:row>
    <x:row r="1819" spans="1:6" x14ac:dyDescent="0.25">
      <x:c r="A1819" s="1"/>
      <x:c r="B1819" s="1"/>
      <x:c r="C1819" s="1"/>
      <x:c r="D1819" s="1"/>
      <x:c r="E1819" s="1"/>
      <x:c r="F1819" s="11"/>
    </x:row>
    <x:row r="1820" spans="1:6" x14ac:dyDescent="0.25">
      <x:c r="A1820" s="1"/>
      <x:c r="B1820" s="1"/>
      <x:c r="C1820" s="1"/>
      <x:c r="D1820" s="1"/>
      <x:c r="E1820" s="1"/>
      <x:c r="F1820" s="11"/>
    </x:row>
    <x:row r="1821" spans="1:6" x14ac:dyDescent="0.25">
      <x:c r="A1821" s="1"/>
      <x:c r="B1821" s="1"/>
      <x:c r="C1821" s="1"/>
      <x:c r="D1821" s="1"/>
      <x:c r="E1821" s="1"/>
      <x:c r="F1821" s="11"/>
    </x:row>
    <x:row r="1822" spans="1:6" x14ac:dyDescent="0.25">
      <x:c r="A1822" s="1"/>
      <x:c r="B1822" s="1"/>
      <x:c r="C1822" s="1"/>
      <x:c r="D1822" s="1"/>
      <x:c r="E1822" s="1"/>
      <x:c r="F1822" s="11"/>
    </x:row>
    <x:row r="1823" spans="1:6" x14ac:dyDescent="0.25">
      <x:c r="A1823" s="1"/>
      <x:c r="B1823" s="1"/>
      <x:c r="C1823" s="1"/>
      <x:c r="D1823" s="1"/>
      <x:c r="E1823" s="1"/>
      <x:c r="F1823" s="11"/>
    </x:row>
    <x:row r="1824" spans="1:6" x14ac:dyDescent="0.25">
      <x:c r="A1824" s="1"/>
      <x:c r="B1824" s="1"/>
      <x:c r="C1824" s="1"/>
      <x:c r="D1824" s="1"/>
      <x:c r="E1824" s="1"/>
      <x:c r="F1824" s="11"/>
    </x:row>
    <x:row r="1825" spans="1:6" x14ac:dyDescent="0.25">
      <x:c r="A1825" s="1"/>
      <x:c r="B1825" s="1"/>
      <x:c r="C1825" s="1"/>
      <x:c r="D1825" s="1"/>
      <x:c r="E1825" s="1"/>
      <x:c r="F1825" s="11"/>
    </x:row>
    <x:row r="1826" spans="1:6" x14ac:dyDescent="0.25">
      <x:c r="A1826" s="1"/>
      <x:c r="B1826" s="1"/>
      <x:c r="C1826" s="1"/>
      <x:c r="D1826" s="1"/>
      <x:c r="E1826" s="1"/>
      <x:c r="F1826" s="11"/>
    </x:row>
    <x:row r="1827" spans="1:6" x14ac:dyDescent="0.25">
      <x:c r="A1827" s="1"/>
      <x:c r="B1827" s="1"/>
      <x:c r="C1827" s="1"/>
      <x:c r="D1827" s="1"/>
      <x:c r="E1827" s="1"/>
      <x:c r="F1827" s="11"/>
    </x:row>
    <x:row r="1828" spans="1:6" x14ac:dyDescent="0.25">
      <x:c r="A1828" s="1"/>
      <x:c r="B1828" s="1"/>
      <x:c r="C1828" s="1"/>
      <x:c r="D1828" s="1"/>
      <x:c r="E1828" s="1"/>
      <x:c r="F1828" s="11"/>
    </x:row>
    <x:row r="1829" spans="1:6" x14ac:dyDescent="0.25">
      <x:c r="A1829" s="1"/>
      <x:c r="B1829" s="1"/>
      <x:c r="C1829" s="1"/>
      <x:c r="D1829" s="1"/>
      <x:c r="E1829" s="1"/>
      <x:c r="F1829" s="11"/>
    </x:row>
    <x:row r="1830" spans="1:6" x14ac:dyDescent="0.25">
      <x:c r="A1830" s="1"/>
      <x:c r="B1830" s="1"/>
      <x:c r="C1830" s="1"/>
      <x:c r="D1830" s="1"/>
      <x:c r="E1830" s="1"/>
      <x:c r="F1830" s="11"/>
    </x:row>
    <x:row r="1831" spans="1:6" x14ac:dyDescent="0.25">
      <x:c r="A1831" s="1"/>
      <x:c r="B1831" s="1"/>
      <x:c r="C1831" s="1"/>
      <x:c r="D1831" s="1"/>
      <x:c r="E1831" s="1"/>
      <x:c r="F1831" s="11"/>
    </x:row>
    <x:row r="1832" spans="1:6" x14ac:dyDescent="0.25">
      <x:c r="A1832" s="1"/>
      <x:c r="B1832" s="1"/>
      <x:c r="C1832" s="1"/>
      <x:c r="D1832" s="1"/>
      <x:c r="E1832" s="1"/>
      <x:c r="F1832" s="11"/>
    </x:row>
    <x:row r="1833" spans="1:6" x14ac:dyDescent="0.25">
      <x:c r="A1833" s="1"/>
      <x:c r="B1833" s="1"/>
      <x:c r="C1833" s="1"/>
      <x:c r="D1833" s="1"/>
      <x:c r="E1833" s="1"/>
      <x:c r="F1833" s="11"/>
    </x:row>
    <x:row r="1834" spans="1:6" x14ac:dyDescent="0.25">
      <x:c r="A1834" s="1"/>
      <x:c r="B1834" s="1"/>
      <x:c r="C1834" s="1"/>
      <x:c r="D1834" s="1"/>
      <x:c r="E1834" s="1"/>
      <x:c r="F1834" s="11"/>
    </x:row>
    <x:row r="1835" spans="1:6" x14ac:dyDescent="0.25">
      <x:c r="A1835" s="1"/>
      <x:c r="B1835" s="1"/>
      <x:c r="C1835" s="1"/>
      <x:c r="D1835" s="1"/>
      <x:c r="E1835" s="1"/>
      <x:c r="F1835" s="11"/>
    </x:row>
    <x:row r="1836" spans="1:6" x14ac:dyDescent="0.25">
      <x:c r="A1836" s="1"/>
      <x:c r="B1836" s="1"/>
      <x:c r="C1836" s="1"/>
      <x:c r="D1836" s="1"/>
      <x:c r="E1836" s="1"/>
      <x:c r="F1836" s="11"/>
    </x:row>
    <x:row r="1837" spans="1:6" x14ac:dyDescent="0.25">
      <x:c r="A1837" s="1"/>
      <x:c r="B1837" s="1"/>
      <x:c r="C1837" s="1"/>
      <x:c r="D1837" s="1"/>
      <x:c r="E1837" s="1"/>
      <x:c r="F1837" s="11"/>
    </x:row>
    <x:row r="1838" spans="1:6" x14ac:dyDescent="0.25">
      <x:c r="A1838" s="1"/>
      <x:c r="B1838" s="1"/>
      <x:c r="C1838" s="1"/>
      <x:c r="D1838" s="1"/>
      <x:c r="E1838" s="1"/>
      <x:c r="F1838" s="11"/>
    </x:row>
    <x:row r="1839" spans="1:6" x14ac:dyDescent="0.25">
      <x:c r="A1839" s="1"/>
      <x:c r="B1839" s="1"/>
      <x:c r="C1839" s="1"/>
      <x:c r="D1839" s="1"/>
      <x:c r="E1839" s="1"/>
      <x:c r="F1839" s="11"/>
    </x:row>
    <x:row r="1840" spans="1:6" x14ac:dyDescent="0.25">
      <x:c r="A1840" s="1"/>
      <x:c r="B1840" s="1"/>
      <x:c r="C1840" s="1"/>
      <x:c r="D1840" s="1"/>
      <x:c r="E1840" s="1"/>
      <x:c r="F1840" s="11"/>
    </x:row>
    <x:row r="1841" spans="1:6" x14ac:dyDescent="0.25">
      <x:c r="A1841" s="1"/>
      <x:c r="B1841" s="1"/>
      <x:c r="C1841" s="1"/>
      <x:c r="D1841" s="1"/>
      <x:c r="E1841" s="1"/>
      <x:c r="F1841" s="11"/>
    </x:row>
    <x:row r="1842" spans="1:6" x14ac:dyDescent="0.25">
      <x:c r="A1842" s="1"/>
      <x:c r="B1842" s="1"/>
      <x:c r="C1842" s="1"/>
      <x:c r="D1842" s="1"/>
      <x:c r="E1842" s="1"/>
      <x:c r="F1842" s="11"/>
    </x:row>
    <x:row r="1843" spans="1:6" x14ac:dyDescent="0.25">
      <x:c r="A1843" s="1"/>
      <x:c r="B1843" s="1"/>
      <x:c r="C1843" s="1"/>
      <x:c r="D1843" s="1"/>
      <x:c r="E1843" s="1"/>
      <x:c r="F1843" s="11"/>
    </x:row>
    <x:row r="1844" spans="1:6" x14ac:dyDescent="0.25">
      <x:c r="A1844" s="1"/>
      <x:c r="B1844" s="1"/>
      <x:c r="C1844" s="1"/>
      <x:c r="D1844" s="1"/>
      <x:c r="E1844" s="1"/>
      <x:c r="F1844" s="11"/>
    </x:row>
    <x:row r="1845" spans="1:6" x14ac:dyDescent="0.25">
      <x:c r="A1845" s="1"/>
      <x:c r="B1845" s="1"/>
      <x:c r="C1845" s="1"/>
      <x:c r="D1845" s="1"/>
      <x:c r="E1845" s="1"/>
      <x:c r="F1845" s="11"/>
    </x:row>
    <x:row r="1846" spans="1:6" x14ac:dyDescent="0.25">
      <x:c r="A1846" s="1"/>
      <x:c r="B1846" s="1"/>
      <x:c r="C1846" s="1"/>
      <x:c r="D1846" s="1"/>
      <x:c r="E1846" s="1"/>
      <x:c r="F1846" s="11"/>
    </x:row>
    <x:row r="1847" spans="1:6" x14ac:dyDescent="0.25">
      <x:c r="A1847" s="1"/>
      <x:c r="B1847" s="1"/>
      <x:c r="C1847" s="1"/>
      <x:c r="D1847" s="1"/>
      <x:c r="E1847" s="1"/>
      <x:c r="F1847" s="11"/>
    </x:row>
    <x:row r="1848" spans="1:6" x14ac:dyDescent="0.25">
      <x:c r="A1848" s="1"/>
      <x:c r="B1848" s="1"/>
      <x:c r="C1848" s="1"/>
      <x:c r="D1848" s="1"/>
      <x:c r="E1848" s="1"/>
      <x:c r="F1848" s="11"/>
    </x:row>
    <x:row r="1849" spans="1:6" x14ac:dyDescent="0.25">
      <x:c r="A1849" s="1"/>
      <x:c r="B1849" s="1"/>
      <x:c r="C1849" s="1"/>
      <x:c r="D1849" s="1"/>
      <x:c r="E1849" s="1"/>
      <x:c r="F1849" s="11"/>
    </x:row>
    <x:row r="1850" spans="1:6" x14ac:dyDescent="0.25">
      <x:c r="A1850" s="1"/>
      <x:c r="B1850" s="1"/>
      <x:c r="C1850" s="1"/>
      <x:c r="D1850" s="1"/>
      <x:c r="E1850" s="1"/>
      <x:c r="F1850" s="11"/>
    </x:row>
    <x:row r="1851" spans="1:6" x14ac:dyDescent="0.25">
      <x:c r="A1851" s="1"/>
      <x:c r="B1851" s="1"/>
      <x:c r="C1851" s="1"/>
      <x:c r="D1851" s="1"/>
      <x:c r="E1851" s="1"/>
      <x:c r="F1851" s="11"/>
    </x:row>
    <x:row r="1852" spans="1:6" x14ac:dyDescent="0.25">
      <x:c r="A1852" s="1"/>
      <x:c r="B1852" s="1"/>
      <x:c r="C1852" s="1"/>
      <x:c r="D1852" s="1"/>
      <x:c r="E1852" s="1"/>
      <x:c r="F1852" s="11"/>
    </x:row>
    <x:row r="1853" spans="1:6" x14ac:dyDescent="0.25">
      <x:c r="A1853" s="1"/>
      <x:c r="B1853" s="1"/>
      <x:c r="C1853" s="1"/>
      <x:c r="D1853" s="1"/>
      <x:c r="E1853" s="1"/>
      <x:c r="F1853" s="11"/>
    </x:row>
    <x:row r="1854" spans="1:6" x14ac:dyDescent="0.25">
      <x:c r="A1854" s="1"/>
      <x:c r="B1854" s="1"/>
      <x:c r="C1854" s="1"/>
      <x:c r="D1854" s="1"/>
      <x:c r="E1854" s="1"/>
      <x:c r="F1854" s="11"/>
    </x:row>
    <x:row r="1855" spans="1:6" x14ac:dyDescent="0.25">
      <x:c r="A1855" s="1"/>
      <x:c r="B1855" s="1"/>
      <x:c r="C1855" s="1"/>
      <x:c r="D1855" s="1"/>
      <x:c r="E1855" s="1"/>
      <x:c r="F1855" s="11"/>
    </x:row>
    <x:row r="1856" spans="1:6" x14ac:dyDescent="0.25">
      <x:c r="A1856" s="1"/>
      <x:c r="B1856" s="1"/>
      <x:c r="C1856" s="1"/>
      <x:c r="D1856" s="1"/>
      <x:c r="E1856" s="1"/>
      <x:c r="F1856" s="11"/>
    </x:row>
    <x:row r="1857" spans="1:6" x14ac:dyDescent="0.25">
      <x:c r="A1857" s="1"/>
      <x:c r="B1857" s="1"/>
      <x:c r="C1857" s="1"/>
      <x:c r="D1857" s="1"/>
      <x:c r="E1857" s="1"/>
      <x:c r="F1857" s="11"/>
    </x:row>
    <x:row r="1858" spans="1:6" x14ac:dyDescent="0.25">
      <x:c r="A1858" s="1"/>
      <x:c r="B1858" s="1"/>
      <x:c r="C1858" s="1"/>
      <x:c r="D1858" s="1"/>
      <x:c r="E1858" s="1"/>
      <x:c r="F1858" s="11"/>
    </x:row>
    <x:row r="1859" spans="1:6" x14ac:dyDescent="0.25">
      <x:c r="A1859" s="1"/>
      <x:c r="B1859" s="1"/>
      <x:c r="C1859" s="1"/>
      <x:c r="D1859" s="1"/>
      <x:c r="E1859" s="1"/>
      <x:c r="F1859" s="11"/>
    </x:row>
    <x:row r="1860" spans="1:6" x14ac:dyDescent="0.25">
      <x:c r="A1860" s="1"/>
      <x:c r="B1860" s="1"/>
      <x:c r="C1860" s="1"/>
      <x:c r="D1860" s="1"/>
      <x:c r="E1860" s="1"/>
      <x:c r="F1860" s="11"/>
    </x:row>
    <x:row r="1861" spans="1:6" x14ac:dyDescent="0.25">
      <x:c r="A1861" s="1"/>
      <x:c r="B1861" s="1"/>
      <x:c r="C1861" s="1"/>
      <x:c r="D1861" s="1"/>
      <x:c r="E1861" s="1"/>
      <x:c r="F1861" s="11"/>
    </x:row>
    <x:row r="1862" spans="1:6" x14ac:dyDescent="0.25">
      <x:c r="A1862" s="1"/>
      <x:c r="B1862" s="1"/>
      <x:c r="C1862" s="1"/>
      <x:c r="D1862" s="1"/>
      <x:c r="E1862" s="1"/>
      <x:c r="F1862" s="11"/>
    </x:row>
    <x:row r="1863" spans="1:6" x14ac:dyDescent="0.25">
      <x:c r="A1863" s="1"/>
      <x:c r="B1863" s="1"/>
      <x:c r="C1863" s="1"/>
      <x:c r="D1863" s="1"/>
      <x:c r="E1863" s="1"/>
      <x:c r="F1863" s="11"/>
    </x:row>
    <x:row r="1864" spans="1:6" x14ac:dyDescent="0.25">
      <x:c r="A1864" s="1"/>
      <x:c r="B1864" s="1"/>
      <x:c r="C1864" s="1"/>
      <x:c r="D1864" s="1"/>
      <x:c r="E1864" s="1"/>
      <x:c r="F1864" s="11"/>
    </x:row>
    <x:row r="1865" spans="1:6" x14ac:dyDescent="0.25">
      <x:c r="A1865" s="1"/>
      <x:c r="B1865" s="1"/>
      <x:c r="C1865" s="1"/>
      <x:c r="D1865" s="1"/>
      <x:c r="E1865" s="1"/>
      <x:c r="F1865" s="11"/>
    </x:row>
    <x:row r="1866" spans="1:6" x14ac:dyDescent="0.25">
      <x:c r="A1866" s="1"/>
      <x:c r="B1866" s="1"/>
      <x:c r="C1866" s="1"/>
      <x:c r="D1866" s="1"/>
      <x:c r="E1866" s="1"/>
      <x:c r="F1866" s="11"/>
    </x:row>
    <x:row r="1867" spans="1:6" x14ac:dyDescent="0.25">
      <x:c r="A1867" s="1"/>
      <x:c r="B1867" s="1"/>
      <x:c r="C1867" s="1"/>
      <x:c r="D1867" s="1"/>
      <x:c r="E1867" s="1"/>
      <x:c r="F1867" s="11"/>
    </x:row>
    <x:row r="1868" spans="1:6" x14ac:dyDescent="0.25">
      <x:c r="A1868" s="1"/>
      <x:c r="B1868" s="1"/>
      <x:c r="C1868" s="1"/>
      <x:c r="D1868" s="1"/>
      <x:c r="E1868" s="1"/>
      <x:c r="F1868" s="11"/>
    </x:row>
    <x:row r="1869" spans="1:6" x14ac:dyDescent="0.25">
      <x:c r="A1869" s="1"/>
      <x:c r="B1869" s="1"/>
      <x:c r="C1869" s="1"/>
      <x:c r="D1869" s="1"/>
      <x:c r="E1869" s="1"/>
      <x:c r="F1869" s="11"/>
    </x:row>
    <x:row r="1870" spans="1:6" x14ac:dyDescent="0.25">
      <x:c r="A1870" s="1"/>
      <x:c r="B1870" s="1"/>
      <x:c r="C1870" s="1"/>
      <x:c r="D1870" s="1"/>
      <x:c r="E1870" s="1"/>
      <x:c r="F1870" s="11"/>
    </x:row>
    <x:row r="1871" spans="1:6" x14ac:dyDescent="0.25">
      <x:c r="A1871" s="1"/>
      <x:c r="B1871" s="1"/>
      <x:c r="C1871" s="1"/>
      <x:c r="D1871" s="1"/>
      <x:c r="E1871" s="1"/>
      <x:c r="F1871" s="11"/>
    </x:row>
    <x:row r="1872" spans="1:6" x14ac:dyDescent="0.25">
      <x:c r="A1872" s="1"/>
      <x:c r="B1872" s="1"/>
      <x:c r="C1872" s="1"/>
      <x:c r="D1872" s="1"/>
      <x:c r="E1872" s="1"/>
      <x:c r="F1872" s="11"/>
    </x:row>
    <x:row r="1873" spans="1:6" x14ac:dyDescent="0.25">
      <x:c r="A1873" s="1"/>
      <x:c r="B1873" s="1"/>
      <x:c r="C1873" s="1"/>
      <x:c r="D1873" s="1"/>
      <x:c r="E1873" s="1"/>
      <x:c r="F1873" s="11"/>
    </x:row>
    <x:row r="1874" spans="1:6" x14ac:dyDescent="0.25">
      <x:c r="A1874" s="1"/>
      <x:c r="B1874" s="1"/>
      <x:c r="C1874" s="1"/>
      <x:c r="D1874" s="1"/>
      <x:c r="E1874" s="1"/>
      <x:c r="F1874" s="11"/>
    </x:row>
    <x:row r="1875" spans="1:6" x14ac:dyDescent="0.25">
      <x:c r="A1875" s="1"/>
      <x:c r="B1875" s="1"/>
      <x:c r="C1875" s="1"/>
      <x:c r="D1875" s="1"/>
      <x:c r="E1875" s="1"/>
      <x:c r="F1875" s="11"/>
    </x:row>
    <x:row r="1876" spans="1:6" x14ac:dyDescent="0.25">
      <x:c r="A1876" s="1"/>
      <x:c r="B1876" s="1"/>
      <x:c r="C1876" s="1"/>
      <x:c r="D1876" s="1"/>
      <x:c r="E1876" s="1"/>
      <x:c r="F1876" s="11"/>
    </x:row>
    <x:row r="1877" spans="1:6" x14ac:dyDescent="0.25">
      <x:c r="A1877" s="1"/>
      <x:c r="B1877" s="1"/>
      <x:c r="C1877" s="1"/>
      <x:c r="D1877" s="1"/>
      <x:c r="E1877" s="1"/>
      <x:c r="F1877" s="11"/>
    </x:row>
    <x:row r="1878" spans="1:6" x14ac:dyDescent="0.25">
      <x:c r="A1878" s="1"/>
      <x:c r="B1878" s="1"/>
      <x:c r="C1878" s="1"/>
      <x:c r="D1878" s="1"/>
      <x:c r="E1878" s="1"/>
      <x:c r="F1878" s="11"/>
    </x:row>
    <x:row r="1879" spans="1:6" x14ac:dyDescent="0.25">
      <x:c r="A1879" s="1"/>
      <x:c r="B1879" s="1"/>
      <x:c r="C1879" s="1"/>
      <x:c r="D1879" s="1"/>
      <x:c r="E1879" s="1"/>
      <x:c r="F1879" s="11"/>
    </x:row>
    <x:row r="1880" spans="1:6" x14ac:dyDescent="0.25">
      <x:c r="A1880" s="1"/>
      <x:c r="B1880" s="1"/>
      <x:c r="C1880" s="1"/>
      <x:c r="D1880" s="1"/>
      <x:c r="E1880" s="1"/>
      <x:c r="F1880" s="11"/>
    </x:row>
    <x:row r="1881" spans="1:6" x14ac:dyDescent="0.25">
      <x:c r="A1881" s="1"/>
      <x:c r="B1881" s="1"/>
      <x:c r="C1881" s="1"/>
      <x:c r="D1881" s="1"/>
      <x:c r="E1881" s="1"/>
      <x:c r="F1881" s="11"/>
    </x:row>
    <x:row r="1882" spans="1:6" x14ac:dyDescent="0.25">
      <x:c r="A1882" s="1"/>
      <x:c r="B1882" s="1"/>
      <x:c r="C1882" s="1"/>
      <x:c r="D1882" s="1"/>
      <x:c r="E1882" s="1"/>
      <x:c r="F1882" s="11"/>
    </x:row>
    <x:row r="1883" spans="1:6" x14ac:dyDescent="0.25">
      <x:c r="A1883" s="1"/>
      <x:c r="B1883" s="1"/>
      <x:c r="C1883" s="1"/>
      <x:c r="D1883" s="1"/>
      <x:c r="E1883" s="1"/>
      <x:c r="F1883" s="11"/>
    </x:row>
    <x:row r="1884" spans="1:6" x14ac:dyDescent="0.25">
      <x:c r="A1884" s="1"/>
      <x:c r="B1884" s="1"/>
      <x:c r="C1884" s="1"/>
      <x:c r="D1884" s="1"/>
      <x:c r="E1884" s="1"/>
      <x:c r="F1884" s="11"/>
    </x:row>
    <x:row r="1885" spans="1:6" x14ac:dyDescent="0.25">
      <x:c r="A1885" s="1"/>
      <x:c r="B1885" s="1"/>
      <x:c r="C1885" s="1"/>
      <x:c r="D1885" s="1"/>
      <x:c r="E1885" s="1"/>
      <x:c r="F1885" s="11"/>
    </x:row>
    <x:row r="1886" spans="1:6" x14ac:dyDescent="0.25">
      <x:c r="A1886" s="1"/>
      <x:c r="B1886" s="1"/>
      <x:c r="C1886" s="1"/>
      <x:c r="D1886" s="1"/>
      <x:c r="E1886" s="1"/>
      <x:c r="F1886" s="11"/>
    </x:row>
    <x:row r="1887" spans="1:6" x14ac:dyDescent="0.25">
      <x:c r="A1887" s="1"/>
      <x:c r="B1887" s="1"/>
      <x:c r="C1887" s="1"/>
      <x:c r="D1887" s="1"/>
      <x:c r="E1887" s="1"/>
      <x:c r="F1887" s="11"/>
    </x:row>
    <x:row r="1888" spans="1:6" x14ac:dyDescent="0.25">
      <x:c r="A1888" s="1"/>
      <x:c r="B1888" s="1"/>
      <x:c r="C1888" s="1"/>
      <x:c r="D1888" s="1"/>
      <x:c r="E1888" s="1"/>
      <x:c r="F1888" s="11"/>
    </x:row>
    <x:row r="1889" spans="1:6" x14ac:dyDescent="0.25">
      <x:c r="A1889" s="1"/>
      <x:c r="B1889" s="1"/>
      <x:c r="C1889" s="1"/>
      <x:c r="D1889" s="1"/>
      <x:c r="E1889" s="1"/>
      <x:c r="F1889" s="11"/>
    </x:row>
    <x:row r="1890" spans="1:6" x14ac:dyDescent="0.25">
      <x:c r="A1890" s="1"/>
      <x:c r="B1890" s="1"/>
      <x:c r="C1890" s="1"/>
      <x:c r="D1890" s="1"/>
      <x:c r="E1890" s="1"/>
      <x:c r="F1890" s="11"/>
    </x:row>
    <x:row r="1891" spans="1:6" x14ac:dyDescent="0.25">
      <x:c r="A1891" s="1"/>
      <x:c r="B1891" s="1"/>
      <x:c r="C1891" s="1"/>
      <x:c r="D1891" s="1"/>
      <x:c r="E1891" s="1"/>
      <x:c r="F1891" s="11"/>
    </x:row>
    <x:row r="1892" spans="1:6" x14ac:dyDescent="0.25">
      <x:c r="A1892" s="1"/>
      <x:c r="B1892" s="1"/>
      <x:c r="C1892" s="1"/>
      <x:c r="D1892" s="1"/>
      <x:c r="E1892" s="1"/>
      <x:c r="F1892" s="11"/>
    </x:row>
    <x:row r="1893" spans="1:6" x14ac:dyDescent="0.25">
      <x:c r="A1893" s="1"/>
      <x:c r="B1893" s="1"/>
      <x:c r="C1893" s="1"/>
      <x:c r="D1893" s="1"/>
      <x:c r="E1893" s="1"/>
      <x:c r="F1893" s="11"/>
    </x:row>
    <x:row r="1894" spans="1:6" x14ac:dyDescent="0.25">
      <x:c r="A1894" s="1"/>
      <x:c r="B1894" s="1"/>
      <x:c r="C1894" s="1"/>
      <x:c r="D1894" s="1"/>
      <x:c r="E1894" s="1"/>
      <x:c r="F1894" s="11"/>
    </x:row>
    <x:row r="1895" spans="1:6" x14ac:dyDescent="0.25">
      <x:c r="A1895" s="1"/>
      <x:c r="B1895" s="1"/>
      <x:c r="C1895" s="1"/>
      <x:c r="D1895" s="1"/>
      <x:c r="E1895" s="1"/>
      <x:c r="F1895" s="11"/>
    </x:row>
    <x:row r="1896" spans="1:6" x14ac:dyDescent="0.25">
      <x:c r="A1896" s="1"/>
      <x:c r="B1896" s="1"/>
      <x:c r="C1896" s="1"/>
      <x:c r="D1896" s="1"/>
      <x:c r="E1896" s="1"/>
      <x:c r="F1896" s="11"/>
    </x:row>
    <x:row r="1897" spans="1:6" x14ac:dyDescent="0.25">
      <x:c r="A1897" s="1"/>
      <x:c r="B1897" s="1"/>
      <x:c r="C1897" s="1"/>
      <x:c r="D1897" s="1"/>
      <x:c r="E1897" s="1"/>
      <x:c r="F1897" s="11"/>
    </x:row>
    <x:row r="1898" spans="1:6" x14ac:dyDescent="0.25">
      <x:c r="A1898" s="1"/>
      <x:c r="B1898" s="1"/>
      <x:c r="C1898" s="1"/>
      <x:c r="D1898" s="1"/>
      <x:c r="E1898" s="1"/>
      <x:c r="F1898" s="11"/>
    </x:row>
    <x:row r="1899" spans="1:6" x14ac:dyDescent="0.25">
      <x:c r="A1899" s="1"/>
      <x:c r="B1899" s="1"/>
      <x:c r="C1899" s="1"/>
      <x:c r="D1899" s="1"/>
      <x:c r="E1899" s="1"/>
      <x:c r="F1899" s="11"/>
    </x:row>
    <x:row r="1900" spans="1:6" x14ac:dyDescent="0.25">
      <x:c r="A1900" s="1"/>
      <x:c r="B1900" s="1"/>
      <x:c r="C1900" s="1"/>
      <x:c r="D1900" s="1"/>
      <x:c r="E1900" s="1"/>
      <x:c r="F1900" s="11"/>
    </x:row>
    <x:row r="1901" spans="1:6" x14ac:dyDescent="0.25">
      <x:c r="A1901" s="1"/>
      <x:c r="B1901" s="1"/>
      <x:c r="C1901" s="1"/>
      <x:c r="D1901" s="1"/>
      <x:c r="E1901" s="1"/>
      <x:c r="F1901" s="11"/>
    </x:row>
    <x:row r="1902" spans="1:6" x14ac:dyDescent="0.25">
      <x:c r="A1902" s="1"/>
      <x:c r="B1902" s="1"/>
      <x:c r="C1902" s="1"/>
      <x:c r="D1902" s="1"/>
      <x:c r="E1902" s="1"/>
      <x:c r="F1902" s="11"/>
    </x:row>
    <x:row r="1903" spans="1:6" x14ac:dyDescent="0.25">
      <x:c r="A1903" s="1"/>
      <x:c r="B1903" s="1"/>
      <x:c r="C1903" s="1"/>
      <x:c r="D1903" s="1"/>
      <x:c r="E1903" s="1"/>
      <x:c r="F1903" s="11"/>
    </x:row>
    <x:row r="1904" spans="1:6" x14ac:dyDescent="0.25">
      <x:c r="A1904" s="1"/>
      <x:c r="B1904" s="1"/>
      <x:c r="C1904" s="1"/>
      <x:c r="D1904" s="1"/>
      <x:c r="E1904" s="1"/>
      <x:c r="F1904" s="11"/>
    </x:row>
    <x:row r="1905" spans="1:6" x14ac:dyDescent="0.25">
      <x:c r="A1905" s="1"/>
      <x:c r="B1905" s="1"/>
      <x:c r="C1905" s="1"/>
      <x:c r="D1905" s="1"/>
      <x:c r="E1905" s="1"/>
      <x:c r="F1905" s="11"/>
    </x:row>
    <x:row r="1906" spans="1:6" x14ac:dyDescent="0.25">
      <x:c r="A1906" s="1"/>
      <x:c r="B1906" s="1"/>
      <x:c r="C1906" s="1"/>
      <x:c r="D1906" s="1"/>
      <x:c r="E1906" s="1"/>
      <x:c r="F1906" s="11"/>
    </x:row>
    <x:row r="1907" spans="1:6" x14ac:dyDescent="0.25">
      <x:c r="A1907" s="1"/>
      <x:c r="B1907" s="1"/>
      <x:c r="C1907" s="1"/>
      <x:c r="D1907" s="1"/>
      <x:c r="E1907" s="1"/>
      <x:c r="F1907" s="11"/>
    </x:row>
    <x:row r="1908" spans="1:6" x14ac:dyDescent="0.25">
      <x:c r="A1908" s="1"/>
      <x:c r="B1908" s="1"/>
      <x:c r="C1908" s="1"/>
      <x:c r="D1908" s="1"/>
      <x:c r="E1908" s="1"/>
      <x:c r="F1908" s="11"/>
    </x:row>
    <x:row r="1909" spans="1:6" x14ac:dyDescent="0.25">
      <x:c r="A1909" s="1"/>
      <x:c r="B1909" s="1"/>
      <x:c r="C1909" s="1"/>
      <x:c r="D1909" s="1"/>
      <x:c r="E1909" s="1"/>
      <x:c r="F1909" s="11"/>
    </x:row>
    <x:row r="1910" spans="1:6" x14ac:dyDescent="0.25">
      <x:c r="A1910" s="1"/>
      <x:c r="B1910" s="1"/>
      <x:c r="C1910" s="1"/>
      <x:c r="D1910" s="1"/>
      <x:c r="E1910" s="1"/>
      <x:c r="F1910" s="11"/>
    </x:row>
    <x:row r="1911" spans="1:6" x14ac:dyDescent="0.25">
      <x:c r="A1911" s="1"/>
      <x:c r="B1911" s="1"/>
      <x:c r="C1911" s="1"/>
      <x:c r="D1911" s="1"/>
      <x:c r="E1911" s="1"/>
      <x:c r="F1911" s="11"/>
    </x:row>
    <x:row r="1912" spans="1:6" x14ac:dyDescent="0.25">
      <x:c r="A1912" s="1"/>
      <x:c r="B1912" s="1"/>
      <x:c r="C1912" s="1"/>
      <x:c r="D1912" s="1"/>
      <x:c r="E1912" s="1"/>
      <x:c r="F1912" s="11"/>
    </x:row>
    <x:row r="1913" spans="1:6" x14ac:dyDescent="0.25">
      <x:c r="A1913" s="1"/>
      <x:c r="B1913" s="1"/>
      <x:c r="C1913" s="1"/>
      <x:c r="D1913" s="1"/>
      <x:c r="E1913" s="1"/>
      <x:c r="F1913" s="11"/>
    </x:row>
    <x:row r="1914" spans="1:6" x14ac:dyDescent="0.25">
      <x:c r="A1914" s="1"/>
      <x:c r="B1914" s="1"/>
      <x:c r="C1914" s="1"/>
      <x:c r="D1914" s="1"/>
      <x:c r="E1914" s="1"/>
      <x:c r="F1914" s="11"/>
    </x:row>
    <x:row r="1915" spans="1:6" x14ac:dyDescent="0.25">
      <x:c r="A1915" s="1"/>
      <x:c r="B1915" s="1"/>
      <x:c r="C1915" s="1"/>
      <x:c r="D1915" s="1"/>
      <x:c r="E1915" s="1"/>
      <x:c r="F1915" s="11"/>
    </x:row>
    <x:row r="1916" spans="1:6" x14ac:dyDescent="0.25">
      <x:c r="A1916" s="1"/>
      <x:c r="B1916" s="1"/>
      <x:c r="C1916" s="1"/>
      <x:c r="D1916" s="1"/>
      <x:c r="E1916" s="1"/>
      <x:c r="F1916" s="11"/>
    </x:row>
    <x:row r="1917" spans="1:6" x14ac:dyDescent="0.25">
      <x:c r="A1917" s="1"/>
      <x:c r="B1917" s="1"/>
      <x:c r="C1917" s="1"/>
      <x:c r="D1917" s="1"/>
      <x:c r="E1917" s="1"/>
      <x:c r="F1917" s="11"/>
    </x:row>
    <x:row r="1918" spans="1:6" x14ac:dyDescent="0.25">
      <x:c r="A1918" s="1"/>
      <x:c r="B1918" s="1"/>
      <x:c r="C1918" s="1"/>
      <x:c r="D1918" s="1"/>
      <x:c r="E1918" s="1"/>
      <x:c r="F1918" s="11"/>
    </x:row>
    <x:row r="1919" spans="1:6" x14ac:dyDescent="0.25">
      <x:c r="A1919" s="1"/>
      <x:c r="B1919" s="1"/>
      <x:c r="C1919" s="1"/>
      <x:c r="D1919" s="1"/>
      <x:c r="E1919" s="1"/>
      <x:c r="F1919" s="11"/>
    </x:row>
    <x:row r="1920" spans="1:6" x14ac:dyDescent="0.25">
      <x:c r="A1920" s="1"/>
      <x:c r="B1920" s="1"/>
      <x:c r="C1920" s="1"/>
      <x:c r="D1920" s="1"/>
      <x:c r="E1920" s="1"/>
      <x:c r="F1920" s="11"/>
    </x:row>
    <x:row r="1921" spans="1:6" x14ac:dyDescent="0.25">
      <x:c r="A1921" s="1"/>
      <x:c r="B1921" s="1"/>
      <x:c r="C1921" s="1"/>
      <x:c r="D1921" s="1"/>
      <x:c r="E1921" s="1"/>
      <x:c r="F1921" s="11"/>
    </x:row>
    <x:row r="1922" spans="1:6" x14ac:dyDescent="0.25">
      <x:c r="A1922" s="1"/>
      <x:c r="B1922" s="1"/>
      <x:c r="C1922" s="1"/>
      <x:c r="D1922" s="1"/>
      <x:c r="E1922" s="1"/>
      <x:c r="F1922" s="11"/>
    </x:row>
    <x:row r="1923" spans="1:6" x14ac:dyDescent="0.25">
      <x:c r="A1923" s="1"/>
      <x:c r="B1923" s="1"/>
      <x:c r="C1923" s="1"/>
      <x:c r="D1923" s="1"/>
      <x:c r="E1923" s="1"/>
      <x:c r="F1923" s="11"/>
    </x:row>
    <x:row r="1924" spans="1:6" x14ac:dyDescent="0.25">
      <x:c r="A1924" s="1"/>
      <x:c r="B1924" s="1"/>
      <x:c r="C1924" s="1"/>
      <x:c r="D1924" s="1"/>
      <x:c r="E1924" s="1"/>
      <x:c r="F1924" s="11"/>
    </x:row>
    <x:row r="1925" spans="1:6" x14ac:dyDescent="0.25">
      <x:c r="A1925" s="1"/>
      <x:c r="B1925" s="1"/>
      <x:c r="C1925" s="1"/>
      <x:c r="D1925" s="1"/>
      <x:c r="E1925" s="1"/>
      <x:c r="F1925" s="11"/>
    </x:row>
    <x:row r="1926" spans="1:6" x14ac:dyDescent="0.25">
      <x:c r="A1926" s="1"/>
      <x:c r="B1926" s="1"/>
      <x:c r="C1926" s="1"/>
      <x:c r="D1926" s="1"/>
      <x:c r="E1926" s="1"/>
      <x:c r="F1926" s="11"/>
    </x:row>
    <x:row r="1927" spans="1:6" x14ac:dyDescent="0.25">
      <x:c r="A1927" s="1"/>
      <x:c r="B1927" s="1"/>
      <x:c r="C1927" s="1"/>
      <x:c r="D1927" s="1"/>
      <x:c r="E1927" s="1"/>
      <x:c r="F1927" s="11"/>
    </x:row>
    <x:row r="1928" spans="1:6" x14ac:dyDescent="0.25">
      <x:c r="A1928" s="1"/>
      <x:c r="B1928" s="1"/>
      <x:c r="C1928" s="1"/>
      <x:c r="D1928" s="1"/>
      <x:c r="E1928" s="1"/>
      <x:c r="F1928" s="11"/>
    </x:row>
    <x:row r="1929" spans="1:6" x14ac:dyDescent="0.25">
      <x:c r="A1929" s="1"/>
      <x:c r="B1929" s="1"/>
      <x:c r="C1929" s="1"/>
      <x:c r="D1929" s="1"/>
      <x:c r="E1929" s="1"/>
      <x:c r="F1929" s="11"/>
    </x:row>
    <x:row r="1930" spans="1:6" x14ac:dyDescent="0.25">
      <x:c r="A1930" s="1"/>
      <x:c r="B1930" s="1"/>
      <x:c r="C1930" s="1"/>
      <x:c r="D1930" s="1"/>
      <x:c r="E1930" s="1"/>
      <x:c r="F1930" s="11"/>
    </x:row>
    <x:row r="1931" spans="1:6" x14ac:dyDescent="0.25">
      <x:c r="A1931" s="1"/>
      <x:c r="B1931" s="1"/>
      <x:c r="C1931" s="1"/>
      <x:c r="D1931" s="1"/>
      <x:c r="E1931" s="1"/>
      <x:c r="F1931" s="11"/>
    </x:row>
    <x:row r="1932" spans="1:6" x14ac:dyDescent="0.25">
      <x:c r="A1932" s="1"/>
      <x:c r="B1932" s="1"/>
      <x:c r="C1932" s="1"/>
      <x:c r="D1932" s="1"/>
      <x:c r="E1932" s="1"/>
      <x:c r="F1932" s="11"/>
    </x:row>
    <x:row r="1933" spans="1:6" x14ac:dyDescent="0.25">
      <x:c r="A1933" s="1"/>
      <x:c r="B1933" s="1"/>
      <x:c r="C1933" s="1"/>
      <x:c r="D1933" s="1"/>
      <x:c r="E1933" s="1"/>
      <x:c r="F1933" s="11"/>
    </x:row>
    <x:row r="1934" spans="1:6" x14ac:dyDescent="0.25">
      <x:c r="A1934" s="1"/>
      <x:c r="B1934" s="1"/>
      <x:c r="C1934" s="1"/>
      <x:c r="D1934" s="1"/>
      <x:c r="E1934" s="1"/>
      <x:c r="F1934" s="11"/>
    </x:row>
    <x:row r="1935" spans="1:6" x14ac:dyDescent="0.25">
      <x:c r="A1935" s="1"/>
      <x:c r="B1935" s="1"/>
      <x:c r="C1935" s="1"/>
      <x:c r="D1935" s="1"/>
      <x:c r="E1935" s="1"/>
      <x:c r="F1935" s="11"/>
    </x:row>
    <x:row r="1936" spans="1:6" x14ac:dyDescent="0.25">
      <x:c r="A1936" s="1"/>
      <x:c r="B1936" s="1"/>
      <x:c r="C1936" s="1"/>
      <x:c r="D1936" s="1"/>
      <x:c r="E1936" s="1"/>
      <x:c r="F1936" s="11"/>
    </x:row>
    <x:row r="1937" spans="1:6" x14ac:dyDescent="0.25">
      <x:c r="A1937" s="1"/>
      <x:c r="B1937" s="1"/>
      <x:c r="C1937" s="1"/>
      <x:c r="D1937" s="1"/>
      <x:c r="E1937" s="1"/>
      <x:c r="F1937" s="11"/>
    </x:row>
    <x:row r="1938" spans="1:6" x14ac:dyDescent="0.25">
      <x:c r="A1938" s="1"/>
      <x:c r="B1938" s="1"/>
      <x:c r="C1938" s="1"/>
      <x:c r="D1938" s="1"/>
      <x:c r="E1938" s="1"/>
      <x:c r="F1938" s="11"/>
    </x:row>
    <x:row r="1939" spans="1:6" x14ac:dyDescent="0.25">
      <x:c r="A1939" s="1"/>
      <x:c r="B1939" s="1"/>
      <x:c r="C1939" s="1"/>
      <x:c r="D1939" s="1"/>
      <x:c r="E1939" s="1"/>
      <x:c r="F1939" s="11"/>
    </x:row>
    <x:row r="1940" spans="1:6" x14ac:dyDescent="0.25">
      <x:c r="A1940" s="1"/>
      <x:c r="B1940" s="1"/>
      <x:c r="C1940" s="1"/>
      <x:c r="D1940" s="1"/>
      <x:c r="E1940" s="1"/>
      <x:c r="F1940" s="11"/>
    </x:row>
    <x:row r="1941" spans="1:6" x14ac:dyDescent="0.25">
      <x:c r="A1941" s="1"/>
      <x:c r="B1941" s="1"/>
      <x:c r="C1941" s="1"/>
      <x:c r="D1941" s="1"/>
      <x:c r="E1941" s="1"/>
      <x:c r="F1941" s="11"/>
    </x:row>
    <x:row r="1942" spans="1:6" x14ac:dyDescent="0.25">
      <x:c r="A1942" s="1"/>
      <x:c r="B1942" s="1"/>
      <x:c r="C1942" s="1"/>
      <x:c r="D1942" s="1"/>
      <x:c r="E1942" s="1"/>
      <x:c r="F1942" s="11"/>
    </x:row>
    <x:row r="1943" spans="1:6" x14ac:dyDescent="0.25">
      <x:c r="A1943" s="1"/>
      <x:c r="B1943" s="1"/>
      <x:c r="C1943" s="1"/>
      <x:c r="D1943" s="1"/>
      <x:c r="E1943" s="1"/>
      <x:c r="F1943" s="11"/>
    </x:row>
    <x:row r="1944" spans="1:6" x14ac:dyDescent="0.25">
      <x:c r="A1944" s="1"/>
      <x:c r="B1944" s="1"/>
      <x:c r="C1944" s="1"/>
      <x:c r="D1944" s="1"/>
      <x:c r="E1944" s="1"/>
      <x:c r="F1944" s="11"/>
    </x:row>
    <x:row r="1945" spans="1:6" x14ac:dyDescent="0.25">
      <x:c r="A1945" s="1"/>
      <x:c r="B1945" s="1"/>
      <x:c r="C1945" s="1"/>
      <x:c r="D1945" s="1"/>
      <x:c r="E1945" s="1"/>
      <x:c r="F1945" s="11"/>
    </x:row>
    <x:row r="1946" spans="1:6" x14ac:dyDescent="0.25">
      <x:c r="A1946" s="1"/>
      <x:c r="B1946" s="1"/>
      <x:c r="C1946" s="1"/>
      <x:c r="D1946" s="1"/>
      <x:c r="E1946" s="1"/>
      <x:c r="F1946" s="11"/>
    </x:row>
    <x:row r="1947" spans="1:6" x14ac:dyDescent="0.25">
      <x:c r="A1947" s="1"/>
      <x:c r="B1947" s="1"/>
      <x:c r="C1947" s="1"/>
      <x:c r="D1947" s="1"/>
      <x:c r="E1947" s="1"/>
      <x:c r="F1947" s="11"/>
    </x:row>
    <x:row r="1948" spans="1:6" x14ac:dyDescent="0.25">
      <x:c r="A1948" s="1"/>
      <x:c r="B1948" s="1"/>
      <x:c r="C1948" s="1"/>
      <x:c r="D1948" s="1"/>
      <x:c r="E1948" s="1"/>
      <x:c r="F1948" s="11"/>
    </x:row>
    <x:row r="1949" spans="1:6" x14ac:dyDescent="0.25">
      <x:c r="A1949" s="1"/>
      <x:c r="B1949" s="1"/>
      <x:c r="C1949" s="1"/>
      <x:c r="D1949" s="1"/>
      <x:c r="E1949" s="1"/>
      <x:c r="F1949" s="11"/>
    </x:row>
    <x:row r="1950" spans="1:6" x14ac:dyDescent="0.25">
      <x:c r="A1950" s="1"/>
      <x:c r="B1950" s="1"/>
      <x:c r="C1950" s="1"/>
      <x:c r="D1950" s="1"/>
      <x:c r="E1950" s="1"/>
      <x:c r="F1950" s="11"/>
    </x:row>
    <x:row r="1951" spans="1:6" x14ac:dyDescent="0.25">
      <x:c r="A1951" s="1"/>
      <x:c r="B1951" s="1"/>
      <x:c r="C1951" s="1"/>
      <x:c r="D1951" s="1"/>
      <x:c r="E1951" s="1"/>
      <x:c r="F1951" s="11"/>
    </x:row>
    <x:row r="1952" spans="1:6" x14ac:dyDescent="0.25">
      <x:c r="A1952" s="1"/>
      <x:c r="B1952" s="1"/>
      <x:c r="C1952" s="1"/>
      <x:c r="D1952" s="1"/>
      <x:c r="E1952" s="1"/>
      <x:c r="F1952" s="11"/>
    </x:row>
    <x:row r="1953" spans="1:6" x14ac:dyDescent="0.25">
      <x:c r="A1953" s="1"/>
      <x:c r="B1953" s="1"/>
      <x:c r="C1953" s="1"/>
      <x:c r="D1953" s="1"/>
      <x:c r="E1953" s="1"/>
      <x:c r="F1953" s="11"/>
    </x:row>
    <x:row r="1954" spans="1:6" x14ac:dyDescent="0.25">
      <x:c r="A1954" s="1"/>
      <x:c r="B1954" s="1"/>
      <x:c r="C1954" s="1"/>
      <x:c r="D1954" s="1"/>
      <x:c r="E1954" s="1"/>
      <x:c r="F1954" s="11"/>
    </x:row>
    <x:row r="1955" spans="1:6" x14ac:dyDescent="0.25">
      <x:c r="A1955" s="1"/>
      <x:c r="B1955" s="1"/>
      <x:c r="C1955" s="1"/>
      <x:c r="D1955" s="1"/>
      <x:c r="E1955" s="1"/>
      <x:c r="F1955" s="11"/>
    </x:row>
    <x:row r="1956" spans="1:6" x14ac:dyDescent="0.25">
      <x:c r="A1956" s="1"/>
      <x:c r="B1956" s="1"/>
      <x:c r="C1956" s="1"/>
      <x:c r="D1956" s="1"/>
      <x:c r="E1956" s="1"/>
      <x:c r="F1956" s="11"/>
    </x:row>
    <x:row r="1957" spans="1:6" x14ac:dyDescent="0.25">
      <x:c r="A1957" s="1"/>
      <x:c r="B1957" s="1"/>
      <x:c r="C1957" s="1"/>
      <x:c r="D1957" s="1"/>
      <x:c r="E1957" s="1"/>
      <x:c r="F1957" s="11"/>
    </x:row>
    <x:row r="1958" spans="1:6" x14ac:dyDescent="0.25">
      <x:c r="A1958" s="1"/>
      <x:c r="B1958" s="1"/>
      <x:c r="C1958" s="1"/>
      <x:c r="D1958" s="1"/>
      <x:c r="E1958" s="1"/>
      <x:c r="F1958" s="11"/>
    </x:row>
    <x:row r="1959" spans="1:6" x14ac:dyDescent="0.25">
      <x:c r="A1959" s="1"/>
      <x:c r="B1959" s="1"/>
      <x:c r="C1959" s="1"/>
      <x:c r="D1959" s="1"/>
      <x:c r="E1959" s="1"/>
      <x:c r="F1959" s="11"/>
    </x:row>
    <x:row r="1960" spans="1:6" x14ac:dyDescent="0.25">
      <x:c r="A1960" s="1"/>
      <x:c r="B1960" s="1"/>
      <x:c r="C1960" s="1"/>
      <x:c r="D1960" s="1"/>
      <x:c r="E1960" s="1"/>
      <x:c r="F1960" s="11"/>
    </x:row>
    <x:row r="1961" spans="1:6" x14ac:dyDescent="0.25">
      <x:c r="A1961" s="1"/>
      <x:c r="B1961" s="1"/>
      <x:c r="C1961" s="1"/>
      <x:c r="D1961" s="1"/>
      <x:c r="E1961" s="1"/>
      <x:c r="F1961" s="11"/>
    </x:row>
    <x:row r="1962" spans="1:6" x14ac:dyDescent="0.25">
      <x:c r="A1962" s="1"/>
      <x:c r="B1962" s="1"/>
      <x:c r="C1962" s="1"/>
      <x:c r="D1962" s="1"/>
      <x:c r="E1962" s="1"/>
      <x:c r="F1962" s="11"/>
    </x:row>
    <x:row r="1963" spans="1:6" x14ac:dyDescent="0.25">
      <x:c r="A1963" s="1"/>
      <x:c r="B1963" s="1"/>
      <x:c r="C1963" s="1"/>
      <x:c r="D1963" s="1"/>
      <x:c r="E1963" s="1"/>
      <x:c r="F1963" s="11"/>
    </x:row>
    <x:row r="1964" spans="1:6" x14ac:dyDescent="0.25">
      <x:c r="A1964" s="1"/>
      <x:c r="B1964" s="1"/>
      <x:c r="C1964" s="1"/>
      <x:c r="D1964" s="1"/>
      <x:c r="E1964" s="1"/>
      <x:c r="F1964" s="11"/>
    </x:row>
    <x:row r="1965" spans="1:6" x14ac:dyDescent="0.25">
      <x:c r="A1965" s="1"/>
      <x:c r="B1965" s="1"/>
      <x:c r="C1965" s="1"/>
      <x:c r="D1965" s="1"/>
      <x:c r="E1965" s="1"/>
      <x:c r="F1965" s="11"/>
    </x:row>
    <x:row r="1966" spans="1:6" x14ac:dyDescent="0.25">
      <x:c r="A1966" s="1"/>
      <x:c r="B1966" s="1"/>
      <x:c r="C1966" s="1"/>
      <x:c r="D1966" s="1"/>
      <x:c r="E1966" s="1"/>
      <x:c r="F1966" s="11"/>
    </x:row>
    <x:row r="1967" spans="1:6" x14ac:dyDescent="0.25">
      <x:c r="A1967" s="1"/>
      <x:c r="B1967" s="1"/>
      <x:c r="C1967" s="1"/>
      <x:c r="D1967" s="1"/>
      <x:c r="E1967" s="1"/>
      <x:c r="F1967" s="11"/>
    </x:row>
    <x:row r="1968" spans="1:6" x14ac:dyDescent="0.25">
      <x:c r="A1968" s="1"/>
      <x:c r="B1968" s="1"/>
      <x:c r="C1968" s="1"/>
      <x:c r="D1968" s="1"/>
      <x:c r="E1968" s="1"/>
      <x:c r="F1968" s="11"/>
    </x:row>
    <x:row r="1969" spans="1:6" x14ac:dyDescent="0.25">
      <x:c r="A1969" s="1"/>
      <x:c r="B1969" s="1"/>
      <x:c r="C1969" s="1"/>
      <x:c r="D1969" s="1"/>
      <x:c r="E1969" s="1"/>
      <x:c r="F1969" s="11"/>
    </x:row>
    <x:row r="1970" spans="1:6" x14ac:dyDescent="0.25">
      <x:c r="A1970" s="1"/>
      <x:c r="B1970" s="1"/>
      <x:c r="C1970" s="1"/>
      <x:c r="D1970" s="1"/>
      <x:c r="E1970" s="1"/>
      <x:c r="F1970" s="11"/>
    </x:row>
    <x:row r="1971" spans="1:6" x14ac:dyDescent="0.25">
      <x:c r="A1971" s="1"/>
      <x:c r="B1971" s="1"/>
      <x:c r="C1971" s="1"/>
      <x:c r="D1971" s="1"/>
      <x:c r="E1971" s="1"/>
      <x:c r="F1971" s="11"/>
    </x:row>
    <x:row r="1972" spans="1:6" x14ac:dyDescent="0.25">
      <x:c r="A1972" s="1"/>
      <x:c r="B1972" s="1"/>
      <x:c r="C1972" s="1"/>
      <x:c r="D1972" s="1"/>
      <x:c r="E1972" s="1"/>
      <x:c r="F1972" s="11"/>
    </x:row>
    <x:row r="1973" spans="1:6" x14ac:dyDescent="0.25">
      <x:c r="A1973" s="1"/>
      <x:c r="B1973" s="1"/>
      <x:c r="C1973" s="1"/>
      <x:c r="D1973" s="1"/>
      <x:c r="E1973" s="1"/>
      <x:c r="F1973" s="11"/>
    </x:row>
    <x:row r="1974" spans="1:6" x14ac:dyDescent="0.25">
      <x:c r="A1974" s="1"/>
      <x:c r="B1974" s="1"/>
      <x:c r="C1974" s="1"/>
      <x:c r="D1974" s="1"/>
      <x:c r="E1974" s="1"/>
      <x:c r="F1974" s="11"/>
    </x:row>
    <x:row r="1975" spans="1:6" x14ac:dyDescent="0.25">
      <x:c r="A1975" s="1"/>
      <x:c r="B1975" s="1"/>
      <x:c r="C1975" s="1"/>
      <x:c r="D1975" s="1"/>
      <x:c r="E1975" s="1"/>
      <x:c r="F1975" s="11"/>
    </x:row>
    <x:row r="1976" spans="1:6" x14ac:dyDescent="0.25">
      <x:c r="A1976" s="1"/>
      <x:c r="B1976" s="1"/>
      <x:c r="C1976" s="1"/>
      <x:c r="D1976" s="1"/>
      <x:c r="E1976" s="1"/>
      <x:c r="F1976" s="11"/>
    </x:row>
    <x:row r="1977" spans="1:6" x14ac:dyDescent="0.25">
      <x:c r="A1977" s="1"/>
      <x:c r="B1977" s="1"/>
      <x:c r="C1977" s="1"/>
      <x:c r="D1977" s="1"/>
      <x:c r="E1977" s="1"/>
      <x:c r="F1977" s="11"/>
    </x:row>
    <x:row r="1978" spans="1:6" x14ac:dyDescent="0.25">
      <x:c r="A1978" s="1"/>
      <x:c r="B1978" s="1"/>
      <x:c r="C1978" s="1"/>
      <x:c r="D1978" s="1"/>
      <x:c r="E1978" s="1"/>
      <x:c r="F1978" s="11"/>
    </x:row>
    <x:row r="1979" spans="1:6" x14ac:dyDescent="0.25">
      <x:c r="A1979" s="1"/>
      <x:c r="B1979" s="1"/>
      <x:c r="C1979" s="1"/>
      <x:c r="D1979" s="1"/>
      <x:c r="E1979" s="1"/>
      <x:c r="F1979" s="11"/>
    </x:row>
    <x:row r="1980" spans="1:6" x14ac:dyDescent="0.25">
      <x:c r="A1980" s="1"/>
      <x:c r="B1980" s="1"/>
      <x:c r="C1980" s="1"/>
      <x:c r="D1980" s="1"/>
      <x:c r="E1980" s="1"/>
      <x:c r="F1980" s="11"/>
    </x:row>
    <x:row r="1981" spans="1:6" x14ac:dyDescent="0.25">
      <x:c r="A1981" s="1"/>
      <x:c r="B1981" s="1"/>
      <x:c r="C1981" s="1"/>
      <x:c r="D1981" s="1"/>
      <x:c r="E1981" s="1"/>
      <x:c r="F1981" s="11"/>
    </x:row>
    <x:row r="1982" spans="1:6" x14ac:dyDescent="0.25">
      <x:c r="A1982" s="1"/>
      <x:c r="B1982" s="1"/>
      <x:c r="C1982" s="1"/>
      <x:c r="D1982" s="1"/>
      <x:c r="E1982" s="1"/>
      <x:c r="F1982" s="11"/>
    </x:row>
    <x:row r="1983" spans="1:6" x14ac:dyDescent="0.25">
      <x:c r="A1983" s="1"/>
      <x:c r="B1983" s="1"/>
      <x:c r="C1983" s="1"/>
      <x:c r="D1983" s="1"/>
      <x:c r="E1983" s="1"/>
      <x:c r="F1983" s="11"/>
    </x:row>
    <x:row r="1984" spans="1:6" x14ac:dyDescent="0.25">
      <x:c r="A1984" s="1"/>
      <x:c r="B1984" s="1"/>
      <x:c r="C1984" s="1"/>
      <x:c r="D1984" s="1"/>
      <x:c r="E1984" s="1"/>
      <x:c r="F1984" s="11"/>
    </x:row>
    <x:row r="1985" spans="1:6" x14ac:dyDescent="0.25">
      <x:c r="A1985" s="1"/>
      <x:c r="B1985" s="1"/>
      <x:c r="C1985" s="1"/>
      <x:c r="D1985" s="1"/>
      <x:c r="E1985" s="1"/>
      <x:c r="F1985" s="11"/>
    </x:row>
    <x:row r="1986" spans="1:6" x14ac:dyDescent="0.25">
      <x:c r="A1986" s="1"/>
      <x:c r="B1986" s="1"/>
      <x:c r="C1986" s="1"/>
      <x:c r="D1986" s="1"/>
      <x:c r="E1986" s="1"/>
      <x:c r="F1986" s="11"/>
    </x:row>
    <x:row r="1987" spans="1:6" x14ac:dyDescent="0.25">
      <x:c r="A1987" s="1"/>
      <x:c r="B1987" s="1"/>
      <x:c r="C1987" s="1"/>
      <x:c r="D1987" s="1"/>
      <x:c r="E1987" s="1"/>
      <x:c r="F1987" s="11"/>
    </x:row>
    <x:row r="1988" spans="1:6" x14ac:dyDescent="0.25">
      <x:c r="A1988" s="1"/>
      <x:c r="B1988" s="1"/>
      <x:c r="C1988" s="1"/>
      <x:c r="D1988" s="1"/>
      <x:c r="E1988" s="1"/>
      <x:c r="F1988" s="11"/>
    </x:row>
    <x:row r="1989" spans="1:6" x14ac:dyDescent="0.25">
      <x:c r="A1989" s="1"/>
      <x:c r="B1989" s="1"/>
      <x:c r="C1989" s="1"/>
      <x:c r="D1989" s="1"/>
      <x:c r="E1989" s="1"/>
      <x:c r="F1989" s="11"/>
    </x:row>
    <x:row r="1990" spans="1:6" x14ac:dyDescent="0.25">
      <x:c r="A1990" s="1"/>
      <x:c r="B1990" s="1"/>
      <x:c r="C1990" s="1"/>
      <x:c r="D1990" s="1"/>
      <x:c r="E1990" s="1"/>
      <x:c r="F1990" s="11"/>
    </x:row>
    <x:row r="1991" spans="1:6" x14ac:dyDescent="0.25">
      <x:c r="A1991" s="1"/>
      <x:c r="B1991" s="1"/>
      <x:c r="C1991" s="1"/>
      <x:c r="D1991" s="1"/>
      <x:c r="E1991" s="1"/>
      <x:c r="F1991" s="11"/>
    </x:row>
    <x:row r="1992" spans="1:6" x14ac:dyDescent="0.25">
      <x:c r="A1992" s="1"/>
      <x:c r="B1992" s="1"/>
      <x:c r="C1992" s="1"/>
      <x:c r="D1992" s="1"/>
      <x:c r="E1992" s="1"/>
      <x:c r="F1992" s="11"/>
    </x:row>
    <x:row r="1993" spans="1:6" x14ac:dyDescent="0.25">
      <x:c r="A1993" s="1"/>
      <x:c r="B1993" s="1"/>
      <x:c r="C1993" s="1"/>
      <x:c r="D1993" s="1"/>
      <x:c r="E1993" s="1"/>
      <x:c r="F1993" s="11"/>
    </x:row>
    <x:row r="1994" spans="1:6" x14ac:dyDescent="0.25">
      <x:c r="A1994" s="1"/>
      <x:c r="B1994" s="1"/>
      <x:c r="C1994" s="1"/>
      <x:c r="D1994" s="1"/>
      <x:c r="E1994" s="1"/>
      <x:c r="F1994" s="11"/>
    </x:row>
    <x:row r="1995" spans="1:6" x14ac:dyDescent="0.25">
      <x:c r="A1995" s="1"/>
      <x:c r="B1995" s="1"/>
      <x:c r="C1995" s="1"/>
      <x:c r="D1995" s="1"/>
      <x:c r="E1995" s="1"/>
      <x:c r="F1995" s="11"/>
    </x:row>
    <x:row r="1996" spans="1:6" x14ac:dyDescent="0.25">
      <x:c r="A1996" s="1"/>
      <x:c r="B1996" s="1"/>
      <x:c r="C1996" s="1"/>
      <x:c r="D1996" s="1"/>
      <x:c r="E1996" s="1"/>
      <x:c r="F1996" s="11"/>
    </x:row>
    <x:row r="1997" spans="1:6" x14ac:dyDescent="0.25">
      <x:c r="A1997" s="1"/>
      <x:c r="B1997" s="1"/>
      <x:c r="C1997" s="1"/>
      <x:c r="D1997" s="1"/>
      <x:c r="E1997" s="1"/>
      <x:c r="F1997" s="11"/>
    </x:row>
    <x:row r="1998" spans="1:6" x14ac:dyDescent="0.25">
      <x:c r="A1998" s="1"/>
      <x:c r="B1998" s="1"/>
      <x:c r="C1998" s="1"/>
      <x:c r="D1998" s="1"/>
      <x:c r="E1998" s="1"/>
      <x:c r="F1998" s="11"/>
    </x:row>
    <x:row r="1999" spans="1:6" x14ac:dyDescent="0.25">
      <x:c r="A1999" s="1"/>
      <x:c r="B1999" s="1"/>
      <x:c r="C1999" s="1"/>
      <x:c r="D1999" s="1"/>
      <x:c r="E1999" s="1"/>
      <x:c r="F1999" s="11"/>
    </x:row>
    <x:row r="2000" spans="1:6" x14ac:dyDescent="0.25">
      <x:c r="A2000" s="1"/>
      <x:c r="B2000" s="1"/>
      <x:c r="C2000" s="1"/>
      <x:c r="D2000" s="1"/>
      <x:c r="E2000" s="1"/>
      <x:c r="F2000" s="11"/>
    </x:row>
    <x:row r="2001" spans="1:6" x14ac:dyDescent="0.25">
      <x:c r="A2001" s="1"/>
      <x:c r="B2001" s="1"/>
      <x:c r="C2001" s="1"/>
      <x:c r="D2001" s="1"/>
      <x:c r="E2001" s="1"/>
      <x:c r="F2001" s="11"/>
    </x:row>
    <x:row r="2002" spans="1:6" x14ac:dyDescent="0.25">
      <x:c r="A2002" s="1"/>
      <x:c r="B2002" s="1"/>
      <x:c r="C2002" s="1"/>
      <x:c r="D2002" s="1"/>
      <x:c r="E2002" s="1"/>
      <x:c r="F2002" s="11"/>
    </x:row>
    <x:row r="2003" spans="1:6" x14ac:dyDescent="0.25">
      <x:c r="A2003" s="1"/>
      <x:c r="B2003" s="1"/>
      <x:c r="C2003" s="1"/>
      <x:c r="D2003" s="1"/>
      <x:c r="E2003" s="1"/>
      <x:c r="F2003" s="11"/>
    </x:row>
    <x:row r="2004" spans="1:6" x14ac:dyDescent="0.25">
      <x:c r="F2004" s="11"/>
    </x:row>
    <x:row r="2005" spans="1:6" x14ac:dyDescent="0.25">
      <x:c r="F2005" s="11"/>
    </x:row>
    <x:row r="2006" spans="1:6" x14ac:dyDescent="0.25">
      <x:c r="F2006" s="11"/>
    </x:row>
    <x:row r="2007" spans="1:6" x14ac:dyDescent="0.25">
      <x:c r="F2007" s="11"/>
    </x:row>
    <x:row r="2008" spans="1:6" x14ac:dyDescent="0.25">
      <x:c r="F2008" s="11"/>
    </x:row>
    <x:row r="2009" spans="1:6" x14ac:dyDescent="0.25">
      <x:c r="F2009" s="11"/>
    </x:row>
    <x:row r="2010" spans="1:6" x14ac:dyDescent="0.25">
      <x:c r="F2010" s="11"/>
    </x:row>
    <x:row r="2011" spans="1:6" x14ac:dyDescent="0.25">
      <x:c r="F2011" s="11"/>
    </x:row>
    <x:row r="2012" spans="1:6" x14ac:dyDescent="0.25">
      <x:c r="F2012" s="11"/>
    </x:row>
    <x:row r="2013" spans="1:6" x14ac:dyDescent="0.25">
      <x:c r="F2013" s="11"/>
    </x:row>
    <x:row r="2014" spans="1:6" x14ac:dyDescent="0.25">
      <x:c r="F2014" s="11"/>
    </x:row>
    <x:row r="2015" spans="1:6" x14ac:dyDescent="0.25">
      <x:c r="F2015" s="11"/>
    </x:row>
    <x:row r="2016" spans="1:6" x14ac:dyDescent="0.25">
      <x:c r="F2016" s="11"/>
    </x:row>
    <x:row r="2017" spans="6:6" x14ac:dyDescent="0.25">
      <x:c r="F2017" s="11"/>
    </x:row>
    <x:row r="2018" spans="6:6" x14ac:dyDescent="0.25">
      <x:c r="F2018" s="11"/>
    </x:row>
    <x:row r="2019" spans="6:6" x14ac:dyDescent="0.25">
      <x:c r="F2019" s="11"/>
    </x:row>
    <x:row r="2020" spans="6:6" x14ac:dyDescent="0.25">
      <x:c r="F2020" s="11"/>
    </x:row>
    <x:row r="2021" spans="6:6" x14ac:dyDescent="0.25">
      <x:c r="F2021" s="11"/>
    </x:row>
    <x:row r="2022" spans="6:6" x14ac:dyDescent="0.25">
      <x:c r="F2022" s="11"/>
    </x:row>
    <x:row r="2023" spans="6:6" x14ac:dyDescent="0.25">
      <x:c r="F2023" s="11"/>
    </x:row>
    <x:row r="2024" spans="6:6" x14ac:dyDescent="0.25">
      <x:c r="F2024" s="11"/>
    </x:row>
    <x:row r="2025" spans="6:6" x14ac:dyDescent="0.25">
      <x:c r="F2025" s="11"/>
    </x:row>
    <x:row r="2026" spans="6:6" x14ac:dyDescent="0.25">
      <x:c r="F2026" s="11"/>
    </x:row>
    <x:row r="2027" spans="6:6" x14ac:dyDescent="0.25">
      <x:c r="F2027" s="11"/>
    </x:row>
    <x:row r="2028" spans="6:6" x14ac:dyDescent="0.25">
      <x:c r="F2028" s="11"/>
    </x:row>
    <x:row r="2029" spans="6:6" x14ac:dyDescent="0.25">
      <x:c r="F2029" s="11"/>
    </x:row>
    <x:row r="2030" spans="6:6" x14ac:dyDescent="0.25">
      <x:c r="F2030" s="11"/>
    </x:row>
    <x:row r="2031" spans="6:6" x14ac:dyDescent="0.25">
      <x:c r="F2031" s="11"/>
    </x:row>
    <x:row r="2032" spans="6:6" x14ac:dyDescent="0.25">
      <x:c r="F2032" s="11"/>
    </x:row>
    <x:row r="2033" spans="6:6" x14ac:dyDescent="0.25">
      <x:c r="F2033" s="11"/>
    </x:row>
    <x:row r="2034" spans="6:6" x14ac:dyDescent="0.25">
      <x:c r="F2034" s="11"/>
    </x:row>
    <x:row r="2035" spans="6:6" x14ac:dyDescent="0.25">
      <x:c r="F2035" s="11"/>
    </x:row>
    <x:row r="2036" spans="6:6" x14ac:dyDescent="0.25">
      <x:c r="F2036" s="11"/>
    </x:row>
    <x:row r="2037" spans="6:6" x14ac:dyDescent="0.25">
      <x:c r="F2037" s="11"/>
    </x:row>
    <x:row r="2038" spans="6:6" x14ac:dyDescent="0.25">
      <x:c r="F2038" s="11"/>
    </x:row>
    <x:row r="2039" spans="6:6" x14ac:dyDescent="0.25">
      <x:c r="F2039" s="11"/>
    </x:row>
    <x:row r="2040" spans="6:6" x14ac:dyDescent="0.25">
      <x:c r="F2040" s="11"/>
    </x:row>
    <x:row r="2041" spans="6:6" x14ac:dyDescent="0.25">
      <x:c r="F2041" s="11"/>
    </x:row>
    <x:row r="2042" spans="6:6" x14ac:dyDescent="0.25">
      <x:c r="F2042" s="11"/>
    </x:row>
    <x:row r="2043" spans="6:6" x14ac:dyDescent="0.25">
      <x:c r="F2043" s="11"/>
    </x:row>
    <x:row r="2044" spans="6:6" x14ac:dyDescent="0.25">
      <x:c r="F2044" s="11"/>
    </x:row>
    <x:row r="2045" spans="6:6" x14ac:dyDescent="0.25">
      <x:c r="F2045" s="11"/>
    </x:row>
    <x:row r="2046" spans="6:6" x14ac:dyDescent="0.25">
      <x:c r="F2046" s="11"/>
    </x:row>
    <x:row r="2047" spans="6:6" x14ac:dyDescent="0.25">
      <x:c r="F2047" s="11"/>
    </x:row>
    <x:row r="2048" spans="6:6" x14ac:dyDescent="0.25">
      <x:c r="F2048" s="11"/>
    </x:row>
    <x:row r="2049" spans="6:6" x14ac:dyDescent="0.25">
      <x:c r="F2049" s="11"/>
    </x:row>
    <x:row r="2050" spans="6:6" x14ac:dyDescent="0.25">
      <x:c r="F2050" s="11"/>
    </x:row>
    <x:row r="2051" spans="6:6" x14ac:dyDescent="0.25">
      <x:c r="F2051" s="11"/>
    </x:row>
    <x:row r="2052" spans="6:6" x14ac:dyDescent="0.25">
      <x:c r="F2052" s="11"/>
    </x:row>
    <x:row r="2053" spans="6:6" x14ac:dyDescent="0.25">
      <x:c r="F2053" s="11"/>
    </x:row>
    <x:row r="2054" spans="6:6" x14ac:dyDescent="0.25">
      <x:c r="F2054" s="11"/>
    </x:row>
    <x:row r="2055" spans="6:6" x14ac:dyDescent="0.25">
      <x:c r="F2055" s="11"/>
    </x:row>
    <x:row r="2056" spans="6:6" x14ac:dyDescent="0.25">
      <x:c r="F2056" s="11"/>
    </x:row>
    <x:row r="2057" spans="6:6" x14ac:dyDescent="0.25">
      <x:c r="F2057" s="11"/>
    </x:row>
    <x:row r="2058" spans="6:6" x14ac:dyDescent="0.25">
      <x:c r="F2058" s="11"/>
    </x:row>
    <x:row r="2059" spans="6:6" x14ac:dyDescent="0.25">
      <x:c r="F2059" s="11"/>
    </x:row>
    <x:row r="2060" spans="6:6" x14ac:dyDescent="0.25">
      <x:c r="F2060" s="11"/>
    </x:row>
    <x:row r="2061" spans="6:6" x14ac:dyDescent="0.25">
      <x:c r="F2061" s="11"/>
    </x:row>
    <x:row r="2062" spans="6:6" x14ac:dyDescent="0.25">
      <x:c r="F2062" s="11"/>
    </x:row>
    <x:row r="2063" spans="6:6" x14ac:dyDescent="0.25">
      <x:c r="F2063" s="11"/>
    </x:row>
    <x:row r="2064" spans="6:6" x14ac:dyDescent="0.25">
      <x:c r="F2064" s="11"/>
    </x:row>
    <x:row r="2065" spans="6:6" x14ac:dyDescent="0.25">
      <x:c r="F2065" s="11"/>
    </x:row>
    <x:row r="2066" spans="6:6" x14ac:dyDescent="0.25">
      <x:c r="F2066" s="11"/>
    </x:row>
    <x:row r="2067" spans="6:6" x14ac:dyDescent="0.25">
      <x:c r="F2067" s="11"/>
    </x:row>
    <x:row r="2068" spans="6:6" x14ac:dyDescent="0.25">
      <x:c r="F2068" s="11"/>
    </x:row>
    <x:row r="2069" spans="6:6" x14ac:dyDescent="0.25">
      <x:c r="F2069" s="11"/>
    </x:row>
    <x:row r="2070" spans="6:6" x14ac:dyDescent="0.25">
      <x:c r="F2070" s="11"/>
    </x:row>
    <x:row r="2071" spans="6:6" x14ac:dyDescent="0.25">
      <x:c r="F2071" s="11"/>
    </x:row>
    <x:row r="2072" spans="6:6" x14ac:dyDescent="0.25">
      <x:c r="F2072" s="11"/>
    </x:row>
    <x:row r="2073" spans="6:6" x14ac:dyDescent="0.25">
      <x:c r="F2073" s="11"/>
    </x:row>
    <x:row r="2074" spans="6:6" x14ac:dyDescent="0.25">
      <x:c r="F2074" s="11"/>
    </x:row>
    <x:row r="2075" spans="6:6" x14ac:dyDescent="0.25">
      <x:c r="F2075" s="11"/>
    </x:row>
    <x:row r="2076" spans="6:6" x14ac:dyDescent="0.25">
      <x:c r="F2076" s="11"/>
    </x:row>
    <x:row r="2077" spans="6:6" x14ac:dyDescent="0.25">
      <x:c r="F2077" s="11"/>
    </x:row>
    <x:row r="2078" spans="6:6" x14ac:dyDescent="0.25">
      <x:c r="F2078" s="11"/>
    </x:row>
    <x:row r="2079" spans="6:6" x14ac:dyDescent="0.25">
      <x:c r="F2079" s="11"/>
    </x:row>
    <x:row r="2080" spans="6:6" x14ac:dyDescent="0.25">
      <x:c r="F2080" s="11"/>
    </x:row>
    <x:row r="2081" spans="6:6" x14ac:dyDescent="0.25">
      <x:c r="F2081" s="11"/>
    </x:row>
    <x:row r="2082" spans="6:6" x14ac:dyDescent="0.25">
      <x:c r="F2082" s="11"/>
    </x:row>
    <x:row r="2083" spans="6:6" x14ac:dyDescent="0.25">
      <x:c r="F2083" s="11"/>
    </x:row>
    <x:row r="2084" spans="6:6" x14ac:dyDescent="0.25">
      <x:c r="F2084" s="11"/>
    </x:row>
    <x:row r="2085" spans="6:6" x14ac:dyDescent="0.25">
      <x:c r="F2085" s="11"/>
    </x:row>
    <x:row r="2086" spans="6:6" x14ac:dyDescent="0.25">
      <x:c r="F2086" s="11"/>
    </x:row>
    <x:row r="2087" spans="6:6" x14ac:dyDescent="0.25">
      <x:c r="F2087" s="11"/>
    </x:row>
    <x:row r="2088" spans="6:6" x14ac:dyDescent="0.25">
      <x:c r="F2088" s="11"/>
    </x:row>
    <x:row r="2089" spans="6:6" x14ac:dyDescent="0.25">
      <x:c r="F2089" s="11"/>
    </x:row>
    <x:row r="2090" spans="6:6" x14ac:dyDescent="0.25">
      <x:c r="F2090" s="11"/>
    </x:row>
    <x:row r="2091" spans="6:6" x14ac:dyDescent="0.25">
      <x:c r="F2091" s="11"/>
    </x:row>
    <x:row r="2092" spans="6:6" x14ac:dyDescent="0.25">
      <x:c r="F2092" s="11"/>
    </x:row>
    <x:row r="2093" spans="6:6" x14ac:dyDescent="0.25">
      <x:c r="F2093" s="11"/>
    </x:row>
    <x:row r="2094" spans="6:6" x14ac:dyDescent="0.25">
      <x:c r="F2094" s="11"/>
    </x:row>
    <x:row r="2095" spans="6:6" x14ac:dyDescent="0.25">
      <x:c r="F2095" s="11"/>
    </x:row>
    <x:row r="2096" spans="6:6" x14ac:dyDescent="0.25">
      <x:c r="F2096" s="11"/>
    </x:row>
    <x:row r="2097" spans="6:6" x14ac:dyDescent="0.25">
      <x:c r="F2097" s="11"/>
    </x:row>
    <x:row r="2098" spans="6:6" x14ac:dyDescent="0.25">
      <x:c r="F2098" s="11"/>
    </x:row>
    <x:row r="2099" spans="6:6" x14ac:dyDescent="0.25">
      <x:c r="F2099" s="11"/>
    </x:row>
    <x:row r="2100" spans="6:6" x14ac:dyDescent="0.25">
      <x:c r="F2100" s="11"/>
    </x:row>
    <x:row r="2101" spans="6:6" x14ac:dyDescent="0.25">
      <x:c r="F2101" s="11"/>
    </x:row>
    <x:row r="2102" spans="6:6" x14ac:dyDescent="0.25">
      <x:c r="F2102" s="11"/>
    </x:row>
    <x:row r="2103" spans="6:6" x14ac:dyDescent="0.25">
      <x:c r="F2103" s="11"/>
    </x:row>
    <x:row r="2104" spans="6:6" x14ac:dyDescent="0.25">
      <x:c r="F2104" s="11"/>
    </x:row>
    <x:row r="2105" spans="6:6" x14ac:dyDescent="0.25">
      <x:c r="F2105" s="11"/>
    </x:row>
    <x:row r="2106" spans="6:6" x14ac:dyDescent="0.25">
      <x:c r="F2106" s="11"/>
    </x:row>
    <x:row r="2107" spans="6:6" x14ac:dyDescent="0.25">
      <x:c r="F2107" s="11"/>
    </x:row>
    <x:row r="2108" spans="6:6" x14ac:dyDescent="0.25">
      <x:c r="F2108" s="11"/>
    </x:row>
    <x:row r="2109" spans="6:6" x14ac:dyDescent="0.25">
      <x:c r="F2109" s="11"/>
    </x:row>
    <x:row r="2110" spans="6:6" x14ac:dyDescent="0.25">
      <x:c r="F2110" s="11"/>
    </x:row>
    <x:row r="2111" spans="6:6" x14ac:dyDescent="0.25">
      <x:c r="F2111" s="11"/>
    </x:row>
    <x:row r="2112" spans="6:6" x14ac:dyDescent="0.25">
      <x:c r="F2112" s="11"/>
    </x:row>
    <x:row r="2113" spans="6:6" x14ac:dyDescent="0.25">
      <x:c r="F2113" s="11"/>
    </x:row>
    <x:row r="2114" spans="6:6" x14ac:dyDescent="0.25">
      <x:c r="F2114" s="11"/>
    </x:row>
    <x:row r="2115" spans="6:6" x14ac:dyDescent="0.25">
      <x:c r="F2115" s="11"/>
    </x:row>
    <x:row r="2116" spans="6:6" x14ac:dyDescent="0.25">
      <x:c r="F2116" s="11"/>
    </x:row>
    <x:row r="2117" spans="6:6" x14ac:dyDescent="0.25">
      <x:c r="F2117" s="11"/>
    </x:row>
    <x:row r="2118" spans="6:6" x14ac:dyDescent="0.25">
      <x:c r="F2118" s="11"/>
    </x:row>
    <x:row r="2119" spans="6:6" x14ac:dyDescent="0.25">
      <x:c r="F2119" s="11"/>
    </x:row>
    <x:row r="2120" spans="6:6" x14ac:dyDescent="0.25">
      <x:c r="F2120" s="11"/>
    </x:row>
    <x:row r="2121" spans="6:6" x14ac:dyDescent="0.25">
      <x:c r="F2121" s="11"/>
    </x:row>
    <x:row r="2122" spans="6:6" x14ac:dyDescent="0.25">
      <x:c r="F2122" s="11"/>
    </x:row>
    <x:row r="2123" spans="6:6" x14ac:dyDescent="0.25">
      <x:c r="F2123" s="11"/>
    </x:row>
    <x:row r="2124" spans="6:6" x14ac:dyDescent="0.25">
      <x:c r="F2124" s="11"/>
    </x:row>
    <x:row r="2125" spans="6:6" x14ac:dyDescent="0.25">
      <x:c r="F2125" s="11"/>
    </x:row>
    <x:row r="2126" spans="6:6" x14ac:dyDescent="0.25">
      <x:c r="F2126" s="11"/>
    </x:row>
    <x:row r="2127" spans="6:6" x14ac:dyDescent="0.25">
      <x:c r="F2127" s="11"/>
    </x:row>
    <x:row r="2128" spans="6:6" x14ac:dyDescent="0.25">
      <x:c r="F2128" s="11"/>
    </x:row>
    <x:row r="2129" spans="6:6" x14ac:dyDescent="0.25">
      <x:c r="F2129" s="11"/>
    </x:row>
    <x:row r="2130" spans="6:6" x14ac:dyDescent="0.25">
      <x:c r="F2130" s="11"/>
    </x:row>
    <x:row r="2131" spans="6:6" x14ac:dyDescent="0.25">
      <x:c r="F2131" s="11"/>
    </x:row>
    <x:row r="2132" spans="6:6" x14ac:dyDescent="0.25">
      <x:c r="F2132" s="11"/>
    </x:row>
    <x:row r="2133" spans="6:6" x14ac:dyDescent="0.25">
      <x:c r="F2133" s="11"/>
    </x:row>
    <x:row r="2134" spans="6:6" x14ac:dyDescent="0.25">
      <x:c r="F2134" s="11"/>
    </x:row>
    <x:row r="2135" spans="6:6" x14ac:dyDescent="0.25">
      <x:c r="F2135" s="11"/>
    </x:row>
    <x:row r="2136" spans="6:6" x14ac:dyDescent="0.25">
      <x:c r="F2136" s="11"/>
    </x:row>
    <x:row r="2137" spans="6:6" x14ac:dyDescent="0.25">
      <x:c r="F2137" s="11"/>
    </x:row>
    <x:row r="2138" spans="6:6" x14ac:dyDescent="0.25">
      <x:c r="F2138" s="11"/>
    </x:row>
    <x:row r="2139" spans="6:6" x14ac:dyDescent="0.25">
      <x:c r="F2139" s="11"/>
    </x:row>
    <x:row r="2140" spans="6:6" x14ac:dyDescent="0.25">
      <x:c r="F2140" s="11"/>
    </x:row>
    <x:row r="2141" spans="6:6" x14ac:dyDescent="0.25">
      <x:c r="F2141" s="11"/>
    </x:row>
    <x:row r="2142" spans="6:6" x14ac:dyDescent="0.25">
      <x:c r="F2142" s="11"/>
    </x:row>
    <x:row r="2143" spans="6:6" x14ac:dyDescent="0.25">
      <x:c r="F2143" s="11"/>
    </x:row>
    <x:row r="2144" spans="6:6" x14ac:dyDescent="0.25">
      <x:c r="F2144" s="11"/>
    </x:row>
    <x:row r="2145" spans="6:6" x14ac:dyDescent="0.25">
      <x:c r="F2145" s="11"/>
    </x:row>
    <x:row r="2146" spans="6:6" x14ac:dyDescent="0.25">
      <x:c r="F2146" s="11"/>
    </x:row>
    <x:row r="2147" spans="6:6" x14ac:dyDescent="0.25">
      <x:c r="F2147" s="11"/>
    </x:row>
    <x:row r="2148" spans="6:6" x14ac:dyDescent="0.25">
      <x:c r="F2148" s="11"/>
    </x:row>
    <x:row r="2149" spans="6:6" x14ac:dyDescent="0.25">
      <x:c r="F2149" s="11"/>
    </x:row>
    <x:row r="2150" spans="6:6" x14ac:dyDescent="0.25">
      <x:c r="F2150" s="11"/>
    </x:row>
    <x:row r="2151" spans="6:6" x14ac:dyDescent="0.25">
      <x:c r="F2151" s="11"/>
    </x:row>
    <x:row r="2152" spans="6:6" x14ac:dyDescent="0.25">
      <x:c r="F2152" s="11"/>
    </x:row>
    <x:row r="2153" spans="6:6" x14ac:dyDescent="0.25">
      <x:c r="F2153" s="11"/>
    </x:row>
    <x:row r="2154" spans="6:6" x14ac:dyDescent="0.25">
      <x:c r="F2154" s="11"/>
    </x:row>
    <x:row r="2155" spans="6:6" x14ac:dyDescent="0.25">
      <x:c r="F2155" s="11"/>
    </x:row>
    <x:row r="2156" spans="6:6" x14ac:dyDescent="0.25">
      <x:c r="F2156" s="11"/>
    </x:row>
    <x:row r="2157" spans="6:6" x14ac:dyDescent="0.25">
      <x:c r="F2157" s="11"/>
    </x:row>
    <x:row r="2158" spans="6:6" x14ac:dyDescent="0.25">
      <x:c r="F2158" s="11"/>
    </x:row>
    <x:row r="2159" spans="6:6" x14ac:dyDescent="0.25">
      <x:c r="F2159" s="11"/>
    </x:row>
    <x:row r="2160" spans="6:6" x14ac:dyDescent="0.25">
      <x:c r="F2160" s="11"/>
    </x:row>
    <x:row r="2161" spans="6:6" x14ac:dyDescent="0.25">
      <x:c r="F2161" s="11"/>
    </x:row>
    <x:row r="2162" spans="6:6" x14ac:dyDescent="0.25">
      <x:c r="F2162" s="11"/>
    </x:row>
    <x:row r="2163" spans="6:6" x14ac:dyDescent="0.25">
      <x:c r="F2163" s="11"/>
    </x:row>
    <x:row r="2164" spans="6:6" x14ac:dyDescent="0.25">
      <x:c r="F2164" s="11"/>
    </x:row>
    <x:row r="2165" spans="6:6" x14ac:dyDescent="0.25">
      <x:c r="F2165" s="11"/>
    </x:row>
    <x:row r="2166" spans="6:6" x14ac:dyDescent="0.25">
      <x:c r="F2166" s="11"/>
    </x:row>
    <x:row r="2167" spans="6:6" x14ac:dyDescent="0.25">
      <x:c r="F2167" s="11"/>
    </x:row>
    <x:row r="2168" spans="6:6" x14ac:dyDescent="0.25">
      <x:c r="F2168" s="11"/>
    </x:row>
    <x:row r="2169" spans="6:6" x14ac:dyDescent="0.25">
      <x:c r="F2169" s="11"/>
    </x:row>
    <x:row r="2170" spans="6:6" x14ac:dyDescent="0.25">
      <x:c r="F2170" s="11"/>
    </x:row>
    <x:row r="2171" spans="6:6" x14ac:dyDescent="0.25">
      <x:c r="F2171" s="11"/>
    </x:row>
    <x:row r="2172" spans="6:6" x14ac:dyDescent="0.25">
      <x:c r="F2172" s="11"/>
    </x:row>
    <x:row r="2173" spans="6:6" x14ac:dyDescent="0.25">
      <x:c r="F2173" s="11"/>
    </x:row>
    <x:row r="2174" spans="6:6" x14ac:dyDescent="0.25">
      <x:c r="F2174" s="11"/>
    </x:row>
    <x:row r="2175" spans="6:6" x14ac:dyDescent="0.25">
      <x:c r="F2175" s="11"/>
    </x:row>
    <x:row r="2176" spans="6:6" x14ac:dyDescent="0.25">
      <x:c r="F2176" s="11"/>
    </x:row>
    <x:row r="2177" spans="6:6" x14ac:dyDescent="0.25">
      <x:c r="F2177" s="11"/>
    </x:row>
    <x:row r="2178" spans="6:6" x14ac:dyDescent="0.25">
      <x:c r="F2178" s="11"/>
    </x:row>
    <x:row r="2179" spans="6:6" x14ac:dyDescent="0.25">
      <x:c r="F2179" s="11"/>
    </x:row>
    <x:row r="2180" spans="6:6" x14ac:dyDescent="0.25">
      <x:c r="F2180" s="11"/>
    </x:row>
    <x:row r="2181" spans="6:6" x14ac:dyDescent="0.25">
      <x:c r="F2181" s="11"/>
    </x:row>
    <x:row r="2182" spans="6:6" x14ac:dyDescent="0.25">
      <x:c r="F2182" s="11"/>
    </x:row>
    <x:row r="2183" spans="6:6" x14ac:dyDescent="0.25">
      <x:c r="F2183" s="11"/>
    </x:row>
    <x:row r="2184" spans="6:6" x14ac:dyDescent="0.25">
      <x:c r="F2184" s="11"/>
    </x:row>
    <x:row r="2185" spans="6:6" x14ac:dyDescent="0.25">
      <x:c r="F2185" s="11"/>
    </x:row>
    <x:row r="2186" spans="6:6" x14ac:dyDescent="0.25">
      <x:c r="F2186" s="11"/>
    </x:row>
    <x:row r="2187" spans="6:6" x14ac:dyDescent="0.25">
      <x:c r="F2187" s="11"/>
    </x:row>
    <x:row r="2188" spans="6:6" x14ac:dyDescent="0.25">
      <x:c r="F2188" s="11"/>
    </x:row>
    <x:row r="2189" spans="6:6" x14ac:dyDescent="0.25">
      <x:c r="F2189" s="11"/>
    </x:row>
    <x:row r="2190" spans="6:6" x14ac:dyDescent="0.25">
      <x:c r="F2190" s="11"/>
    </x:row>
    <x:row r="2191" spans="6:6" x14ac:dyDescent="0.25">
      <x:c r="F2191" s="11"/>
    </x:row>
    <x:row r="2192" spans="6:6" x14ac:dyDescent="0.25">
      <x:c r="F2192" s="11"/>
    </x:row>
    <x:row r="2193" spans="6:6" x14ac:dyDescent="0.25">
      <x:c r="F2193" s="11"/>
    </x:row>
    <x:row r="2194" spans="6:6" x14ac:dyDescent="0.25">
      <x:c r="F2194" s="11"/>
    </x:row>
    <x:row r="2195" spans="6:6" x14ac:dyDescent="0.25">
      <x:c r="F2195" s="11"/>
    </x:row>
    <x:row r="2196" spans="6:6" x14ac:dyDescent="0.25">
      <x:c r="F2196" s="11"/>
    </x:row>
    <x:row r="2197" spans="6:6" x14ac:dyDescent="0.25">
      <x:c r="F2197" s="11"/>
    </x:row>
    <x:row r="2198" spans="6:6" x14ac:dyDescent="0.25">
      <x:c r="F2198" s="11"/>
    </x:row>
    <x:row r="2199" spans="6:6" x14ac:dyDescent="0.25">
      <x:c r="F2199" s="11"/>
    </x:row>
    <x:row r="2200" spans="6:6" x14ac:dyDescent="0.25">
      <x:c r="F2200" s="11"/>
    </x:row>
    <x:row r="2201" spans="6:6" x14ac:dyDescent="0.25">
      <x:c r="F2201" s="11"/>
    </x:row>
    <x:row r="2202" spans="6:6" x14ac:dyDescent="0.25">
      <x:c r="F2202" s="11"/>
    </x:row>
    <x:row r="2203" spans="6:6" x14ac:dyDescent="0.25">
      <x:c r="F2203" s="11"/>
    </x:row>
    <x:row r="2204" spans="6:6" x14ac:dyDescent="0.25">
      <x:c r="F2204" s="11"/>
    </x:row>
    <x:row r="2205" spans="6:6" x14ac:dyDescent="0.25">
      <x:c r="F2205" s="11"/>
    </x:row>
    <x:row r="2206" spans="6:6" x14ac:dyDescent="0.25">
      <x:c r="F2206" s="11"/>
    </x:row>
    <x:row r="2207" spans="6:6" x14ac:dyDescent="0.25">
      <x:c r="F2207" s="11"/>
    </x:row>
    <x:row r="2208" spans="6:6" x14ac:dyDescent="0.25">
      <x:c r="F2208" s="11"/>
    </x:row>
    <x:row r="2209" spans="6:6" x14ac:dyDescent="0.25">
      <x:c r="F2209" s="11"/>
    </x:row>
    <x:row r="2210" spans="6:6" x14ac:dyDescent="0.25">
      <x:c r="F2210" s="11"/>
    </x:row>
    <x:row r="2211" spans="6:6" x14ac:dyDescent="0.25">
      <x:c r="F2211" s="11"/>
    </x:row>
    <x:row r="2212" spans="6:6" x14ac:dyDescent="0.25">
      <x:c r="F2212" s="11"/>
    </x:row>
    <x:row r="2213" spans="6:6" x14ac:dyDescent="0.25">
      <x:c r="F2213" s="11"/>
    </x:row>
    <x:row r="2214" spans="6:6" x14ac:dyDescent="0.25">
      <x:c r="F2214" s="11"/>
    </x:row>
    <x:row r="2215" spans="6:6" x14ac:dyDescent="0.25">
      <x:c r="F2215" s="11"/>
    </x:row>
    <x:row r="2216" spans="6:6" x14ac:dyDescent="0.25">
      <x:c r="F2216" s="11"/>
    </x:row>
    <x:row r="2217" spans="6:6" x14ac:dyDescent="0.25">
      <x:c r="F2217" s="11"/>
    </x:row>
    <x:row r="2218" spans="6:6" x14ac:dyDescent="0.25">
      <x:c r="F2218" s="11"/>
    </x:row>
    <x:row r="2219" spans="6:6" x14ac:dyDescent="0.25">
      <x:c r="F2219" s="11"/>
    </x:row>
    <x:row r="2220" spans="6:6" x14ac:dyDescent="0.25">
      <x:c r="F2220" s="11"/>
    </x:row>
    <x:row r="2221" spans="6:6" x14ac:dyDescent="0.25">
      <x:c r="F2221" s="11"/>
    </x:row>
    <x:row r="2222" spans="6:6" x14ac:dyDescent="0.25">
      <x:c r="F2222" s="11"/>
    </x:row>
    <x:row r="2223" spans="6:6" x14ac:dyDescent="0.25">
      <x:c r="F2223" s="11"/>
    </x:row>
    <x:row r="2224" spans="6:6" x14ac:dyDescent="0.25">
      <x:c r="F2224" s="11"/>
    </x:row>
    <x:row r="2225" spans="6:6" x14ac:dyDescent="0.25">
      <x:c r="F2225" s="11"/>
    </x:row>
    <x:row r="2226" spans="6:6" x14ac:dyDescent="0.25">
      <x:c r="F2226" s="11"/>
    </x:row>
    <x:row r="2227" spans="6:6" x14ac:dyDescent="0.25">
      <x:c r="F2227" s="11"/>
    </x:row>
    <x:row r="2228" spans="6:6" x14ac:dyDescent="0.25">
      <x:c r="F2228" s="11"/>
    </x:row>
    <x:row r="2229" spans="6:6" x14ac:dyDescent="0.25">
      <x:c r="F2229" s="11"/>
    </x:row>
    <x:row r="2230" spans="6:6" x14ac:dyDescent="0.25">
      <x:c r="F2230" s="11"/>
    </x:row>
    <x:row r="2231" spans="6:6" x14ac:dyDescent="0.25">
      <x:c r="F2231" s="11"/>
    </x:row>
    <x:row r="2232" spans="6:6" x14ac:dyDescent="0.25">
      <x:c r="F2232" s="11"/>
    </x:row>
    <x:row r="2233" spans="6:6" x14ac:dyDescent="0.25">
      <x:c r="F2233" s="11"/>
    </x:row>
    <x:row r="2234" spans="6:6" x14ac:dyDescent="0.25">
      <x:c r="F2234" s="11"/>
    </x:row>
    <x:row r="2235" spans="6:6" x14ac:dyDescent="0.25">
      <x:c r="F2235" s="11"/>
    </x:row>
    <x:row r="2236" spans="6:6" x14ac:dyDescent="0.25">
      <x:c r="F2236" s="11"/>
    </x:row>
    <x:row r="2237" spans="6:6" x14ac:dyDescent="0.25">
      <x:c r="F2237" s="11"/>
    </x:row>
    <x:row r="2238" spans="6:6" x14ac:dyDescent="0.25">
      <x:c r="F2238" s="11"/>
    </x:row>
    <x:row r="2239" spans="6:6" x14ac:dyDescent="0.25">
      <x:c r="F2239" s="11"/>
    </x:row>
    <x:row r="2240" spans="6:6" x14ac:dyDescent="0.25">
      <x:c r="F2240" s="11"/>
    </x:row>
    <x:row r="2241" spans="6:6" x14ac:dyDescent="0.25">
      <x:c r="F2241" s="11"/>
    </x:row>
    <x:row r="2242" spans="6:6" x14ac:dyDescent="0.25">
      <x:c r="F2242" s="11"/>
    </x:row>
    <x:row r="2243" spans="6:6" x14ac:dyDescent="0.25">
      <x:c r="F2243" s="11"/>
    </x:row>
    <x:row r="2244" spans="6:6" x14ac:dyDescent="0.25">
      <x:c r="F2244" s="11"/>
    </x:row>
    <x:row r="2245" spans="6:6" x14ac:dyDescent="0.25">
      <x:c r="F2245" s="11"/>
    </x:row>
    <x:row r="2246" spans="6:6" x14ac:dyDescent="0.25">
      <x:c r="F2246" s="11"/>
    </x:row>
    <x:row r="2247" spans="6:6" x14ac:dyDescent="0.25">
      <x:c r="F2247" s="11"/>
    </x:row>
    <x:row r="2248" spans="6:6" x14ac:dyDescent="0.25">
      <x:c r="F2248" s="11"/>
    </x:row>
    <x:row r="2249" spans="6:6" x14ac:dyDescent="0.25">
      <x:c r="F2249" s="11"/>
    </x:row>
    <x:row r="2250" spans="6:6" x14ac:dyDescent="0.25">
      <x:c r="F2250" s="11"/>
    </x:row>
    <x:row r="2251" spans="6:6" x14ac:dyDescent="0.25">
      <x:c r="F2251" s="11"/>
    </x:row>
    <x:row r="2252" spans="6:6" x14ac:dyDescent="0.25">
      <x:c r="F2252" s="11"/>
    </x:row>
    <x:row r="2253" spans="6:6" x14ac:dyDescent="0.25">
      <x:c r="F2253" s="11"/>
    </x:row>
    <x:row r="2254" spans="6:6" x14ac:dyDescent="0.25">
      <x:c r="F2254" s="11"/>
    </x:row>
    <x:row r="2255" spans="6:6" x14ac:dyDescent="0.25">
      <x:c r="F2255" s="11"/>
    </x:row>
    <x:row r="2256" spans="6:6" x14ac:dyDescent="0.25">
      <x:c r="F2256" s="11"/>
    </x:row>
    <x:row r="2257" spans="6:6" x14ac:dyDescent="0.25">
      <x:c r="F2257" s="11"/>
    </x:row>
    <x:row r="2258" spans="6:6" x14ac:dyDescent="0.25">
      <x:c r="F2258" s="11"/>
    </x:row>
    <x:row r="2259" spans="6:6" x14ac:dyDescent="0.25">
      <x:c r="F2259" s="11"/>
    </x:row>
    <x:row r="2260" spans="6:6" x14ac:dyDescent="0.25">
      <x:c r="F2260" s="11"/>
    </x:row>
    <x:row r="2261" spans="6:6" x14ac:dyDescent="0.25">
      <x:c r="F2261" s="11"/>
    </x:row>
    <x:row r="2262" spans="6:6" x14ac:dyDescent="0.25">
      <x:c r="F2262" s="11"/>
    </x:row>
    <x:row r="2263" spans="6:6" x14ac:dyDescent="0.25">
      <x:c r="F2263" s="11"/>
    </x:row>
    <x:row r="2264" spans="6:6" x14ac:dyDescent="0.25">
      <x:c r="F2264" s="11"/>
    </x:row>
    <x:row r="2265" spans="6:6" x14ac:dyDescent="0.25">
      <x:c r="F2265" s="11"/>
    </x:row>
    <x:row r="2266" spans="6:6" x14ac:dyDescent="0.25">
      <x:c r="F2266" s="11"/>
    </x:row>
    <x:row r="2267" spans="6:6" x14ac:dyDescent="0.25">
      <x:c r="F2267" s="11"/>
    </x:row>
    <x:row r="2268" spans="6:6" x14ac:dyDescent="0.25">
      <x:c r="F2268" s="11"/>
    </x:row>
    <x:row r="2269" spans="6:6" x14ac:dyDescent="0.25">
      <x:c r="F2269" s="11"/>
    </x:row>
    <x:row r="2270" spans="6:6" x14ac:dyDescent="0.25">
      <x:c r="F2270" s="11"/>
    </x:row>
    <x:row r="2271" spans="6:6" x14ac:dyDescent="0.25">
      <x:c r="F2271" s="11"/>
    </x:row>
    <x:row r="2272" spans="6:6" x14ac:dyDescent="0.25">
      <x:c r="F2272" s="11"/>
    </x:row>
    <x:row r="2273" spans="6:6" x14ac:dyDescent="0.25">
      <x:c r="F2273" s="11"/>
    </x:row>
    <x:row r="2274" spans="6:6" x14ac:dyDescent="0.25">
      <x:c r="F2274" s="11"/>
    </x:row>
    <x:row r="2275" spans="6:6" x14ac:dyDescent="0.25">
      <x:c r="F2275" s="11"/>
    </x:row>
    <x:row r="2276" spans="6:6" x14ac:dyDescent="0.25">
      <x:c r="F2276" s="11"/>
    </x:row>
    <x:row r="2277" spans="6:6" x14ac:dyDescent="0.25">
      <x:c r="F2277" s="11"/>
    </x:row>
    <x:row r="2278" spans="6:6" x14ac:dyDescent="0.25">
      <x:c r="F2278" s="11"/>
    </x:row>
    <x:row r="2279" spans="6:6" x14ac:dyDescent="0.25">
      <x:c r="F2279" s="11"/>
    </x:row>
    <x:row r="2280" spans="6:6" x14ac:dyDescent="0.25">
      <x:c r="F2280" s="11"/>
    </x:row>
    <x:row r="2281" spans="6:6" x14ac:dyDescent="0.25">
      <x:c r="F2281" s="11"/>
    </x:row>
    <x:row r="2282" spans="6:6" x14ac:dyDescent="0.25">
      <x:c r="F2282" s="11"/>
    </x:row>
    <x:row r="2283" spans="6:6" x14ac:dyDescent="0.25">
      <x:c r="F2283" s="11"/>
    </x:row>
    <x:row r="2284" spans="6:6" x14ac:dyDescent="0.25">
      <x:c r="F2284" s="11"/>
    </x:row>
    <x:row r="2285" spans="6:6" x14ac:dyDescent="0.25">
      <x:c r="F2285" s="11"/>
    </x:row>
    <x:row r="2286" spans="6:6" x14ac:dyDescent="0.25">
      <x:c r="F2286" s="11"/>
    </x:row>
    <x:row r="2287" spans="6:6" x14ac:dyDescent="0.25">
      <x:c r="F2287" s="11"/>
    </x:row>
    <x:row r="2288" spans="6:6" x14ac:dyDescent="0.25">
      <x:c r="F2288" s="11"/>
    </x:row>
    <x:row r="2289" spans="6:6" x14ac:dyDescent="0.25">
      <x:c r="F2289" s="11"/>
    </x:row>
    <x:row r="2290" spans="6:6" x14ac:dyDescent="0.25">
      <x:c r="F2290" s="11"/>
    </x:row>
    <x:row r="2291" spans="6:6" x14ac:dyDescent="0.25">
      <x:c r="F2291" s="11"/>
    </x:row>
    <x:row r="2292" spans="6:6" x14ac:dyDescent="0.25">
      <x:c r="F2292" s="11"/>
    </x:row>
    <x:row r="2293" spans="6:6" x14ac:dyDescent="0.25">
      <x:c r="F2293" s="11"/>
    </x:row>
    <x:row r="2294" spans="6:6" x14ac:dyDescent="0.25">
      <x:c r="F2294" s="11"/>
    </x:row>
    <x:row r="2295" spans="6:6" x14ac:dyDescent="0.25">
      <x:c r="F2295" s="11"/>
    </x:row>
    <x:row r="2296" spans="6:6" x14ac:dyDescent="0.25">
      <x:c r="F2296" s="11"/>
    </x:row>
    <x:row r="2297" spans="6:6" x14ac:dyDescent="0.25">
      <x:c r="F2297" s="11"/>
    </x:row>
    <x:row r="2298" spans="6:6" x14ac:dyDescent="0.25">
      <x:c r="F2298" s="11"/>
    </x:row>
    <x:row r="2299" spans="6:6" x14ac:dyDescent="0.25">
      <x:c r="F2299" s="11"/>
    </x:row>
    <x:row r="2300" spans="6:6" x14ac:dyDescent="0.25">
      <x:c r="F2300" s="11"/>
    </x:row>
    <x:row r="2301" spans="6:6" x14ac:dyDescent="0.25">
      <x:c r="F2301" s="11"/>
    </x:row>
    <x:row r="2302" spans="6:6" x14ac:dyDescent="0.25">
      <x:c r="F2302" s="11"/>
    </x:row>
    <x:row r="2303" spans="6:6" x14ac:dyDescent="0.25">
      <x:c r="F2303" s="11"/>
    </x:row>
    <x:row r="2304" spans="6:6" x14ac:dyDescent="0.25">
      <x:c r="F2304" s="11"/>
    </x:row>
    <x:row r="2305" spans="6:6" x14ac:dyDescent="0.25">
      <x:c r="F2305" s="11"/>
    </x:row>
    <x:row r="2306" spans="6:6" x14ac:dyDescent="0.25">
      <x:c r="F2306" s="11"/>
    </x:row>
    <x:row r="2307" spans="6:6" x14ac:dyDescent="0.25">
      <x:c r="F2307" s="11"/>
    </x:row>
    <x:row r="2308" spans="6:6" x14ac:dyDescent="0.25">
      <x:c r="F2308" s="11"/>
    </x:row>
    <x:row r="2309" spans="6:6" x14ac:dyDescent="0.25">
      <x:c r="F2309" s="11"/>
    </x:row>
    <x:row r="2310" spans="6:6" x14ac:dyDescent="0.25">
      <x:c r="F2310" s="11"/>
    </x:row>
    <x:row r="2311" spans="6:6" x14ac:dyDescent="0.25">
      <x:c r="F2311" s="11"/>
    </x:row>
    <x:row r="2312" spans="6:6" x14ac:dyDescent="0.25">
      <x:c r="F2312" s="11"/>
    </x:row>
    <x:row r="2313" spans="6:6" x14ac:dyDescent="0.25">
      <x:c r="F2313" s="11"/>
    </x:row>
    <x:row r="2314" spans="6:6" x14ac:dyDescent="0.25">
      <x:c r="F2314" s="11"/>
    </x:row>
    <x:row r="2315" spans="6:6" x14ac:dyDescent="0.25">
      <x:c r="F2315" s="11"/>
    </x:row>
    <x:row r="2316" spans="6:6" x14ac:dyDescent="0.25">
      <x:c r="F2316" s="11"/>
    </x:row>
    <x:row r="2317" spans="6:6" x14ac:dyDescent="0.25">
      <x:c r="F2317" s="11"/>
    </x:row>
    <x:row r="2318" spans="6:6" x14ac:dyDescent="0.25">
      <x:c r="F2318" s="11"/>
    </x:row>
    <x:row r="2319" spans="6:6" x14ac:dyDescent="0.25">
      <x:c r="F2319" s="11"/>
    </x:row>
    <x:row r="2320" spans="6:6" x14ac:dyDescent="0.25">
      <x:c r="F2320" s="11"/>
    </x:row>
    <x:row r="2321" spans="6:6" x14ac:dyDescent="0.25">
      <x:c r="F2321" s="11"/>
    </x:row>
    <x:row r="2322" spans="6:6" x14ac:dyDescent="0.25">
      <x:c r="F2322" s="11"/>
    </x:row>
    <x:row r="2323" spans="6:6" x14ac:dyDescent="0.25">
      <x:c r="F2323" s="11"/>
    </x:row>
    <x:row r="2324" spans="6:6" x14ac:dyDescent="0.25">
      <x:c r="F2324" s="11"/>
    </x:row>
    <x:row r="2325" spans="6:6" x14ac:dyDescent="0.25">
      <x:c r="F2325" s="11"/>
    </x:row>
    <x:row r="2326" spans="6:6" x14ac:dyDescent="0.25">
      <x:c r="F2326" s="11"/>
    </x:row>
    <x:row r="2327" spans="6:6" x14ac:dyDescent="0.25">
      <x:c r="F2327" s="11"/>
    </x:row>
    <x:row r="2328" spans="6:6" x14ac:dyDescent="0.25">
      <x:c r="F2328" s="11"/>
    </x:row>
    <x:row r="2329" spans="6:6" x14ac:dyDescent="0.25">
      <x:c r="F2329" s="11"/>
    </x:row>
    <x:row r="2330" spans="6:6" x14ac:dyDescent="0.25">
      <x:c r="F2330" s="11"/>
    </x:row>
    <x:row r="2331" spans="6:6" x14ac:dyDescent="0.25">
      <x:c r="F2331" s="11"/>
    </x:row>
    <x:row r="2332" spans="6:6" x14ac:dyDescent="0.25">
      <x:c r="F2332" s="11"/>
    </x:row>
    <x:row r="2333" spans="6:6" x14ac:dyDescent="0.25">
      <x:c r="F2333" s="11"/>
    </x:row>
    <x:row r="2334" spans="6:6" x14ac:dyDescent="0.25">
      <x:c r="F2334" s="11"/>
    </x:row>
    <x:row r="2335" spans="6:6" x14ac:dyDescent="0.25">
      <x:c r="F2335" s="11"/>
    </x:row>
    <x:row r="2336" spans="6:6" x14ac:dyDescent="0.25">
      <x:c r="F2336" s="11"/>
    </x:row>
    <x:row r="2337" spans="6:6" x14ac:dyDescent="0.25">
      <x:c r="F2337" s="11"/>
    </x:row>
    <x:row r="2338" spans="6:6" x14ac:dyDescent="0.25">
      <x:c r="F2338" s="11"/>
    </x:row>
    <x:row r="2339" spans="6:6" x14ac:dyDescent="0.25">
      <x:c r="F2339" s="11"/>
    </x:row>
    <x:row r="2340" spans="6:6" x14ac:dyDescent="0.25">
      <x:c r="F2340" s="11"/>
    </x:row>
    <x:row r="2341" spans="6:6" x14ac:dyDescent="0.25">
      <x:c r="F2341" s="11"/>
    </x:row>
    <x:row r="2342" spans="6:6" x14ac:dyDescent="0.25">
      <x:c r="F2342" s="11"/>
    </x:row>
    <x:row r="2343" spans="6:6" x14ac:dyDescent="0.25">
      <x:c r="F2343" s="11"/>
    </x:row>
    <x:row r="2344" spans="6:6" x14ac:dyDescent="0.25">
      <x:c r="F2344" s="11"/>
    </x:row>
    <x:row r="2345" spans="6:6" x14ac:dyDescent="0.25">
      <x:c r="F2345" s="11"/>
    </x:row>
    <x:row r="2346" spans="6:6" x14ac:dyDescent="0.25">
      <x:c r="F2346" s="11"/>
    </x:row>
    <x:row r="2347" spans="6:6" x14ac:dyDescent="0.25">
      <x:c r="F2347" s="11"/>
    </x:row>
    <x:row r="2348" spans="6:6" x14ac:dyDescent="0.25">
      <x:c r="F2348" s="11"/>
    </x:row>
    <x:row r="2349" spans="6:6" x14ac:dyDescent="0.25">
      <x:c r="F2349" s="11"/>
    </x:row>
    <x:row r="2350" spans="6:6" x14ac:dyDescent="0.25">
      <x:c r="F2350" s="11"/>
    </x:row>
    <x:row r="2351" spans="6:6" x14ac:dyDescent="0.25">
      <x:c r="F2351" s="11"/>
    </x:row>
    <x:row r="2352" spans="6:6" x14ac:dyDescent="0.25">
      <x:c r="F2352" s="11"/>
    </x:row>
    <x:row r="2353" spans="6:6" x14ac:dyDescent="0.25">
      <x:c r="F2353" s="11"/>
    </x:row>
    <x:row r="2354" spans="6:6" x14ac:dyDescent="0.25">
      <x:c r="F2354" s="11"/>
    </x:row>
    <x:row r="2355" spans="6:6" x14ac:dyDescent="0.25">
      <x:c r="F2355" s="11"/>
    </x:row>
    <x:row r="2356" spans="6:6" x14ac:dyDescent="0.25">
      <x:c r="F2356" s="11"/>
    </x:row>
    <x:row r="2357" spans="6:6" x14ac:dyDescent="0.25">
      <x:c r="F2357" s="11"/>
    </x:row>
    <x:row r="2358" spans="6:6" x14ac:dyDescent="0.25">
      <x:c r="F2358" s="11"/>
    </x:row>
    <x:row r="2359" spans="6:6" x14ac:dyDescent="0.25">
      <x:c r="F2359" s="11"/>
    </x:row>
    <x:row r="2360" spans="6:6" x14ac:dyDescent="0.25">
      <x:c r="F2360" s="11"/>
    </x:row>
    <x:row r="2361" spans="6:6" x14ac:dyDescent="0.25">
      <x:c r="F2361" s="11"/>
    </x:row>
    <x:row r="2362" spans="6:6" x14ac:dyDescent="0.25">
      <x:c r="F2362" s="11"/>
    </x:row>
    <x:row r="2363" spans="6:6" x14ac:dyDescent="0.25">
      <x:c r="F2363" s="11"/>
    </x:row>
    <x:row r="2364" spans="6:6" x14ac:dyDescent="0.25">
      <x:c r="F2364" s="11"/>
    </x:row>
    <x:row r="2365" spans="6:6" x14ac:dyDescent="0.25">
      <x:c r="F2365" s="11"/>
    </x:row>
    <x:row r="2366" spans="6:6" x14ac:dyDescent="0.25">
      <x:c r="F2366" s="11"/>
    </x:row>
    <x:row r="2367" spans="6:6" x14ac:dyDescent="0.25">
      <x:c r="F2367" s="11"/>
    </x:row>
    <x:row r="2368" spans="6:6" x14ac:dyDescent="0.25">
      <x:c r="F2368" s="11"/>
    </x:row>
    <x:row r="2369" spans="6:6" x14ac:dyDescent="0.25">
      <x:c r="F2369" s="11"/>
    </x:row>
    <x:row r="2370" spans="6:6" x14ac:dyDescent="0.25">
      <x:c r="F2370" s="11"/>
    </x:row>
    <x:row r="2371" spans="6:6" x14ac:dyDescent="0.25">
      <x:c r="F2371" s="11"/>
    </x:row>
    <x:row r="2372" spans="6:6" x14ac:dyDescent="0.25">
      <x:c r="F2372" s="11"/>
    </x:row>
    <x:row r="2373" spans="6:6" x14ac:dyDescent="0.25">
      <x:c r="F2373" s="11"/>
    </x:row>
    <x:row r="2374" spans="6:6" x14ac:dyDescent="0.25">
      <x:c r="F2374" s="11"/>
    </x:row>
    <x:row r="2375" spans="6:6" x14ac:dyDescent="0.25">
      <x:c r="F2375" s="11"/>
    </x:row>
    <x:row r="2376" spans="6:6" x14ac:dyDescent="0.25">
      <x:c r="F2376" s="11"/>
    </x:row>
    <x:row r="2377" spans="6:6" x14ac:dyDescent="0.25">
      <x:c r="F2377" s="11"/>
    </x:row>
    <x:row r="2378" spans="6:6" x14ac:dyDescent="0.25">
      <x:c r="F2378" s="11"/>
    </x:row>
    <x:row r="2379" spans="6:6" x14ac:dyDescent="0.25">
      <x:c r="F2379" s="11"/>
    </x:row>
    <x:row r="2380" spans="6:6" x14ac:dyDescent="0.25">
      <x:c r="F2380" s="11"/>
    </x:row>
    <x:row r="2381" spans="6:6" x14ac:dyDescent="0.25">
      <x:c r="F2381" s="11"/>
    </x:row>
    <x:row r="2382" spans="6:6" x14ac:dyDescent="0.25">
      <x:c r="F2382" s="11"/>
    </x:row>
    <x:row r="2383" spans="6:6" x14ac:dyDescent="0.25">
      <x:c r="F2383" s="11"/>
    </x:row>
    <x:row r="2384" spans="6:6" x14ac:dyDescent="0.25">
      <x:c r="F2384" s="11"/>
    </x:row>
    <x:row r="2385" spans="6:6" x14ac:dyDescent="0.25">
      <x:c r="F2385" s="11"/>
    </x:row>
    <x:row r="2386" spans="6:6" x14ac:dyDescent="0.25">
      <x:c r="F2386" s="11"/>
    </x:row>
    <x:row r="2387" spans="6:6" x14ac:dyDescent="0.25">
      <x:c r="F2387" s="11"/>
    </x:row>
    <x:row r="2388" spans="6:6" x14ac:dyDescent="0.25">
      <x:c r="F2388" s="11"/>
    </x:row>
    <x:row r="2389" spans="6:6" x14ac:dyDescent="0.25">
      <x:c r="F2389" s="11"/>
    </x:row>
    <x:row r="2390" spans="6:6" x14ac:dyDescent="0.25">
      <x:c r="F2390" s="11"/>
    </x:row>
    <x:row r="2391" spans="6:6" x14ac:dyDescent="0.25">
      <x:c r="F2391" s="11"/>
    </x:row>
    <x:row r="2392" spans="6:6" x14ac:dyDescent="0.25">
      <x:c r="F2392" s="11"/>
    </x:row>
    <x:row r="2393" spans="6:6" x14ac:dyDescent="0.25">
      <x:c r="F2393" s="11"/>
    </x:row>
    <x:row r="2394" spans="6:6" x14ac:dyDescent="0.25">
      <x:c r="F2394" s="11"/>
    </x:row>
    <x:row r="2395" spans="6:6" x14ac:dyDescent="0.25">
      <x:c r="F2395" s="11"/>
    </x:row>
    <x:row r="2396" spans="6:6" x14ac:dyDescent="0.25">
      <x:c r="F2396" s="11"/>
    </x:row>
    <x:row r="2397" spans="6:6" x14ac:dyDescent="0.25">
      <x:c r="F2397" s="11"/>
    </x:row>
    <x:row r="2398" spans="6:6" x14ac:dyDescent="0.25">
      <x:c r="F2398" s="11"/>
    </x:row>
    <x:row r="2399" spans="6:6" x14ac:dyDescent="0.25">
      <x:c r="F2399" s="11"/>
    </x:row>
    <x:row r="2400" spans="6:6" x14ac:dyDescent="0.25">
      <x:c r="F2400" s="11"/>
    </x:row>
    <x:row r="2401" spans="6:6" x14ac:dyDescent="0.25">
      <x:c r="F2401" s="11"/>
    </x:row>
    <x:row r="2402" spans="6:6" x14ac:dyDescent="0.25">
      <x:c r="F2402" s="11"/>
    </x:row>
    <x:row r="2403" spans="6:6" x14ac:dyDescent="0.25">
      <x:c r="F2403" s="11"/>
    </x:row>
    <x:row r="2404" spans="6:6" x14ac:dyDescent="0.25">
      <x:c r="F2404" s="11"/>
    </x:row>
    <x:row r="2405" spans="6:6" x14ac:dyDescent="0.25">
      <x:c r="F2405" s="11"/>
    </x:row>
    <x:row r="2406" spans="6:6" x14ac:dyDescent="0.25">
      <x:c r="F2406" s="11"/>
    </x:row>
    <x:row r="2407" spans="6:6" x14ac:dyDescent="0.25">
      <x:c r="F2407" s="11"/>
    </x:row>
    <x:row r="2408" spans="6:6" x14ac:dyDescent="0.25">
      <x:c r="F2408" s="11"/>
    </x:row>
    <x:row r="2409" spans="6:6" x14ac:dyDescent="0.25">
      <x:c r="F2409" s="11"/>
    </x:row>
    <x:row r="2410" spans="6:6" x14ac:dyDescent="0.25">
      <x:c r="F2410" s="11"/>
    </x:row>
    <x:row r="2411" spans="6:6" x14ac:dyDescent="0.25">
      <x:c r="F2411" s="11"/>
    </x:row>
    <x:row r="2412" spans="6:6" x14ac:dyDescent="0.25">
      <x:c r="F2412" s="11"/>
    </x:row>
    <x:row r="2413" spans="6:6" x14ac:dyDescent="0.25">
      <x:c r="F2413" s="11"/>
    </x:row>
    <x:row r="2414" spans="6:6" x14ac:dyDescent="0.25">
      <x:c r="F2414" s="11"/>
    </x:row>
    <x:row r="2415" spans="6:6" x14ac:dyDescent="0.25">
      <x:c r="F2415" s="11"/>
    </x:row>
    <x:row r="2416" spans="6:6" x14ac:dyDescent="0.25">
      <x:c r="F2416" s="11"/>
    </x:row>
    <x:row r="2417" spans="6:6" x14ac:dyDescent="0.25">
      <x:c r="F2417" s="11"/>
    </x:row>
    <x:row r="2418" spans="6:6" x14ac:dyDescent="0.25">
      <x:c r="F2418" s="11"/>
    </x:row>
    <x:row r="2419" spans="6:6" x14ac:dyDescent="0.25">
      <x:c r="F2419" s="11"/>
    </x:row>
    <x:row r="2420" spans="6:6" x14ac:dyDescent="0.25">
      <x:c r="F2420" s="11"/>
    </x:row>
    <x:row r="2421" spans="6:6" x14ac:dyDescent="0.25">
      <x:c r="F2421" s="11"/>
    </x:row>
    <x:row r="2422" spans="6:6" x14ac:dyDescent="0.25">
      <x:c r="F2422" s="11"/>
    </x:row>
    <x:row r="2423" spans="6:6" x14ac:dyDescent="0.25">
      <x:c r="F2423" s="11"/>
    </x:row>
    <x:row r="2424" spans="6:6" x14ac:dyDescent="0.25">
      <x:c r="F2424" s="11"/>
    </x:row>
    <x:row r="2425" spans="6:6" x14ac:dyDescent="0.25">
      <x:c r="F2425" s="11"/>
    </x:row>
    <x:row r="2426" spans="6:6" x14ac:dyDescent="0.25">
      <x:c r="F2426" s="11"/>
    </x:row>
    <x:row r="2427" spans="6:6" x14ac:dyDescent="0.25">
      <x:c r="F2427" s="11"/>
    </x:row>
    <x:row r="2428" spans="6:6" x14ac:dyDescent="0.25">
      <x:c r="F2428" s="11"/>
    </x:row>
    <x:row r="2429" spans="6:6" x14ac:dyDescent="0.25">
      <x:c r="F2429" s="11"/>
    </x:row>
    <x:row r="2430" spans="6:6" x14ac:dyDescent="0.25">
      <x:c r="F2430" s="11"/>
    </x:row>
    <x:row r="2431" spans="6:6" x14ac:dyDescent="0.25">
      <x:c r="F2431" s="11"/>
    </x:row>
    <x:row r="2432" spans="6:6" x14ac:dyDescent="0.25">
      <x:c r="F2432" s="11"/>
    </x:row>
    <x:row r="2433" spans="6:6" x14ac:dyDescent="0.25">
      <x:c r="F2433" s="11"/>
    </x:row>
    <x:row r="2434" spans="6:6" x14ac:dyDescent="0.25">
      <x:c r="F2434" s="11"/>
    </x:row>
    <x:row r="2435" spans="6:6" x14ac:dyDescent="0.25">
      <x:c r="F2435" s="11"/>
    </x:row>
    <x:row r="2436" spans="6:6" x14ac:dyDescent="0.25">
      <x:c r="F2436" s="11"/>
    </x:row>
    <x:row r="2437" spans="6:6" x14ac:dyDescent="0.25">
      <x:c r="F2437" s="11"/>
    </x:row>
    <x:row r="2438" spans="6:6" x14ac:dyDescent="0.25">
      <x:c r="F2438" s="11"/>
    </x:row>
    <x:row r="2439" spans="6:6" x14ac:dyDescent="0.25">
      <x:c r="F2439" s="11"/>
    </x:row>
    <x:row r="2440" spans="6:6" x14ac:dyDescent="0.25">
      <x:c r="F2440" s="11"/>
    </x:row>
    <x:row r="2441" spans="6:6" x14ac:dyDescent="0.25">
      <x:c r="F2441" s="11"/>
    </x:row>
    <x:row r="2442" spans="6:6" x14ac:dyDescent="0.25">
      <x:c r="F2442" s="11"/>
    </x:row>
    <x:row r="2443" spans="6:6" x14ac:dyDescent="0.25">
      <x:c r="F2443" s="11"/>
    </x:row>
    <x:row r="2444" spans="6:6" x14ac:dyDescent="0.25">
      <x:c r="F2444" s="11"/>
    </x:row>
    <x:row r="2445" spans="6:6" x14ac:dyDescent="0.25">
      <x:c r="F2445" s="11"/>
    </x:row>
    <x:row r="2446" spans="6:6" x14ac:dyDescent="0.25">
      <x:c r="F2446" s="11"/>
    </x:row>
    <x:row r="2447" spans="6:6" x14ac:dyDescent="0.25">
      <x:c r="F2447" s="11"/>
    </x:row>
    <x:row r="2448" spans="6:6" x14ac:dyDescent="0.25">
      <x:c r="F2448" s="11"/>
    </x:row>
    <x:row r="2449" spans="6:6" x14ac:dyDescent="0.25">
      <x:c r="F2449" s="11"/>
    </x:row>
    <x:row r="2450" spans="6:6" x14ac:dyDescent="0.25">
      <x:c r="F2450" s="11"/>
    </x:row>
    <x:row r="2451" spans="6:6" x14ac:dyDescent="0.25">
      <x:c r="F2451" s="11"/>
    </x:row>
    <x:row r="2452" spans="6:6" x14ac:dyDescent="0.25">
      <x:c r="F2452" s="11"/>
    </x:row>
    <x:row r="2453" spans="6:6" x14ac:dyDescent="0.25">
      <x:c r="F2453" s="11"/>
    </x:row>
    <x:row r="2454" spans="6:6" x14ac:dyDescent="0.25">
      <x:c r="F2454" s="11"/>
    </x:row>
    <x:row r="2455" spans="6:6" x14ac:dyDescent="0.25">
      <x:c r="F2455" s="11"/>
    </x:row>
    <x:row r="2456" spans="6:6" x14ac:dyDescent="0.25">
      <x:c r="F2456" s="11"/>
    </x:row>
    <x:row r="2457" spans="6:6" x14ac:dyDescent="0.25">
      <x:c r="F2457" s="11"/>
    </x:row>
    <x:row r="2458" spans="6:6" x14ac:dyDescent="0.25">
      <x:c r="F2458" s="11"/>
    </x:row>
    <x:row r="2459" spans="6:6" x14ac:dyDescent="0.25">
      <x:c r="F2459" s="11"/>
    </x:row>
    <x:row r="2460" spans="6:6" x14ac:dyDescent="0.25">
      <x:c r="F2460" s="11"/>
    </x:row>
    <x:row r="2461" spans="6:6" x14ac:dyDescent="0.25">
      <x:c r="F2461" s="11"/>
    </x:row>
    <x:row r="2462" spans="6:6" x14ac:dyDescent="0.25">
      <x:c r="F2462" s="11"/>
    </x:row>
    <x:row r="2463" spans="6:6" x14ac:dyDescent="0.25">
      <x:c r="F2463" s="11"/>
    </x:row>
    <x:row r="2464" spans="6:6" x14ac:dyDescent="0.25">
      <x:c r="F2464" s="11"/>
    </x:row>
    <x:row r="2465" spans="6:6" x14ac:dyDescent="0.25">
      <x:c r="F2465" s="11"/>
    </x:row>
    <x:row r="2466" spans="6:6" x14ac:dyDescent="0.25">
      <x:c r="F2466" s="11"/>
    </x:row>
    <x:row r="2467" spans="6:6" x14ac:dyDescent="0.25">
      <x:c r="F2467" s="11"/>
    </x:row>
    <x:row r="2468" spans="6:6" x14ac:dyDescent="0.25">
      <x:c r="F2468" s="11"/>
    </x:row>
    <x:row r="2469" spans="6:6" x14ac:dyDescent="0.25">
      <x:c r="F2469" s="11"/>
    </x:row>
    <x:row r="2470" spans="6:6" x14ac:dyDescent="0.25">
      <x:c r="F2470" s="11"/>
    </x:row>
    <x:row r="2471" spans="6:6" x14ac:dyDescent="0.25">
      <x:c r="F2471" s="11"/>
    </x:row>
    <x:row r="2472" spans="6:6" x14ac:dyDescent="0.25">
      <x:c r="F2472" s="11"/>
    </x:row>
    <x:row r="2473" spans="6:6" x14ac:dyDescent="0.25">
      <x:c r="F2473" s="11"/>
    </x:row>
    <x:row r="2474" spans="6:6" x14ac:dyDescent="0.25">
      <x:c r="F2474" s="11"/>
    </x:row>
    <x:row r="2475" spans="6:6" x14ac:dyDescent="0.25">
      <x:c r="F2475" s="11"/>
    </x:row>
    <x:row r="2476" spans="6:6" x14ac:dyDescent="0.25">
      <x:c r="F2476" s="11"/>
    </x:row>
    <x:row r="2477" spans="6:6" x14ac:dyDescent="0.25">
      <x:c r="F2477" s="11"/>
    </x:row>
    <x:row r="2478" spans="6:6" x14ac:dyDescent="0.25">
      <x:c r="F2478" s="11"/>
    </x:row>
    <x:row r="2479" spans="6:6" x14ac:dyDescent="0.25">
      <x:c r="F2479" s="11"/>
    </x:row>
    <x:row r="2480" spans="6:6" x14ac:dyDescent="0.25">
      <x:c r="F2480" s="11"/>
    </x:row>
    <x:row r="2481" spans="6:6" x14ac:dyDescent="0.25">
      <x:c r="F2481" s="11"/>
    </x:row>
    <x:row r="2482" spans="6:6" x14ac:dyDescent="0.25">
      <x:c r="F2482" s="11"/>
    </x:row>
    <x:row r="2483" spans="6:6" x14ac:dyDescent="0.25">
      <x:c r="F2483" s="11"/>
    </x:row>
    <x:row r="2484" spans="6:6" x14ac:dyDescent="0.25">
      <x:c r="F2484" s="11"/>
    </x:row>
    <x:row r="2485" spans="6:6" x14ac:dyDescent="0.25">
      <x:c r="F2485" s="11"/>
    </x:row>
    <x:row r="2486" spans="6:6" x14ac:dyDescent="0.25">
      <x:c r="F2486" s="11"/>
    </x:row>
    <x:row r="2487" spans="6:6" x14ac:dyDescent="0.25">
      <x:c r="F2487" s="11"/>
    </x:row>
    <x:row r="2488" spans="6:6" x14ac:dyDescent="0.25">
      <x:c r="F2488" s="11"/>
    </x:row>
    <x:row r="2489" spans="6:6" x14ac:dyDescent="0.25">
      <x:c r="F2489" s="11"/>
    </x:row>
    <x:row r="2490" spans="6:6" x14ac:dyDescent="0.25">
      <x:c r="F2490" s="11"/>
    </x:row>
    <x:row r="2491" spans="6:6" x14ac:dyDescent="0.25">
      <x:c r="F2491" s="11"/>
    </x:row>
    <x:row r="2492" spans="6:6" x14ac:dyDescent="0.25">
      <x:c r="F2492" s="11"/>
    </x:row>
    <x:row r="2493" spans="6:6" x14ac:dyDescent="0.25">
      <x:c r="F2493" s="11"/>
    </x:row>
    <x:row r="2494" spans="6:6" x14ac:dyDescent="0.25">
      <x:c r="F2494" s="11"/>
    </x:row>
    <x:row r="2495" spans="6:6" x14ac:dyDescent="0.25">
      <x:c r="F2495" s="11"/>
    </x:row>
    <x:row r="2496" spans="6:6" x14ac:dyDescent="0.25">
      <x:c r="F2496" s="11"/>
    </x:row>
    <x:row r="2497" spans="6:6" x14ac:dyDescent="0.25">
      <x:c r="F2497" s="11"/>
    </x:row>
    <x:row r="2498" spans="6:6" x14ac:dyDescent="0.25">
      <x:c r="F2498" s="11"/>
    </x:row>
    <x:row r="2499" spans="6:6" x14ac:dyDescent="0.25">
      <x:c r="F2499" s="11"/>
    </x:row>
    <x:row r="2500" spans="6:6" x14ac:dyDescent="0.25">
      <x:c r="F2500" s="11"/>
    </x:row>
    <x:row r="2501" spans="6:6" x14ac:dyDescent="0.25">
      <x:c r="F2501" s="11"/>
    </x:row>
    <x:row r="2502" spans="6:6" x14ac:dyDescent="0.25">
      <x:c r="F2502" s="11"/>
    </x:row>
    <x:row r="2503" spans="6:6" x14ac:dyDescent="0.25">
      <x:c r="F2503" s="11"/>
    </x:row>
    <x:row r="2504" spans="6:6" x14ac:dyDescent="0.25">
      <x:c r="F2504" s="11"/>
    </x:row>
    <x:row r="2505" spans="6:6" x14ac:dyDescent="0.25">
      <x:c r="F2505" s="11"/>
    </x:row>
    <x:row r="2506" spans="6:6" x14ac:dyDescent="0.25">
      <x:c r="F2506" s="11"/>
    </x:row>
    <x:row r="2507" spans="6:6" x14ac:dyDescent="0.25">
      <x:c r="F2507" s="11"/>
    </x:row>
    <x:row r="2508" spans="6:6" x14ac:dyDescent="0.25">
      <x:c r="F2508" s="11"/>
    </x:row>
    <x:row r="2509" spans="6:6" x14ac:dyDescent="0.25">
      <x:c r="F2509" s="11"/>
    </x:row>
    <x:row r="2510" spans="6:6" x14ac:dyDescent="0.25">
      <x:c r="F2510" s="11"/>
    </x:row>
    <x:row r="2511" spans="6:6" x14ac:dyDescent="0.25">
      <x:c r="F2511" s="11"/>
    </x:row>
    <x:row r="2512" spans="6:6" x14ac:dyDescent="0.25">
      <x:c r="F2512" s="11"/>
    </x:row>
    <x:row r="2513" spans="6:6" x14ac:dyDescent="0.25">
      <x:c r="F2513" s="11"/>
    </x:row>
    <x:row r="2514" spans="6:6" x14ac:dyDescent="0.25">
      <x:c r="F2514" s="11"/>
    </x:row>
    <x:row r="2515" spans="6:6" x14ac:dyDescent="0.25">
      <x:c r="F2515" s="11"/>
    </x:row>
    <x:row r="2516" spans="6:6" x14ac:dyDescent="0.25">
      <x:c r="F2516" s="11"/>
    </x:row>
    <x:row r="2517" spans="6:6" x14ac:dyDescent="0.25">
      <x:c r="F2517" s="11"/>
    </x:row>
    <x:row r="2518" spans="6:6" x14ac:dyDescent="0.25">
      <x:c r="F2518" s="11"/>
    </x:row>
    <x:row r="2519" spans="6:6" x14ac:dyDescent="0.25">
      <x:c r="F2519" s="11"/>
    </x:row>
    <x:row r="2520" spans="6:6" x14ac:dyDescent="0.25">
      <x:c r="F2520" s="11"/>
    </x:row>
    <x:row r="2521" spans="6:6" x14ac:dyDescent="0.25">
      <x:c r="F2521" s="11"/>
    </x:row>
    <x:row r="2522" spans="6:6" x14ac:dyDescent="0.25">
      <x:c r="F2522" s="11"/>
    </x:row>
    <x:row r="2523" spans="6:6" x14ac:dyDescent="0.25">
      <x:c r="F2523" s="11"/>
    </x:row>
    <x:row r="2524" spans="6:6" x14ac:dyDescent="0.25">
      <x:c r="F2524" s="11"/>
    </x:row>
    <x:row r="2525" spans="6:6" x14ac:dyDescent="0.25">
      <x:c r="F2525" s="11"/>
    </x:row>
    <x:row r="2526" spans="6:6" x14ac:dyDescent="0.25">
      <x:c r="F2526" s="11"/>
    </x:row>
    <x:row r="2527" spans="6:6" x14ac:dyDescent="0.25">
      <x:c r="F2527" s="11"/>
    </x:row>
    <x:row r="2528" spans="6:6" x14ac:dyDescent="0.25">
      <x:c r="F2528" s="11"/>
    </x:row>
    <x:row r="2529" spans="6:6" x14ac:dyDescent="0.25">
      <x:c r="F2529" s="11"/>
    </x:row>
    <x:row r="2530" spans="6:6" x14ac:dyDescent="0.25">
      <x:c r="F2530" s="11"/>
    </x:row>
    <x:row r="2531" spans="6:6" x14ac:dyDescent="0.25">
      <x:c r="F2531" s="11"/>
    </x:row>
    <x:row r="2532" spans="6:6" x14ac:dyDescent="0.25">
      <x:c r="F2532" s="11"/>
    </x:row>
    <x:row r="2533" spans="6:6" x14ac:dyDescent="0.25">
      <x:c r="F2533" s="11"/>
    </x:row>
    <x:row r="2534" spans="6:6" x14ac:dyDescent="0.25">
      <x:c r="F2534" s="11"/>
    </x:row>
    <x:row r="2535" spans="6:6" x14ac:dyDescent="0.25">
      <x:c r="F2535" s="11"/>
    </x:row>
    <x:row r="2536" spans="6:6" x14ac:dyDescent="0.25">
      <x:c r="F2536" s="11"/>
    </x:row>
    <x:row r="2537" spans="6:6" x14ac:dyDescent="0.25">
      <x:c r="F2537" s="11"/>
    </x:row>
    <x:row r="2538" spans="6:6" x14ac:dyDescent="0.25">
      <x:c r="F2538" s="11"/>
    </x:row>
    <x:row r="2539" spans="6:6" x14ac:dyDescent="0.25">
      <x:c r="F2539" s="11"/>
    </x:row>
    <x:row r="2540" spans="6:6" x14ac:dyDescent="0.25">
      <x:c r="F2540" s="11"/>
    </x:row>
    <x:row r="2541" spans="6:6" x14ac:dyDescent="0.25">
      <x:c r="F2541" s="11"/>
    </x:row>
    <x:row r="2542" spans="6:6" x14ac:dyDescent="0.25">
      <x:c r="F2542" s="11"/>
    </x:row>
    <x:row r="2543" spans="6:6" x14ac:dyDescent="0.25">
      <x:c r="F2543" s="11"/>
    </x:row>
    <x:row r="2544" spans="6:6" x14ac:dyDescent="0.25">
      <x:c r="F2544" s="11"/>
    </x:row>
    <x:row r="2545" spans="6:6" x14ac:dyDescent="0.25">
      <x:c r="F2545" s="11"/>
    </x:row>
    <x:row r="2546" spans="6:6" x14ac:dyDescent="0.25">
      <x:c r="F2546" s="11"/>
    </x:row>
    <x:row r="2547" spans="6:6" x14ac:dyDescent="0.25">
      <x:c r="F2547" s="11"/>
    </x:row>
    <x:row r="2548" spans="6:6" x14ac:dyDescent="0.25">
      <x:c r="F2548" s="11"/>
    </x:row>
    <x:row r="2549" spans="6:6" x14ac:dyDescent="0.25">
      <x:c r="F2549" s="11"/>
    </x:row>
    <x:row r="2550" spans="6:6" x14ac:dyDescent="0.25">
      <x:c r="F2550" s="11"/>
    </x:row>
    <x:row r="2551" spans="6:6" x14ac:dyDescent="0.25">
      <x:c r="F2551" s="11"/>
    </x:row>
    <x:row r="2552" spans="6:6" x14ac:dyDescent="0.25">
      <x:c r="F2552" s="11"/>
    </x:row>
    <x:row r="2553" spans="6:6" x14ac:dyDescent="0.25">
      <x:c r="F2553" s="11"/>
    </x:row>
    <x:row r="2554" spans="6:6" x14ac:dyDescent="0.25">
      <x:c r="F2554" s="11"/>
    </x:row>
    <x:row r="2555" spans="6:6" x14ac:dyDescent="0.25">
      <x:c r="F2555" s="11"/>
    </x:row>
    <x:row r="2556" spans="6:6" x14ac:dyDescent="0.25">
      <x:c r="F2556" s="11"/>
    </x:row>
    <x:row r="2557" spans="6:6" x14ac:dyDescent="0.25">
      <x:c r="F2557" s="11"/>
    </x:row>
    <x:row r="2558" spans="6:6" x14ac:dyDescent="0.25">
      <x:c r="F2558" s="11"/>
    </x:row>
    <x:row r="2559" spans="6:6" x14ac:dyDescent="0.25">
      <x:c r="F2559" s="11"/>
    </x:row>
    <x:row r="2560" spans="6:6" x14ac:dyDescent="0.25">
      <x:c r="F2560" s="11"/>
    </x:row>
    <x:row r="2561" spans="6:6" x14ac:dyDescent="0.25">
      <x:c r="F2561" s="11"/>
    </x:row>
    <x:row r="2562" spans="6:6" x14ac:dyDescent="0.25">
      <x:c r="F2562" s="11"/>
    </x:row>
    <x:row r="2563" spans="6:6" x14ac:dyDescent="0.25">
      <x:c r="F2563" s="11"/>
    </x:row>
    <x:row r="2564" spans="6:6" x14ac:dyDescent="0.25">
      <x:c r="F2564" s="11"/>
    </x:row>
    <x:row r="2565" spans="6:6" x14ac:dyDescent="0.25">
      <x:c r="F2565" s="11"/>
    </x:row>
    <x:row r="2566" spans="6:6" x14ac:dyDescent="0.25">
      <x:c r="F2566" s="11"/>
    </x:row>
    <x:row r="2567" spans="6:6" x14ac:dyDescent="0.25">
      <x:c r="F2567" s="11"/>
    </x:row>
    <x:row r="2568" spans="6:6" x14ac:dyDescent="0.25">
      <x:c r="F2568" s="11"/>
    </x:row>
    <x:row r="2569" spans="6:6" x14ac:dyDescent="0.25">
      <x:c r="F2569" s="11"/>
    </x:row>
    <x:row r="2570" spans="6:6" x14ac:dyDescent="0.25">
      <x:c r="F2570" s="11"/>
    </x:row>
    <x:row r="2571" spans="6:6" x14ac:dyDescent="0.25">
      <x:c r="F2571" s="11"/>
    </x:row>
    <x:row r="2572" spans="6:6" x14ac:dyDescent="0.25">
      <x:c r="F2572" s="11"/>
    </x:row>
    <x:row r="2573" spans="6:6" x14ac:dyDescent="0.25">
      <x:c r="F2573" s="11"/>
    </x:row>
    <x:row r="2574" spans="6:6" x14ac:dyDescent="0.25">
      <x:c r="F2574" s="11"/>
    </x:row>
    <x:row r="2575" spans="6:6" x14ac:dyDescent="0.25">
      <x:c r="F2575" s="11"/>
    </x:row>
    <x:row r="2576" spans="6:6" x14ac:dyDescent="0.25">
      <x:c r="F2576" s="11"/>
    </x:row>
    <x:row r="2577" spans="6:6" x14ac:dyDescent="0.25">
      <x:c r="F2577" s="11"/>
    </x:row>
    <x:row r="2578" spans="6:6" x14ac:dyDescent="0.25">
      <x:c r="F2578" s="11"/>
    </x:row>
    <x:row r="2579" spans="6:6" x14ac:dyDescent="0.25">
      <x:c r="F2579" s="11"/>
    </x:row>
    <x:row r="2580" spans="6:6" x14ac:dyDescent="0.25">
      <x:c r="F2580" s="11"/>
    </x:row>
    <x:row r="2581" spans="6:6" x14ac:dyDescent="0.25">
      <x:c r="F2581" s="11"/>
    </x:row>
    <x:row r="2582" spans="6:6" x14ac:dyDescent="0.25">
      <x:c r="F2582" s="11"/>
    </x:row>
    <x:row r="2583" spans="6:6" x14ac:dyDescent="0.25">
      <x:c r="F2583" s="11"/>
    </x:row>
    <x:row r="2584" spans="6:6" x14ac:dyDescent="0.25">
      <x:c r="F2584" s="11"/>
    </x:row>
    <x:row r="2585" spans="6:6" x14ac:dyDescent="0.25">
      <x:c r="F2585" s="11"/>
    </x:row>
    <x:row r="2586" spans="6:6" x14ac:dyDescent="0.25">
      <x:c r="F2586" s="11"/>
    </x:row>
    <x:row r="2587" spans="6:6" x14ac:dyDescent="0.25">
      <x:c r="F2587" s="11"/>
    </x:row>
    <x:row r="2588" spans="6:6" x14ac:dyDescent="0.25">
      <x:c r="F2588" s="11"/>
    </x:row>
    <x:row r="2589" spans="6:6" x14ac:dyDescent="0.25">
      <x:c r="F2589" s="11"/>
    </x:row>
    <x:row r="2590" spans="6:6" x14ac:dyDescent="0.25">
      <x:c r="F2590" s="11"/>
    </x:row>
    <x:row r="2591" spans="6:6" x14ac:dyDescent="0.25">
      <x:c r="F2591" s="11"/>
    </x:row>
    <x:row r="2592" spans="6:6" x14ac:dyDescent="0.25">
      <x:c r="F2592" s="11"/>
    </x:row>
    <x:row r="2593" spans="6:6" x14ac:dyDescent="0.25">
      <x:c r="F2593" s="11"/>
    </x:row>
    <x:row r="2594" spans="6:6" x14ac:dyDescent="0.25">
      <x:c r="F2594" s="11"/>
    </x:row>
    <x:row r="2595" spans="6:6" x14ac:dyDescent="0.25">
      <x:c r="F2595" s="11"/>
    </x:row>
    <x:row r="2596" spans="6:6" x14ac:dyDescent="0.25">
      <x:c r="F2596" s="11"/>
    </x:row>
    <x:row r="2597" spans="6:6" x14ac:dyDescent="0.25">
      <x:c r="F2597" s="11"/>
    </x:row>
    <x:row r="2598" spans="6:6" x14ac:dyDescent="0.25">
      <x:c r="F2598" s="11"/>
    </x:row>
    <x:row r="2599" spans="6:6" x14ac:dyDescent="0.25">
      <x:c r="F2599" s="11"/>
    </x:row>
    <x:row r="2600" spans="6:6" x14ac:dyDescent="0.25">
      <x:c r="F2600" s="11"/>
    </x:row>
    <x:row r="2601" spans="6:6" x14ac:dyDescent="0.25">
      <x:c r="F2601" s="11"/>
    </x:row>
    <x:row r="2602" spans="6:6" x14ac:dyDescent="0.25">
      <x:c r="F2602" s="11"/>
    </x:row>
    <x:row r="2603" spans="6:6" x14ac:dyDescent="0.25">
      <x:c r="F2603" s="11"/>
    </x:row>
    <x:row r="2604" spans="6:6" x14ac:dyDescent="0.25">
      <x:c r="F2604" s="11"/>
    </x:row>
    <x:row r="2605" spans="6:6" x14ac:dyDescent="0.25">
      <x:c r="F2605" s="11"/>
    </x:row>
    <x:row r="2606" spans="6:6" x14ac:dyDescent="0.25">
      <x:c r="F2606" s="11"/>
    </x:row>
    <x:row r="2607" spans="6:6" x14ac:dyDescent="0.25">
      <x:c r="F2607" s="11"/>
    </x:row>
    <x:row r="2608" spans="6:6" x14ac:dyDescent="0.25">
      <x:c r="F2608" s="11"/>
    </x:row>
    <x:row r="2609" spans="6:6" x14ac:dyDescent="0.25">
      <x:c r="F2609" s="11"/>
    </x:row>
    <x:row r="2610" spans="6:6" x14ac:dyDescent="0.25">
      <x:c r="F2610" s="11"/>
    </x:row>
    <x:row r="2611" spans="6:6" x14ac:dyDescent="0.25">
      <x:c r="F2611" s="11"/>
    </x:row>
    <x:row r="2612" spans="6:6" x14ac:dyDescent="0.25">
      <x:c r="F2612" s="11"/>
    </x:row>
    <x:row r="2613" spans="6:6" x14ac:dyDescent="0.25">
      <x:c r="F2613" s="11"/>
    </x:row>
    <x:row r="2614" spans="6:6" x14ac:dyDescent="0.25">
      <x:c r="F2614" s="11"/>
    </x:row>
    <x:row r="2615" spans="6:6" x14ac:dyDescent="0.25">
      <x:c r="F2615" s="11"/>
    </x:row>
    <x:row r="2616" spans="6:6" x14ac:dyDescent="0.25">
      <x:c r="F2616" s="11"/>
    </x:row>
    <x:row r="2617" spans="6:6" x14ac:dyDescent="0.25">
      <x:c r="F2617" s="11"/>
    </x:row>
    <x:row r="2618" spans="6:6" x14ac:dyDescent="0.25">
      <x:c r="F2618" s="11"/>
    </x:row>
    <x:row r="2619" spans="6:6" x14ac:dyDescent="0.25">
      <x:c r="F2619" s="11"/>
    </x:row>
    <x:row r="2620" spans="6:6" x14ac:dyDescent="0.25">
      <x:c r="F2620" s="11"/>
    </x:row>
    <x:row r="2621" spans="6:6" x14ac:dyDescent="0.25">
      <x:c r="F2621" s="11"/>
    </x:row>
    <x:row r="2622" spans="6:6" x14ac:dyDescent="0.25">
      <x:c r="F2622" s="11"/>
    </x:row>
    <x:row r="2623" spans="6:6" x14ac:dyDescent="0.25">
      <x:c r="F2623" s="11"/>
    </x:row>
    <x:row r="2624" spans="6:6" x14ac:dyDescent="0.25">
      <x:c r="F2624" s="11"/>
    </x:row>
    <x:row r="2625" spans="6:6" x14ac:dyDescent="0.25">
      <x:c r="F2625" s="11"/>
    </x:row>
    <x:row r="2626" spans="6:6" x14ac:dyDescent="0.25">
      <x:c r="F2626" s="11"/>
    </x:row>
    <x:row r="2627" spans="6:6" x14ac:dyDescent="0.25">
      <x:c r="F2627" s="11"/>
    </x:row>
    <x:row r="2628" spans="6:6" x14ac:dyDescent="0.25">
      <x:c r="F2628" s="11"/>
    </x:row>
    <x:row r="2629" spans="6:6" x14ac:dyDescent="0.25">
      <x:c r="F2629" s="11"/>
    </x:row>
    <x:row r="2630" spans="6:6" x14ac:dyDescent="0.25">
      <x:c r="F2630" s="11"/>
    </x:row>
    <x:row r="2631" spans="6:6" x14ac:dyDescent="0.25">
      <x:c r="F2631" s="11"/>
    </x:row>
    <x:row r="2632" spans="6:6" x14ac:dyDescent="0.25">
      <x:c r="F2632" s="11"/>
    </x:row>
    <x:row r="2633" spans="6:6" x14ac:dyDescent="0.25">
      <x:c r="F2633" s="11"/>
    </x:row>
    <x:row r="2634" spans="6:6" x14ac:dyDescent="0.25">
      <x:c r="F2634" s="11"/>
    </x:row>
    <x:row r="2635" spans="6:6" x14ac:dyDescent="0.25">
      <x:c r="F2635" s="11"/>
    </x:row>
    <x:row r="2636" spans="6:6" x14ac:dyDescent="0.25">
      <x:c r="F2636" s="11"/>
    </x:row>
    <x:row r="2637" spans="6:6" x14ac:dyDescent="0.25">
      <x:c r="F2637" s="11"/>
    </x:row>
    <x:row r="2638" spans="6:6" x14ac:dyDescent="0.25">
      <x:c r="F2638" s="11"/>
    </x:row>
    <x:row r="2639" spans="6:6" x14ac:dyDescent="0.25">
      <x:c r="F2639" s="11"/>
    </x:row>
    <x:row r="2640" spans="6:6" x14ac:dyDescent="0.25">
      <x:c r="F2640" s="11"/>
    </x:row>
    <x:row r="2641" spans="6:6" x14ac:dyDescent="0.25">
      <x:c r="F2641" s="11"/>
    </x:row>
    <x:row r="2642" spans="6:6" x14ac:dyDescent="0.25">
      <x:c r="F2642" s="11"/>
    </x:row>
    <x:row r="2643" spans="6:6" x14ac:dyDescent="0.25">
      <x:c r="F2643" s="11"/>
    </x:row>
    <x:row r="2644" spans="6:6" x14ac:dyDescent="0.25">
      <x:c r="F2644" s="11"/>
    </x:row>
    <x:row r="2645" spans="6:6" x14ac:dyDescent="0.25">
      <x:c r="F2645" s="11"/>
    </x:row>
    <x:row r="2646" spans="6:6" x14ac:dyDescent="0.25">
      <x:c r="F2646" s="11"/>
    </x:row>
    <x:row r="2647" spans="6:6" x14ac:dyDescent="0.25">
      <x:c r="F2647" s="11"/>
    </x:row>
    <x:row r="2648" spans="6:6" x14ac:dyDescent="0.25">
      <x:c r="F2648" s="11"/>
    </x:row>
    <x:row r="2649" spans="6:6" x14ac:dyDescent="0.25">
      <x:c r="F2649" s="11"/>
    </x:row>
    <x:row r="2650" spans="6:6" x14ac:dyDescent="0.25">
      <x:c r="F2650" s="11"/>
    </x:row>
    <x:row r="2651" spans="6:6" x14ac:dyDescent="0.25">
      <x:c r="F2651" s="11"/>
    </x:row>
    <x:row r="2652" spans="6:6" x14ac:dyDescent="0.25">
      <x:c r="F2652" s="11"/>
    </x:row>
    <x:row r="2653" spans="6:6" x14ac:dyDescent="0.25">
      <x:c r="F2653" s="11"/>
    </x:row>
    <x:row r="2654" spans="6:6" x14ac:dyDescent="0.25">
      <x:c r="F2654" s="11"/>
    </x:row>
    <x:row r="2655" spans="6:6" x14ac:dyDescent="0.25">
      <x:c r="F2655" s="11"/>
    </x:row>
    <x:row r="2656" spans="6:6" x14ac:dyDescent="0.25">
      <x:c r="F2656" s="11"/>
    </x:row>
    <x:row r="2657" spans="6:6" x14ac:dyDescent="0.25">
      <x:c r="F2657" s="11"/>
    </x:row>
    <x:row r="2658" spans="6:6" x14ac:dyDescent="0.25">
      <x:c r="F2658" s="11"/>
    </x:row>
    <x:row r="2659" spans="6:6" x14ac:dyDescent="0.25">
      <x:c r="F2659" s="11"/>
    </x:row>
    <x:row r="2660" spans="6:6" x14ac:dyDescent="0.25">
      <x:c r="F2660" s="11"/>
    </x:row>
    <x:row r="2661" spans="6:6" x14ac:dyDescent="0.25">
      <x:c r="F2661" s="11"/>
    </x:row>
    <x:row r="2662" spans="6:6" x14ac:dyDescent="0.25">
      <x:c r="F2662" s="11"/>
    </x:row>
    <x:row r="2663" spans="6:6" x14ac:dyDescent="0.25">
      <x:c r="F2663" s="11"/>
    </x:row>
    <x:row r="2664" spans="6:6" x14ac:dyDescent="0.25">
      <x:c r="F2664" s="11"/>
    </x:row>
    <x:row r="2665" spans="6:6" x14ac:dyDescent="0.25">
      <x:c r="F2665" s="11"/>
    </x:row>
    <x:row r="2666" spans="6:6" x14ac:dyDescent="0.25">
      <x:c r="F2666" s="11"/>
    </x:row>
    <x:row r="2667" spans="6:6" x14ac:dyDescent="0.25">
      <x:c r="F2667" s="11"/>
    </x:row>
    <x:row r="2668" spans="6:6" x14ac:dyDescent="0.25">
      <x:c r="F2668" s="11"/>
    </x:row>
    <x:row r="2669" spans="6:6" x14ac:dyDescent="0.25">
      <x:c r="F2669" s="11"/>
    </x:row>
    <x:row r="2670" spans="6:6" x14ac:dyDescent="0.25">
      <x:c r="F2670" s="11"/>
    </x:row>
    <x:row r="2671" spans="6:6" x14ac:dyDescent="0.25">
      <x:c r="F2671" s="11"/>
    </x:row>
    <x:row r="2672" spans="6:6" x14ac:dyDescent="0.25">
      <x:c r="F2672" s="11"/>
    </x:row>
    <x:row r="2673" spans="6:6" x14ac:dyDescent="0.25">
      <x:c r="F2673" s="11"/>
    </x:row>
    <x:row r="2674" spans="6:6" x14ac:dyDescent="0.25">
      <x:c r="F2674" s="11"/>
    </x:row>
    <x:row r="2675" spans="6:6" x14ac:dyDescent="0.25">
      <x:c r="F2675" s="11"/>
    </x:row>
    <x:row r="2676" spans="6:6" x14ac:dyDescent="0.25">
      <x:c r="F2676" s="11"/>
    </x:row>
    <x:row r="2677" spans="6:6" x14ac:dyDescent="0.25">
      <x:c r="F2677" s="11"/>
    </x:row>
    <x:row r="2678" spans="6:6" x14ac:dyDescent="0.25">
      <x:c r="F2678" s="11"/>
    </x:row>
    <x:row r="2679" spans="6:6" x14ac:dyDescent="0.25">
      <x:c r="F2679" s="11"/>
    </x:row>
    <x:row r="2680" spans="6:6" x14ac:dyDescent="0.25">
      <x:c r="F2680" s="11"/>
    </x:row>
    <x:row r="2681" spans="6:6" x14ac:dyDescent="0.25">
      <x:c r="F2681" s="11"/>
    </x:row>
    <x:row r="2682" spans="6:6" x14ac:dyDescent="0.25">
      <x:c r="F2682" s="11"/>
    </x:row>
    <x:row r="2683" spans="6:6" x14ac:dyDescent="0.25">
      <x:c r="F2683" s="11"/>
    </x:row>
    <x:row r="2684" spans="6:6" x14ac:dyDescent="0.25">
      <x:c r="F2684" s="11"/>
    </x:row>
    <x:row r="2685" spans="6:6" x14ac:dyDescent="0.25">
      <x:c r="F2685" s="11"/>
    </x:row>
    <x:row r="2686" spans="6:6" x14ac:dyDescent="0.25">
      <x:c r="F2686" s="11"/>
    </x:row>
    <x:row r="2687" spans="6:6" x14ac:dyDescent="0.25">
      <x:c r="F2687" s="11"/>
    </x:row>
    <x:row r="2688" spans="6:6" x14ac:dyDescent="0.25">
      <x:c r="F2688" s="11"/>
    </x:row>
    <x:row r="2689" spans="6:6" x14ac:dyDescent="0.25">
      <x:c r="F2689" s="11"/>
    </x:row>
    <x:row r="2690" spans="6:6" x14ac:dyDescent="0.25">
      <x:c r="F2690" s="11"/>
    </x:row>
    <x:row r="2691" spans="6:6" x14ac:dyDescent="0.25">
      <x:c r="F2691" s="11"/>
    </x:row>
    <x:row r="2692" spans="6:6" x14ac:dyDescent="0.25">
      <x:c r="F2692" s="11"/>
    </x:row>
    <x:row r="2693" spans="6:6" x14ac:dyDescent="0.25">
      <x:c r="F2693" s="11"/>
    </x:row>
    <x:row r="2694" spans="6:6" x14ac:dyDescent="0.25">
      <x:c r="F2694" s="11"/>
    </x:row>
    <x:row r="2695" spans="6:6" x14ac:dyDescent="0.25">
      <x:c r="F2695" s="11"/>
    </x:row>
    <x:row r="2696" spans="6:6" x14ac:dyDescent="0.25">
      <x:c r="F2696" s="11"/>
    </x:row>
    <x:row r="2697" spans="6:6" x14ac:dyDescent="0.25">
      <x:c r="F2697" s="11"/>
    </x:row>
    <x:row r="2698" spans="6:6" x14ac:dyDescent="0.25">
      <x:c r="F2698" s="11"/>
    </x:row>
    <x:row r="2699" spans="6:6" x14ac:dyDescent="0.25">
      <x:c r="F2699" s="11"/>
    </x:row>
    <x:row r="2700" spans="6:6" x14ac:dyDescent="0.25">
      <x:c r="F2700" s="11"/>
    </x:row>
    <x:row r="2701" spans="6:6" x14ac:dyDescent="0.25">
      <x:c r="F2701" s="11"/>
    </x:row>
    <x:row r="2702" spans="6:6" x14ac:dyDescent="0.25">
      <x:c r="F2702" s="11"/>
    </x:row>
    <x:row r="2703" spans="6:6" x14ac:dyDescent="0.25">
      <x:c r="F2703" s="11"/>
    </x:row>
    <x:row r="2704" spans="6:6" x14ac:dyDescent="0.25">
      <x:c r="F2704" s="11"/>
    </x:row>
    <x:row r="2705" spans="6:6" x14ac:dyDescent="0.25">
      <x:c r="F2705" s="11"/>
    </x:row>
    <x:row r="2706" spans="6:6" x14ac:dyDescent="0.25">
      <x:c r="F2706" s="11"/>
    </x:row>
    <x:row r="2707" spans="6:6" x14ac:dyDescent="0.25">
      <x:c r="F2707" s="11"/>
    </x:row>
    <x:row r="2708" spans="6:6" x14ac:dyDescent="0.25">
      <x:c r="F2708" s="11"/>
    </x:row>
    <x:row r="2709" spans="6:6" x14ac:dyDescent="0.25">
      <x:c r="F2709" s="11"/>
    </x:row>
    <x:row r="2710" spans="6:6" x14ac:dyDescent="0.25">
      <x:c r="F2710" s="11"/>
    </x:row>
    <x:row r="2711" spans="6:6" x14ac:dyDescent="0.25">
      <x:c r="F2711" s="11"/>
    </x:row>
    <x:row r="2712" spans="6:6" x14ac:dyDescent="0.25">
      <x:c r="F2712" s="11"/>
    </x:row>
    <x:row r="2713" spans="6:6" x14ac:dyDescent="0.25">
      <x:c r="F2713" s="11"/>
    </x:row>
    <x:row r="2714" spans="6:6" x14ac:dyDescent="0.25">
      <x:c r="F2714" s="11"/>
    </x:row>
    <x:row r="2715" spans="6:6" x14ac:dyDescent="0.25">
      <x:c r="F2715" s="11"/>
    </x:row>
    <x:row r="2716" spans="6:6" x14ac:dyDescent="0.25">
      <x:c r="F2716" s="11"/>
    </x:row>
    <x:row r="2717" spans="6:6" x14ac:dyDescent="0.25">
      <x:c r="F2717" s="11"/>
    </x:row>
    <x:row r="2718" spans="6:6" x14ac:dyDescent="0.25">
      <x:c r="F2718" s="11"/>
    </x:row>
    <x:row r="2719" spans="6:6" x14ac:dyDescent="0.25">
      <x:c r="F2719" s="11"/>
    </x:row>
    <x:row r="2720" spans="6:6" x14ac:dyDescent="0.25">
      <x:c r="F2720" s="11"/>
    </x:row>
    <x:row r="2721" spans="6:6" x14ac:dyDescent="0.25">
      <x:c r="F2721" s="11"/>
    </x:row>
    <x:row r="2722" spans="6:6" x14ac:dyDescent="0.25">
      <x:c r="F2722" s="11"/>
    </x:row>
    <x:row r="2723" spans="6:6" x14ac:dyDescent="0.25">
      <x:c r="F2723" s="11"/>
    </x:row>
    <x:row r="2724" spans="6:6" x14ac:dyDescent="0.25">
      <x:c r="F2724" s="11"/>
    </x:row>
    <x:row r="2725" spans="6:6" x14ac:dyDescent="0.25">
      <x:c r="F2725" s="11"/>
    </x:row>
    <x:row r="2726" spans="6:6" x14ac:dyDescent="0.25">
      <x:c r="F2726" s="11"/>
    </x:row>
    <x:row r="2727" spans="6:6" x14ac:dyDescent="0.25">
      <x:c r="F2727" s="11"/>
    </x:row>
    <x:row r="2728" spans="6:6" x14ac:dyDescent="0.25">
      <x:c r="F2728" s="11"/>
    </x:row>
    <x:row r="2729" spans="6:6" x14ac:dyDescent="0.25">
      <x:c r="F2729" s="11"/>
    </x:row>
    <x:row r="2730" spans="6:6" x14ac:dyDescent="0.25">
      <x:c r="F2730" s="11"/>
    </x:row>
    <x:row r="2731" spans="6:6" x14ac:dyDescent="0.25">
      <x:c r="F2731" s="11"/>
    </x:row>
    <x:row r="2732" spans="6:6" x14ac:dyDescent="0.25">
      <x:c r="F2732" s="11"/>
    </x:row>
    <x:row r="2733" spans="6:6" x14ac:dyDescent="0.25">
      <x:c r="F2733" s="11"/>
    </x:row>
    <x:row r="2734" spans="6:6" x14ac:dyDescent="0.25">
      <x:c r="F2734" s="11"/>
    </x:row>
    <x:row r="2735" spans="6:6" x14ac:dyDescent="0.25">
      <x:c r="F2735" s="11"/>
    </x:row>
    <x:row r="2736" spans="6:6" x14ac:dyDescent="0.25">
      <x:c r="F2736" s="11"/>
    </x:row>
    <x:row r="2737" spans="6:6" x14ac:dyDescent="0.25">
      <x:c r="F2737" s="11"/>
    </x:row>
    <x:row r="2738" spans="6:6" x14ac:dyDescent="0.25">
      <x:c r="F2738" s="11"/>
    </x:row>
    <x:row r="2739" spans="6:6" x14ac:dyDescent="0.25">
      <x:c r="F2739" s="11"/>
    </x:row>
    <x:row r="2740" spans="6:6" x14ac:dyDescent="0.25">
      <x:c r="F2740" s="11"/>
    </x:row>
    <x:row r="2741" spans="6:6" x14ac:dyDescent="0.25">
      <x:c r="F2741" s="11"/>
    </x:row>
    <x:row r="2742" spans="6:6" x14ac:dyDescent="0.25">
      <x:c r="F2742" s="11"/>
    </x:row>
    <x:row r="2743" spans="6:6" x14ac:dyDescent="0.25">
      <x:c r="F2743" s="11"/>
    </x:row>
    <x:row r="2744" spans="6:6" x14ac:dyDescent="0.25">
      <x:c r="F2744" s="11"/>
    </x:row>
    <x:row r="2745" spans="6:6" x14ac:dyDescent="0.25">
      <x:c r="F2745" s="11"/>
    </x:row>
    <x:row r="2746" spans="6:6" x14ac:dyDescent="0.25">
      <x:c r="F2746" s="11"/>
    </x:row>
    <x:row r="2747" spans="6:6" x14ac:dyDescent="0.25">
      <x:c r="F2747" s="11"/>
    </x:row>
    <x:row r="2748" spans="6:6" x14ac:dyDescent="0.25">
      <x:c r="F2748" s="11"/>
    </x:row>
    <x:row r="2749" spans="6:6" x14ac:dyDescent="0.25">
      <x:c r="F2749" s="11"/>
    </x:row>
    <x:row r="2750" spans="6:6" x14ac:dyDescent="0.25">
      <x:c r="F2750" s="11"/>
    </x:row>
    <x:row r="2751" spans="6:6" x14ac:dyDescent="0.25">
      <x:c r="F2751" s="11"/>
    </x:row>
    <x:row r="2752" spans="6:6" x14ac:dyDescent="0.25">
      <x:c r="F2752" s="11"/>
    </x:row>
    <x:row r="2753" spans="6:6" x14ac:dyDescent="0.25">
      <x:c r="F2753" s="11"/>
    </x:row>
    <x:row r="2754" spans="6:6" x14ac:dyDescent="0.25">
      <x:c r="F2754" s="11"/>
    </x:row>
    <x:row r="2755" spans="6:6" x14ac:dyDescent="0.25">
      <x:c r="F2755" s="11"/>
    </x:row>
    <x:row r="2756" spans="6:6" x14ac:dyDescent="0.25">
      <x:c r="F2756" s="11"/>
    </x:row>
    <x:row r="2757" spans="6:6" x14ac:dyDescent="0.25">
      <x:c r="F2757" s="11"/>
    </x:row>
    <x:row r="2758" spans="6:6" x14ac:dyDescent="0.25">
      <x:c r="F2758" s="11"/>
    </x:row>
    <x:row r="2759" spans="6:6" x14ac:dyDescent="0.25">
      <x:c r="F2759" s="11"/>
    </x:row>
    <x:row r="2760" spans="6:6" x14ac:dyDescent="0.25">
      <x:c r="F2760" s="11"/>
    </x:row>
    <x:row r="2761" spans="6:6" x14ac:dyDescent="0.25">
      <x:c r="F2761" s="11"/>
    </x:row>
    <x:row r="2762" spans="6:6" x14ac:dyDescent="0.25">
      <x:c r="F2762" s="11"/>
    </x:row>
    <x:row r="2763" spans="6:6" x14ac:dyDescent="0.25">
      <x:c r="F2763" s="11"/>
    </x:row>
    <x:row r="2764" spans="6:6" x14ac:dyDescent="0.25">
      <x:c r="F2764" s="11"/>
    </x:row>
    <x:row r="2765" spans="6:6" x14ac:dyDescent="0.25">
      <x:c r="F2765" s="11"/>
    </x:row>
    <x:row r="2766" spans="6:6" x14ac:dyDescent="0.25">
      <x:c r="F2766" s="11"/>
    </x:row>
    <x:row r="2767" spans="6:6" x14ac:dyDescent="0.25">
      <x:c r="F2767" s="11"/>
    </x:row>
    <x:row r="2768" spans="6:6" x14ac:dyDescent="0.25">
      <x:c r="F2768" s="11"/>
    </x:row>
    <x:row r="2769" spans="6:6" x14ac:dyDescent="0.25">
      <x:c r="F2769" s="11"/>
    </x:row>
    <x:row r="2770" spans="6:6" x14ac:dyDescent="0.25">
      <x:c r="F2770" s="11"/>
    </x:row>
    <x:row r="2771" spans="6:6" x14ac:dyDescent="0.25">
      <x:c r="F2771" s="11"/>
    </x:row>
    <x:row r="2772" spans="6:6" x14ac:dyDescent="0.25">
      <x:c r="F2772" s="11"/>
    </x:row>
    <x:row r="2773" spans="6:6" x14ac:dyDescent="0.25">
      <x:c r="F2773" s="11"/>
    </x:row>
    <x:row r="2774" spans="6:6" x14ac:dyDescent="0.25">
      <x:c r="F2774" s="11"/>
    </x:row>
    <x:row r="2775" spans="6:6" x14ac:dyDescent="0.25">
      <x:c r="F2775" s="11"/>
    </x:row>
    <x:row r="2776" spans="6:6" x14ac:dyDescent="0.25">
      <x:c r="F2776" s="11"/>
    </x:row>
    <x:row r="2777" spans="6:6" x14ac:dyDescent="0.25">
      <x:c r="F2777" s="11"/>
    </x:row>
    <x:row r="2778" spans="6:6" x14ac:dyDescent="0.25">
      <x:c r="F2778" s="11"/>
    </x:row>
    <x:row r="2779" spans="6:6" x14ac:dyDescent="0.25">
      <x:c r="F2779" s="11"/>
    </x:row>
    <x:row r="2780" spans="6:6" x14ac:dyDescent="0.25">
      <x:c r="F2780" s="11"/>
    </x:row>
    <x:row r="2781" spans="6:6" x14ac:dyDescent="0.25">
      <x:c r="F2781" s="11"/>
    </x:row>
    <x:row r="2782" spans="6:6" x14ac:dyDescent="0.25">
      <x:c r="F2782" s="11"/>
    </x:row>
    <x:row r="2783" spans="6:6" x14ac:dyDescent="0.25">
      <x:c r="F2783" s="11"/>
    </x:row>
    <x:row r="2784" spans="6:6" x14ac:dyDescent="0.25">
      <x:c r="F2784" s="11"/>
    </x:row>
    <x:row r="2785" spans="6:6" x14ac:dyDescent="0.25">
      <x:c r="F2785" s="11"/>
    </x:row>
    <x:row r="2786" spans="6:6" x14ac:dyDescent="0.25">
      <x:c r="F2786" s="11"/>
    </x:row>
    <x:row r="2787" spans="6:6" x14ac:dyDescent="0.25">
      <x:c r="F2787" s="11"/>
    </x:row>
    <x:row r="2788" spans="6:6" x14ac:dyDescent="0.25">
      <x:c r="F2788" s="11"/>
    </x:row>
    <x:row r="2789" spans="6:6" x14ac:dyDescent="0.25">
      <x:c r="F2789" s="11"/>
    </x:row>
    <x:row r="2790" spans="6:6" x14ac:dyDescent="0.25">
      <x:c r="F2790" s="11"/>
    </x:row>
    <x:row r="2791" spans="6:6" x14ac:dyDescent="0.25">
      <x:c r="F2791" s="11"/>
    </x:row>
    <x:row r="2792" spans="6:6" x14ac:dyDescent="0.25">
      <x:c r="F2792" s="11"/>
    </x:row>
    <x:row r="2793" spans="6:6" x14ac:dyDescent="0.25">
      <x:c r="F2793" s="11"/>
    </x:row>
    <x:row r="2794" spans="6:6" x14ac:dyDescent="0.25">
      <x:c r="F2794" s="11"/>
    </x:row>
    <x:row r="2795" spans="6:6" x14ac:dyDescent="0.25">
      <x:c r="F2795" s="11"/>
    </x:row>
    <x:row r="2796" spans="6:6" x14ac:dyDescent="0.25">
      <x:c r="F2796" s="11"/>
    </x:row>
    <x:row r="2797" spans="6:6" x14ac:dyDescent="0.25">
      <x:c r="F2797" s="11"/>
    </x:row>
    <x:row r="2798" spans="6:6" x14ac:dyDescent="0.25">
      <x:c r="F2798" s="11"/>
    </x:row>
    <x:row r="2799" spans="6:6" x14ac:dyDescent="0.25">
      <x:c r="F2799" s="11"/>
    </x:row>
    <x:row r="2800" spans="6:6" x14ac:dyDescent="0.25">
      <x:c r="F2800" s="11"/>
    </x:row>
    <x:row r="2801" spans="6:6" x14ac:dyDescent="0.25">
      <x:c r="F2801" s="11"/>
    </x:row>
    <x:row r="2802" spans="6:6" x14ac:dyDescent="0.25">
      <x:c r="F2802" s="11"/>
    </x:row>
    <x:row r="2803" spans="6:6" x14ac:dyDescent="0.25">
      <x:c r="F2803" s="11"/>
    </x:row>
    <x:row r="2804" spans="6:6" x14ac:dyDescent="0.25">
      <x:c r="F2804" s="11"/>
    </x:row>
    <x:row r="2805" spans="6:6" x14ac:dyDescent="0.25">
      <x:c r="F2805" s="11"/>
    </x:row>
    <x:row r="2806" spans="6:6" x14ac:dyDescent="0.25">
      <x:c r="F2806" s="11"/>
    </x:row>
    <x:row r="2807" spans="6:6" x14ac:dyDescent="0.25">
      <x:c r="F2807" s="11"/>
    </x:row>
    <x:row r="2808" spans="6:6" x14ac:dyDescent="0.25">
      <x:c r="F2808" s="11"/>
    </x:row>
    <x:row r="2809" spans="6:6" x14ac:dyDescent="0.25">
      <x:c r="F2809" s="11"/>
    </x:row>
    <x:row r="2810" spans="6:6" x14ac:dyDescent="0.25">
      <x:c r="F2810" s="11"/>
    </x:row>
    <x:row r="2811" spans="6:6" x14ac:dyDescent="0.25">
      <x:c r="F2811" s="11"/>
    </x:row>
    <x:row r="2812" spans="6:6" x14ac:dyDescent="0.25">
      <x:c r="F2812" s="11"/>
    </x:row>
    <x:row r="2813" spans="6:6" x14ac:dyDescent="0.25">
      <x:c r="F2813" s="11"/>
    </x:row>
    <x:row r="2814" spans="6:6" x14ac:dyDescent="0.25">
      <x:c r="F2814" s="11"/>
    </x:row>
    <x:row r="2815" spans="6:6" x14ac:dyDescent="0.25">
      <x:c r="F2815" s="11"/>
    </x:row>
    <x:row r="2816" spans="6:6" x14ac:dyDescent="0.25">
      <x:c r="F2816" s="11"/>
    </x:row>
    <x:row r="2817" spans="6:6" x14ac:dyDescent="0.25">
      <x:c r="F2817" s="11"/>
    </x:row>
    <x:row r="2818" spans="6:6" x14ac:dyDescent="0.25">
      <x:c r="F2818" s="11"/>
    </x:row>
    <x:row r="2819" spans="6:6" x14ac:dyDescent="0.25">
      <x:c r="F2819" s="11"/>
    </x:row>
    <x:row r="2820" spans="6:6" x14ac:dyDescent="0.25">
      <x:c r="F2820" s="11"/>
    </x:row>
    <x:row r="2821" spans="6:6" x14ac:dyDescent="0.25">
      <x:c r="F2821" s="11"/>
    </x:row>
    <x:row r="2822" spans="6:6" x14ac:dyDescent="0.25">
      <x:c r="F2822" s="11"/>
    </x:row>
    <x:row r="2823" spans="6:6" x14ac:dyDescent="0.25">
      <x:c r="F2823" s="11"/>
    </x:row>
    <x:row r="2824" spans="6:6" x14ac:dyDescent="0.25">
      <x:c r="F2824" s="11"/>
    </x:row>
    <x:row r="2825" spans="6:6" x14ac:dyDescent="0.25">
      <x:c r="F2825" s="11"/>
    </x:row>
    <x:row r="2826" spans="6:6" x14ac:dyDescent="0.25">
      <x:c r="F2826" s="11"/>
    </x:row>
    <x:row r="2827" spans="6:6" x14ac:dyDescent="0.25">
      <x:c r="F2827" s="11"/>
    </x:row>
    <x:row r="2828" spans="6:6" x14ac:dyDescent="0.25">
      <x:c r="F2828" s="11"/>
    </x:row>
    <x:row r="2829" spans="6:6" x14ac:dyDescent="0.25">
      <x:c r="F2829" s="11"/>
    </x:row>
    <x:row r="2830" spans="6:6" x14ac:dyDescent="0.25">
      <x:c r="F2830" s="11"/>
    </x:row>
    <x:row r="2831" spans="6:6" x14ac:dyDescent="0.25">
      <x:c r="F2831" s="11"/>
    </x:row>
    <x:row r="2832" spans="6:6" x14ac:dyDescent="0.25">
      <x:c r="F2832" s="11"/>
    </x:row>
    <x:row r="2833" spans="6:6" x14ac:dyDescent="0.25">
      <x:c r="F2833" s="11"/>
    </x:row>
    <x:row r="2834" spans="6:6" x14ac:dyDescent="0.25">
      <x:c r="F2834" s="11"/>
    </x:row>
    <x:row r="2835" spans="6:6" x14ac:dyDescent="0.25">
      <x:c r="F2835" s="11"/>
    </x:row>
    <x:row r="2836" spans="6:6" x14ac:dyDescent="0.25">
      <x:c r="F2836" s="11"/>
    </x:row>
    <x:row r="2837" spans="6:6" x14ac:dyDescent="0.25">
      <x:c r="F2837" s="11"/>
    </x:row>
    <x:row r="2838" spans="6:6" x14ac:dyDescent="0.25">
      <x:c r="F2838" s="11"/>
    </x:row>
    <x:row r="2839" spans="6:6" x14ac:dyDescent="0.25">
      <x:c r="F2839" s="11"/>
    </x:row>
    <x:row r="2840" spans="6:6" x14ac:dyDescent="0.25">
      <x:c r="F2840" s="11"/>
    </x:row>
    <x:row r="2841" spans="6:6" x14ac:dyDescent="0.25">
      <x:c r="F2841" s="11"/>
    </x:row>
    <x:row r="2842" spans="6:6" x14ac:dyDescent="0.25">
      <x:c r="F2842" s="11"/>
    </x:row>
    <x:row r="2843" spans="6:6" x14ac:dyDescent="0.25">
      <x:c r="F2843" s="11"/>
    </x:row>
    <x:row r="2844" spans="6:6" x14ac:dyDescent="0.25">
      <x:c r="F2844" s="11"/>
    </x:row>
    <x:row r="2845" spans="6:6" x14ac:dyDescent="0.25">
      <x:c r="F2845" s="11"/>
    </x:row>
    <x:row r="2846" spans="6:6" x14ac:dyDescent="0.25">
      <x:c r="F2846" s="11"/>
    </x:row>
    <x:row r="2847" spans="6:6" x14ac:dyDescent="0.25">
      <x:c r="F2847" s="11"/>
    </x:row>
    <x:row r="2848" spans="6:6" x14ac:dyDescent="0.25">
      <x:c r="F2848" s="11"/>
    </x:row>
    <x:row r="2849" spans="6:6" x14ac:dyDescent="0.25">
      <x:c r="F2849" s="11"/>
    </x:row>
    <x:row r="2850" spans="6:6" x14ac:dyDescent="0.25">
      <x:c r="F2850" s="11"/>
    </x:row>
    <x:row r="2851" spans="6:6" x14ac:dyDescent="0.25">
      <x:c r="F2851" s="11"/>
    </x:row>
    <x:row r="2852" spans="6:6" x14ac:dyDescent="0.25">
      <x:c r="F2852" s="11"/>
    </x:row>
    <x:row r="2853" spans="6:6" x14ac:dyDescent="0.25">
      <x:c r="F2853" s="11"/>
    </x:row>
    <x:row r="2854" spans="6:6" x14ac:dyDescent="0.25">
      <x:c r="F2854" s="11"/>
    </x:row>
    <x:row r="2855" spans="6:6" x14ac:dyDescent="0.25">
      <x:c r="F2855" s="11"/>
    </x:row>
    <x:row r="2856" spans="6:6" x14ac:dyDescent="0.25">
      <x:c r="F2856" s="11"/>
    </x:row>
    <x:row r="2857" spans="6:6" x14ac:dyDescent="0.25">
      <x:c r="F2857" s="11"/>
    </x:row>
    <x:row r="2858" spans="6:6" x14ac:dyDescent="0.25">
      <x:c r="F2858" s="11"/>
    </x:row>
    <x:row r="2859" spans="6:6" x14ac:dyDescent="0.25">
      <x:c r="F2859" s="11"/>
    </x:row>
    <x:row r="2860" spans="6:6" x14ac:dyDescent="0.25">
      <x:c r="F2860" s="11"/>
    </x:row>
    <x:row r="2861" spans="6:6" x14ac:dyDescent="0.25">
      <x:c r="F2861" s="11"/>
    </x:row>
    <x:row r="2862" spans="6:6" x14ac:dyDescent="0.25">
      <x:c r="F2862" s="11"/>
    </x:row>
    <x:row r="2863" spans="6:6" x14ac:dyDescent="0.25">
      <x:c r="F2863" s="11"/>
    </x:row>
    <x:row r="2864" spans="6:6" x14ac:dyDescent="0.25">
      <x:c r="F2864" s="11"/>
    </x:row>
    <x:row r="2865" spans="6:6" x14ac:dyDescent="0.25">
      <x:c r="F2865" s="11"/>
    </x:row>
    <x:row r="2866" spans="6:6" x14ac:dyDescent="0.25">
      <x:c r="F2866" s="11"/>
    </x:row>
    <x:row r="2867" spans="6:6" x14ac:dyDescent="0.25">
      <x:c r="F2867" s="11"/>
    </x:row>
    <x:row r="2868" spans="6:6" x14ac:dyDescent="0.25">
      <x:c r="F2868" s="11"/>
    </x:row>
    <x:row r="2869" spans="6:6" x14ac:dyDescent="0.25">
      <x:c r="F2869" s="11"/>
    </x:row>
    <x:row r="2870" spans="6:6" x14ac:dyDescent="0.25">
      <x:c r="F2870" s="11"/>
    </x:row>
    <x:row r="2871" spans="6:6" x14ac:dyDescent="0.25">
      <x:c r="F2871" s="11"/>
    </x:row>
    <x:row r="2872" spans="6:6" x14ac:dyDescent="0.25">
      <x:c r="F2872" s="11"/>
    </x:row>
    <x:row r="2873" spans="6:6" x14ac:dyDescent="0.25">
      <x:c r="F2873" s="11"/>
    </x:row>
    <x:row r="2874" spans="6:6" x14ac:dyDescent="0.25">
      <x:c r="F2874" s="11"/>
    </x:row>
    <x:row r="2875" spans="6:6" x14ac:dyDescent="0.25">
      <x:c r="F2875" s="11"/>
    </x:row>
    <x:row r="2876" spans="6:6" x14ac:dyDescent="0.25">
      <x:c r="F2876" s="11"/>
    </x:row>
    <x:row r="2877" spans="6:6" x14ac:dyDescent="0.25">
      <x:c r="F2877" s="11"/>
    </x:row>
    <x:row r="2878" spans="6:6" x14ac:dyDescent="0.25">
      <x:c r="F2878" s="11"/>
    </x:row>
    <x:row r="2879" spans="6:6" x14ac:dyDescent="0.25">
      <x:c r="F2879" s="11"/>
    </x:row>
    <x:row r="2880" spans="6:6" x14ac:dyDescent="0.25">
      <x:c r="F2880" s="11"/>
    </x:row>
    <x:row r="2881" spans="6:6" x14ac:dyDescent="0.25">
      <x:c r="F2881" s="11"/>
    </x:row>
    <x:row r="2882" spans="6:6" x14ac:dyDescent="0.25">
      <x:c r="F2882" s="11"/>
    </x:row>
    <x:row r="2883" spans="6:6" x14ac:dyDescent="0.25">
      <x:c r="F2883" s="11"/>
    </x:row>
    <x:row r="2884" spans="6:6" x14ac:dyDescent="0.25">
      <x:c r="F2884" s="11"/>
    </x:row>
    <x:row r="2885" spans="6:6" x14ac:dyDescent="0.25">
      <x:c r="F2885" s="11"/>
    </x:row>
    <x:row r="2886" spans="6:6" x14ac:dyDescent="0.25">
      <x:c r="F2886" s="11"/>
    </x:row>
    <x:row r="2887" spans="6:6" x14ac:dyDescent="0.25">
      <x:c r="F2887" s="11"/>
    </x:row>
    <x:row r="2888" spans="6:6" x14ac:dyDescent="0.25">
      <x:c r="F2888" s="11"/>
    </x:row>
    <x:row r="2889" spans="6:6" x14ac:dyDescent="0.25">
      <x:c r="F2889" s="11"/>
    </x:row>
    <x:row r="2890" spans="6:6" x14ac:dyDescent="0.25">
      <x:c r="F2890" s="11"/>
    </x:row>
    <x:row r="2891" spans="6:6" x14ac:dyDescent="0.25">
      <x:c r="F2891" s="11"/>
    </x:row>
    <x:row r="2892" spans="6:6" x14ac:dyDescent="0.25">
      <x:c r="F2892" s="11"/>
    </x:row>
    <x:row r="2893" spans="6:6" x14ac:dyDescent="0.25">
      <x:c r="F2893" s="11"/>
    </x:row>
    <x:row r="2894" spans="6:6" x14ac:dyDescent="0.25">
      <x:c r="F2894" s="11"/>
    </x:row>
    <x:row r="2895" spans="6:6" x14ac:dyDescent="0.25">
      <x:c r="F2895" s="11"/>
    </x:row>
    <x:row r="2896" spans="6:6" x14ac:dyDescent="0.25">
      <x:c r="F2896" s="11"/>
    </x:row>
    <x:row r="2897" spans="6:6" x14ac:dyDescent="0.25">
      <x:c r="F2897" s="11"/>
    </x:row>
    <x:row r="2898" spans="6:6" x14ac:dyDescent="0.25">
      <x:c r="F2898" s="11"/>
    </x:row>
    <x:row r="2899" spans="6:6" x14ac:dyDescent="0.25">
      <x:c r="F2899" s="11"/>
    </x:row>
    <x:row r="2900" spans="6:6" x14ac:dyDescent="0.25">
      <x:c r="F2900" s="11"/>
    </x:row>
    <x:row r="2901" spans="6:6" x14ac:dyDescent="0.25">
      <x:c r="F2901" s="11"/>
    </x:row>
    <x:row r="2902" spans="6:6" x14ac:dyDescent="0.25">
      <x:c r="F2902" s="11"/>
    </x:row>
    <x:row r="2903" spans="6:6" x14ac:dyDescent="0.25">
      <x:c r="F2903" s="11"/>
    </x:row>
    <x:row r="2904" spans="6:6" x14ac:dyDescent="0.25">
      <x:c r="F2904" s="11"/>
    </x:row>
    <x:row r="2905" spans="6:6" x14ac:dyDescent="0.25">
      <x:c r="F2905" s="11"/>
    </x:row>
    <x:row r="2906" spans="6:6" x14ac:dyDescent="0.25">
      <x:c r="F2906" s="11"/>
    </x:row>
    <x:row r="2907" spans="6:6" x14ac:dyDescent="0.25">
      <x:c r="F2907" s="11"/>
    </x:row>
    <x:row r="2908" spans="6:6" x14ac:dyDescent="0.25">
      <x:c r="F2908" s="11"/>
    </x:row>
    <x:row r="2909" spans="6:6" x14ac:dyDescent="0.25">
      <x:c r="F2909" s="11"/>
    </x:row>
    <x:row r="2910" spans="6:6" x14ac:dyDescent="0.25">
      <x:c r="F2910" s="11"/>
    </x:row>
    <x:row r="2911" spans="6:6" x14ac:dyDescent="0.25">
      <x:c r="F2911" s="11"/>
    </x:row>
    <x:row r="2912" spans="6:6" x14ac:dyDescent="0.25">
      <x:c r="F2912" s="11"/>
    </x:row>
    <x:row r="2913" spans="6:6" x14ac:dyDescent="0.25">
      <x:c r="F2913" s="11"/>
    </x:row>
    <x:row r="2914" spans="6:6" x14ac:dyDescent="0.25">
      <x:c r="F2914" s="11"/>
    </x:row>
    <x:row r="2915" spans="6:6" x14ac:dyDescent="0.25">
      <x:c r="F2915" s="11"/>
    </x:row>
    <x:row r="2916" spans="6:6" x14ac:dyDescent="0.25">
      <x:c r="F2916" s="11"/>
    </x:row>
    <x:row r="2917" spans="6:6" x14ac:dyDescent="0.25">
      <x:c r="F2917" s="11"/>
    </x:row>
    <x:row r="2918" spans="6:6" x14ac:dyDescent="0.25">
      <x:c r="F2918" s="11"/>
    </x:row>
    <x:row r="2919" spans="6:6" x14ac:dyDescent="0.25">
      <x:c r="F2919" s="11"/>
    </x:row>
    <x:row r="2920" spans="6:6" x14ac:dyDescent="0.25">
      <x:c r="F2920" s="11"/>
    </x:row>
    <x:row r="2921" spans="6:6" x14ac:dyDescent="0.25">
      <x:c r="F2921" s="11"/>
    </x:row>
    <x:row r="2922" spans="6:6" x14ac:dyDescent="0.25">
      <x:c r="F2922" s="11"/>
    </x:row>
    <x:row r="2923" spans="6:6" x14ac:dyDescent="0.25">
      <x:c r="F2923" s="11"/>
    </x:row>
    <x:row r="2924" spans="6:6" x14ac:dyDescent="0.25">
      <x:c r="F2924" s="11"/>
    </x:row>
    <x:row r="2925" spans="6:6" x14ac:dyDescent="0.25">
      <x:c r="F2925" s="11"/>
    </x:row>
    <x:row r="2926" spans="6:6" x14ac:dyDescent="0.25">
      <x:c r="F2926" s="11"/>
    </x:row>
    <x:row r="2927" spans="6:6" x14ac:dyDescent="0.25">
      <x:c r="F2927" s="11"/>
    </x:row>
    <x:row r="2928" spans="6:6" x14ac:dyDescent="0.25">
      <x:c r="F2928" s="11"/>
    </x:row>
    <x:row r="2929" spans="6:6" x14ac:dyDescent="0.25">
      <x:c r="F2929" s="11"/>
    </x:row>
    <x:row r="2930" spans="6:6" x14ac:dyDescent="0.25">
      <x:c r="F2930" s="11"/>
    </x:row>
    <x:row r="2931" spans="6:6" x14ac:dyDescent="0.25">
      <x:c r="F2931" s="11"/>
    </x:row>
    <x:row r="2932" spans="6:6" x14ac:dyDescent="0.25">
      <x:c r="F2932" s="11"/>
    </x:row>
    <x:row r="2933" spans="6:6" x14ac:dyDescent="0.25">
      <x:c r="F2933" s="11"/>
    </x:row>
    <x:row r="2934" spans="6:6" x14ac:dyDescent="0.25">
      <x:c r="F2934" s="11"/>
    </x:row>
    <x:row r="2935" spans="6:6" x14ac:dyDescent="0.25">
      <x:c r="F2935" s="11"/>
    </x:row>
    <x:row r="2936" spans="6:6" x14ac:dyDescent="0.25">
      <x:c r="F2936" s="11"/>
    </x:row>
    <x:row r="2937" spans="6:6" x14ac:dyDescent="0.25">
      <x:c r="F2937" s="11"/>
    </x:row>
    <x:row r="2938" spans="6:6" x14ac:dyDescent="0.25">
      <x:c r="F2938" s="11"/>
    </x:row>
    <x:row r="2939" spans="6:6" x14ac:dyDescent="0.25">
      <x:c r="F2939" s="11"/>
    </x:row>
    <x:row r="2940" spans="6:6" x14ac:dyDescent="0.25">
      <x:c r="F2940" s="11"/>
    </x:row>
    <x:row r="2941" spans="6:6" x14ac:dyDescent="0.25">
      <x:c r="F2941" s="11"/>
    </x:row>
    <x:row r="2942" spans="6:6" x14ac:dyDescent="0.25">
      <x:c r="F2942" s="11"/>
    </x:row>
    <x:row r="2943" spans="6:6" x14ac:dyDescent="0.25">
      <x:c r="F2943" s="11"/>
    </x:row>
    <x:row r="2944" spans="6:6" x14ac:dyDescent="0.25">
      <x:c r="F2944" s="11"/>
    </x:row>
    <x:row r="2945" spans="6:6" x14ac:dyDescent="0.25">
      <x:c r="F2945" s="11"/>
    </x:row>
    <x:row r="2946" spans="6:6" x14ac:dyDescent="0.25">
      <x:c r="F2946" s="11"/>
    </x:row>
    <x:row r="2947" spans="6:6" x14ac:dyDescent="0.25">
      <x:c r="F2947" s="11"/>
    </x:row>
    <x:row r="2948" spans="6:6" x14ac:dyDescent="0.25">
      <x:c r="F2948" s="11"/>
    </x:row>
    <x:row r="2949" spans="6:6" x14ac:dyDescent="0.25">
      <x:c r="F2949" s="11"/>
    </x:row>
    <x:row r="2950" spans="6:6" x14ac:dyDescent="0.25">
      <x:c r="F2950" s="11"/>
    </x:row>
    <x:row r="2951" spans="6:6" x14ac:dyDescent="0.25">
      <x:c r="F2951" s="11"/>
    </x:row>
    <x:row r="2952" spans="6:6" x14ac:dyDescent="0.25">
      <x:c r="F2952" s="11"/>
    </x:row>
    <x:row r="2953" spans="6:6" x14ac:dyDescent="0.25">
      <x:c r="F2953" s="11"/>
    </x:row>
    <x:row r="2954" spans="6:6" x14ac:dyDescent="0.25">
      <x:c r="F2954" s="11"/>
    </x:row>
    <x:row r="2955" spans="6:6" x14ac:dyDescent="0.25">
      <x:c r="F2955" s="11"/>
    </x:row>
    <x:row r="2956" spans="6:6" x14ac:dyDescent="0.25">
      <x:c r="F2956" s="11"/>
    </x:row>
    <x:row r="2957" spans="6:6" x14ac:dyDescent="0.25">
      <x:c r="F2957" s="11"/>
    </x:row>
    <x:row r="2958" spans="6:6" x14ac:dyDescent="0.25">
      <x:c r="F2958" s="11"/>
    </x:row>
    <x:row r="2959" spans="6:6" x14ac:dyDescent="0.25">
      <x:c r="F2959" s="11"/>
    </x:row>
    <x:row r="2960" spans="6:6" x14ac:dyDescent="0.25">
      <x:c r="F2960" s="11"/>
    </x:row>
    <x:row r="2961" spans="6:6" x14ac:dyDescent="0.25">
      <x:c r="F2961" s="11"/>
    </x:row>
    <x:row r="2962" spans="6:6" x14ac:dyDescent="0.25">
      <x:c r="F2962" s="11"/>
    </x:row>
    <x:row r="2963" spans="6:6" x14ac:dyDescent="0.25">
      <x:c r="F2963" s="11"/>
    </x:row>
    <x:row r="2964" spans="6:6" x14ac:dyDescent="0.25">
      <x:c r="F2964" s="11"/>
    </x:row>
    <x:row r="2965" spans="6:6" x14ac:dyDescent="0.25">
      <x:c r="F2965" s="11"/>
    </x:row>
    <x:row r="2966" spans="6:6" x14ac:dyDescent="0.25">
      <x:c r="F2966" s="11"/>
    </x:row>
    <x:row r="2967" spans="6:6" x14ac:dyDescent="0.25">
      <x:c r="F2967" s="11"/>
    </x:row>
    <x:row r="2968" spans="6:6" x14ac:dyDescent="0.25">
      <x:c r="F2968" s="11"/>
    </x:row>
    <x:row r="2969" spans="6:6" x14ac:dyDescent="0.25">
      <x:c r="F2969" s="11"/>
    </x:row>
    <x:row r="2970" spans="6:6" x14ac:dyDescent="0.25">
      <x:c r="F2970" s="11"/>
    </x:row>
    <x:row r="2971" spans="6:6" x14ac:dyDescent="0.25">
      <x:c r="F2971" s="11"/>
    </x:row>
    <x:row r="2972" spans="6:6" x14ac:dyDescent="0.25">
      <x:c r="F2972" s="11"/>
    </x:row>
    <x:row r="2973" spans="6:6" x14ac:dyDescent="0.25">
      <x:c r="F2973" s="11"/>
    </x:row>
    <x:row r="2974" spans="6:6" x14ac:dyDescent="0.25">
      <x:c r="F2974" s="11"/>
    </x:row>
    <x:row r="2975" spans="6:6" x14ac:dyDescent="0.25">
      <x:c r="F2975" s="11"/>
    </x:row>
    <x:row r="2976" spans="6:6" x14ac:dyDescent="0.25">
      <x:c r="F2976" s="11"/>
    </x:row>
    <x:row r="2977" spans="6:6" x14ac:dyDescent="0.25">
      <x:c r="F2977" s="11"/>
    </x:row>
    <x:row r="2978" spans="6:6" x14ac:dyDescent="0.25">
      <x:c r="F2978" s="11"/>
    </x:row>
    <x:row r="2979" spans="6:6" x14ac:dyDescent="0.25">
      <x:c r="F2979" s="11"/>
    </x:row>
    <x:row r="2980" spans="6:6" x14ac:dyDescent="0.25">
      <x:c r="F2980" s="11"/>
    </x:row>
    <x:row r="2981" spans="6:6" x14ac:dyDescent="0.25">
      <x:c r="F2981" s="11"/>
    </x:row>
    <x:row r="2982" spans="6:6" x14ac:dyDescent="0.25">
      <x:c r="F2982" s="11"/>
    </x:row>
    <x:row r="2983" spans="6:6" x14ac:dyDescent="0.25">
      <x:c r="F2983" s="11"/>
    </x:row>
    <x:row r="2984" spans="6:6" x14ac:dyDescent="0.25">
      <x:c r="F2984" s="11"/>
    </x:row>
    <x:row r="2985" spans="6:6" x14ac:dyDescent="0.25">
      <x:c r="F2985" s="11"/>
    </x:row>
    <x:row r="2986" spans="6:6" x14ac:dyDescent="0.25">
      <x:c r="F2986" s="11"/>
    </x:row>
    <x:row r="2987" spans="6:6" x14ac:dyDescent="0.25">
      <x:c r="F2987" s="11"/>
    </x:row>
    <x:row r="2988" spans="6:6" x14ac:dyDescent="0.25">
      <x:c r="F2988" s="11"/>
    </x:row>
    <x:row r="2989" spans="6:6" x14ac:dyDescent="0.25">
      <x:c r="F2989" s="11"/>
    </x:row>
    <x:row r="2990" spans="6:6" x14ac:dyDescent="0.25">
      <x:c r="F2990" s="11"/>
    </x:row>
    <x:row r="2991" spans="6:6" x14ac:dyDescent="0.25">
      <x:c r="F2991" s="11"/>
    </x:row>
    <x:row r="2992" spans="6:6" x14ac:dyDescent="0.25">
      <x:c r="F2992" s="11"/>
    </x:row>
    <x:row r="2993" spans="6:6" x14ac:dyDescent="0.25">
      <x:c r="F2993" s="11"/>
    </x:row>
    <x:row r="2994" spans="6:6" x14ac:dyDescent="0.25">
      <x:c r="F2994" s="11"/>
    </x:row>
    <x:row r="2995" spans="6:6" x14ac:dyDescent="0.25">
      <x:c r="F2995" s="11"/>
    </x:row>
    <x:row r="2996" spans="6:6" x14ac:dyDescent="0.25">
      <x:c r="F2996" s="11"/>
    </x:row>
    <x:row r="2997" spans="6:6" x14ac:dyDescent="0.25">
      <x:c r="F2997" s="11"/>
    </x:row>
    <x:row r="2998" spans="6:6" x14ac:dyDescent="0.25">
      <x:c r="F2998" s="11"/>
    </x:row>
    <x:row r="2999" spans="6:6" x14ac:dyDescent="0.25">
      <x:c r="F2999" s="11"/>
    </x:row>
    <x:row r="3000" spans="6:6" x14ac:dyDescent="0.25">
      <x:c r="F3000" s="11"/>
    </x:row>
    <x:row r="3001" spans="6:6" x14ac:dyDescent="0.25">
      <x:c r="F3001" s="11"/>
    </x:row>
    <x:row r="3002" spans="6:6" x14ac:dyDescent="0.25">
      <x:c r="F3002" s="11"/>
    </x:row>
    <x:row r="3003" spans="6:6" x14ac:dyDescent="0.25">
      <x:c r="F3003" s="11"/>
    </x:row>
    <x:row r="3004" spans="6:6" x14ac:dyDescent="0.25">
      <x:c r="F3004" s="11"/>
    </x:row>
    <x:row r="3005" spans="6:6" x14ac:dyDescent="0.25">
      <x:c r="F3005" s="11"/>
    </x:row>
    <x:row r="3006" spans="6:6" x14ac:dyDescent="0.25">
      <x:c r="F3006" s="11"/>
    </x:row>
    <x:row r="3007" spans="6:6" x14ac:dyDescent="0.25">
      <x:c r="F3007" s="11"/>
    </x:row>
    <x:row r="3008" spans="6:6" x14ac:dyDescent="0.25">
      <x:c r="F3008" s="11"/>
    </x:row>
    <x:row r="3009" spans="6:6" x14ac:dyDescent="0.25">
      <x:c r="F3009" s="11"/>
    </x:row>
    <x:row r="3010" spans="6:6" x14ac:dyDescent="0.25">
      <x:c r="F3010" s="11"/>
    </x:row>
    <x:row r="3011" spans="6:6" x14ac:dyDescent="0.25">
      <x:c r="F3011" s="11"/>
    </x:row>
    <x:row r="3012" spans="6:6" x14ac:dyDescent="0.25">
      <x:c r="F3012" s="11"/>
    </x:row>
    <x:row r="3013" spans="6:6" x14ac:dyDescent="0.25">
      <x:c r="F3013" s="11"/>
    </x:row>
    <x:row r="3014" spans="6:6" x14ac:dyDescent="0.25">
      <x:c r="F3014" s="11"/>
    </x:row>
    <x:row r="3015" spans="6:6" x14ac:dyDescent="0.25">
      <x:c r="F3015" s="11"/>
    </x:row>
    <x:row r="3016" spans="6:6" x14ac:dyDescent="0.25">
      <x:c r="F3016" s="11"/>
    </x:row>
    <x:row r="3017" spans="6:6" x14ac:dyDescent="0.25">
      <x:c r="F3017" s="11"/>
    </x:row>
    <x:row r="3018" spans="6:6" x14ac:dyDescent="0.25">
      <x:c r="F3018" s="11"/>
    </x:row>
    <x:row r="3019" spans="6:6" x14ac:dyDescent="0.25">
      <x:c r="F3019" s="11"/>
    </x:row>
    <x:row r="3020" spans="6:6" x14ac:dyDescent="0.25">
      <x:c r="F3020" s="11"/>
    </x:row>
    <x:row r="3021" spans="6:6" x14ac:dyDescent="0.25">
      <x:c r="F3021" s="11"/>
    </x:row>
    <x:row r="3022" spans="6:6" x14ac:dyDescent="0.25">
      <x:c r="F3022" s="11"/>
    </x:row>
    <x:row r="3023" spans="6:6" x14ac:dyDescent="0.25">
      <x:c r="F3023" s="11"/>
    </x:row>
    <x:row r="3024" spans="6:6" x14ac:dyDescent="0.25">
      <x:c r="F3024" s="11"/>
    </x:row>
    <x:row r="3025" spans="6:6" x14ac:dyDescent="0.25">
      <x:c r="F3025" s="11"/>
    </x:row>
    <x:row r="3026" spans="6:6" x14ac:dyDescent="0.25">
      <x:c r="F3026" s="11"/>
    </x:row>
    <x:row r="3027" spans="6:6" x14ac:dyDescent="0.25">
      <x:c r="F3027" s="11"/>
    </x:row>
    <x:row r="3028" spans="6:6" x14ac:dyDescent="0.25">
      <x:c r="F3028" s="11"/>
    </x:row>
    <x:row r="3029" spans="6:6" x14ac:dyDescent="0.25">
      <x:c r="F3029" s="11"/>
    </x:row>
    <x:row r="3030" spans="6:6" x14ac:dyDescent="0.25">
      <x:c r="F3030" s="11"/>
    </x:row>
    <x:row r="3031" spans="6:6" x14ac:dyDescent="0.25">
      <x:c r="F3031" s="11"/>
    </x:row>
    <x:row r="3032" spans="6:6" x14ac:dyDescent="0.25">
      <x:c r="F3032" s="11"/>
    </x:row>
    <x:row r="3033" spans="6:6" x14ac:dyDescent="0.25">
      <x:c r="F3033" s="11"/>
    </x:row>
    <x:row r="3034" spans="6:6" x14ac:dyDescent="0.25">
      <x:c r="F3034" s="11"/>
    </x:row>
    <x:row r="3035" spans="6:6" x14ac:dyDescent="0.25">
      <x:c r="F3035" s="11"/>
    </x:row>
    <x:row r="3036" spans="6:6" x14ac:dyDescent="0.25">
      <x:c r="F3036" s="11"/>
    </x:row>
    <x:row r="3037" spans="6:6" x14ac:dyDescent="0.25">
      <x:c r="F3037" s="11"/>
    </x:row>
    <x:row r="3038" spans="6:6" x14ac:dyDescent="0.25">
      <x:c r="F3038" s="11"/>
    </x:row>
    <x:row r="3039" spans="6:6" x14ac:dyDescent="0.25">
      <x:c r="F3039" s="11"/>
    </x:row>
    <x:row r="3040" spans="6:6" x14ac:dyDescent="0.25">
      <x:c r="F3040" s="11"/>
    </x:row>
    <x:row r="3041" spans="6:6" x14ac:dyDescent="0.25">
      <x:c r="F3041" s="11"/>
    </x:row>
    <x:row r="3042" spans="6:6" x14ac:dyDescent="0.25">
      <x:c r="F3042" s="11"/>
    </x:row>
    <x:row r="3043" spans="6:6" x14ac:dyDescent="0.25">
      <x:c r="F3043" s="11"/>
    </x:row>
    <x:row r="3044" spans="6:6" x14ac:dyDescent="0.25">
      <x:c r="F3044" s="11"/>
    </x:row>
    <x:row r="3045" spans="6:6" x14ac:dyDescent="0.25">
      <x:c r="F3045" s="11"/>
    </x:row>
    <x:row r="3046" spans="6:6" x14ac:dyDescent="0.25">
      <x:c r="F3046" s="11"/>
    </x:row>
    <x:row r="3047" spans="6:6" x14ac:dyDescent="0.25">
      <x:c r="F3047" s="11"/>
    </x:row>
    <x:row r="3048" spans="6:6" x14ac:dyDescent="0.25">
      <x:c r="F3048" s="11"/>
    </x:row>
    <x:row r="3049" spans="6:6" x14ac:dyDescent="0.25">
      <x:c r="F3049" s="11"/>
    </x:row>
    <x:row r="3050" spans="6:6" x14ac:dyDescent="0.25">
      <x:c r="F3050" s="11"/>
    </x:row>
    <x:row r="3051" spans="6:6" x14ac:dyDescent="0.25">
      <x:c r="F3051" s="11"/>
    </x:row>
    <x:row r="3052" spans="6:6" x14ac:dyDescent="0.25">
      <x:c r="F3052" s="11"/>
    </x:row>
    <x:row r="3053" spans="6:6" x14ac:dyDescent="0.25">
      <x:c r="F3053" s="11"/>
    </x:row>
    <x:row r="3054" spans="6:6" x14ac:dyDescent="0.25">
      <x:c r="F3054" s="11"/>
    </x:row>
    <x:row r="3055" spans="6:6" x14ac:dyDescent="0.25">
      <x:c r="F3055" s="11"/>
    </x:row>
    <x:row r="3056" spans="6:6" x14ac:dyDescent="0.25">
      <x:c r="F3056" s="11"/>
    </x:row>
    <x:row r="3057" spans="6:6" x14ac:dyDescent="0.25">
      <x:c r="F3057" s="11"/>
    </x:row>
    <x:row r="3058" spans="6:6" x14ac:dyDescent="0.25">
      <x:c r="F3058" s="11"/>
    </x:row>
    <x:row r="3059" spans="6:6" x14ac:dyDescent="0.25">
      <x:c r="F3059" s="11"/>
    </x:row>
    <x:row r="3060" spans="6:6" x14ac:dyDescent="0.25">
      <x:c r="F3060" s="11"/>
    </x:row>
    <x:row r="3061" spans="6:6" x14ac:dyDescent="0.25">
      <x:c r="F3061" s="11"/>
    </x:row>
    <x:row r="3062" spans="6:6" x14ac:dyDescent="0.25">
      <x:c r="F3062" s="11"/>
    </x:row>
    <x:row r="3063" spans="6:6" x14ac:dyDescent="0.25">
      <x:c r="F3063" s="11"/>
    </x:row>
    <x:row r="3064" spans="6:6" x14ac:dyDescent="0.25">
      <x:c r="F3064" s="11"/>
    </x:row>
    <x:row r="3065" spans="6:6" x14ac:dyDescent="0.25">
      <x:c r="F3065" s="11"/>
    </x:row>
    <x:row r="3066" spans="6:6" x14ac:dyDescent="0.25">
      <x:c r="F3066" s="11"/>
    </x:row>
    <x:row r="3067" spans="6:6" x14ac:dyDescent="0.25">
      <x:c r="F3067" s="11"/>
    </x:row>
    <x:row r="3068" spans="6:6" x14ac:dyDescent="0.25">
      <x:c r="F3068" s="11"/>
    </x:row>
    <x:row r="3069" spans="6:6" x14ac:dyDescent="0.25">
      <x:c r="F3069" s="11"/>
    </x:row>
    <x:row r="3070" spans="6:6" x14ac:dyDescent="0.25">
      <x:c r="F3070" s="11"/>
    </x:row>
    <x:row r="3071" spans="6:6" x14ac:dyDescent="0.25">
      <x:c r="F3071" s="11"/>
    </x:row>
    <x:row r="3072" spans="6:6" x14ac:dyDescent="0.25">
      <x:c r="F3072" s="11"/>
    </x:row>
    <x:row r="3073" spans="6:6" x14ac:dyDescent="0.25">
      <x:c r="F3073" s="11"/>
    </x:row>
    <x:row r="3074" spans="6:6" x14ac:dyDescent="0.25">
      <x:c r="F3074" s="11"/>
    </x:row>
    <x:row r="3075" spans="6:6" x14ac:dyDescent="0.25">
      <x:c r="F3075" s="11"/>
    </x:row>
    <x:row r="3076" spans="6:6" x14ac:dyDescent="0.25">
      <x:c r="F3076" s="11"/>
    </x:row>
    <x:row r="3077" spans="6:6" x14ac:dyDescent="0.25">
      <x:c r="F3077" s="11"/>
    </x:row>
    <x:row r="3078" spans="6:6" x14ac:dyDescent="0.25">
      <x:c r="F3078" s="11"/>
    </x:row>
    <x:row r="3079" spans="6:6" x14ac:dyDescent="0.25">
      <x:c r="F3079" s="11"/>
    </x:row>
    <x:row r="3080" spans="6:6" x14ac:dyDescent="0.25">
      <x:c r="F3080" s="11"/>
    </x:row>
    <x:row r="3081" spans="6:6" x14ac:dyDescent="0.25">
      <x:c r="F3081" s="11"/>
    </x:row>
    <x:row r="3082" spans="6:6" x14ac:dyDescent="0.25">
      <x:c r="F3082" s="11"/>
    </x:row>
    <x:row r="3083" spans="6:6" x14ac:dyDescent="0.25">
      <x:c r="F3083" s="11"/>
    </x:row>
    <x:row r="3084" spans="6:6" x14ac:dyDescent="0.25">
      <x:c r="F3084" s="11"/>
    </x:row>
    <x:row r="3085" spans="6:6" x14ac:dyDescent="0.25">
      <x:c r="F3085" s="11"/>
    </x:row>
    <x:row r="3086" spans="6:6" x14ac:dyDescent="0.25">
      <x:c r="F3086" s="11"/>
    </x:row>
    <x:row r="3087" spans="6:6" x14ac:dyDescent="0.25">
      <x:c r="F3087" s="11"/>
    </x:row>
    <x:row r="3088" spans="6:6" x14ac:dyDescent="0.25">
      <x:c r="F3088" s="11"/>
    </x:row>
    <x:row r="3089" spans="6:6" x14ac:dyDescent="0.25">
      <x:c r="F3089" s="11"/>
    </x:row>
    <x:row r="3090" spans="6:6" x14ac:dyDescent="0.25">
      <x:c r="F3090" s="11"/>
    </x:row>
    <x:row r="3091" spans="6:6" x14ac:dyDescent="0.25">
      <x:c r="F3091" s="11"/>
    </x:row>
    <x:row r="3092" spans="6:6" x14ac:dyDescent="0.25">
      <x:c r="F3092" s="11"/>
    </x:row>
    <x:row r="3093" spans="6:6" x14ac:dyDescent="0.25">
      <x:c r="F3093" s="11"/>
    </x:row>
    <x:row r="3094" spans="6:6" x14ac:dyDescent="0.25">
      <x:c r="F3094" s="11"/>
    </x:row>
    <x:row r="3095" spans="6:6" x14ac:dyDescent="0.25">
      <x:c r="F3095" s="11"/>
    </x:row>
    <x:row r="3096" spans="6:6" x14ac:dyDescent="0.25">
      <x:c r="F3096" s="11"/>
    </x:row>
    <x:row r="3097" spans="6:6" x14ac:dyDescent="0.25">
      <x:c r="F3097" s="11"/>
    </x:row>
    <x:row r="3098" spans="6:6" x14ac:dyDescent="0.25">
      <x:c r="F3098" s="11"/>
    </x:row>
    <x:row r="3099" spans="6:6" x14ac:dyDescent="0.25">
      <x:c r="F3099" s="11"/>
    </x:row>
    <x:row r="3100" spans="6:6" x14ac:dyDescent="0.25">
      <x:c r="F3100" s="11"/>
    </x:row>
    <x:row r="3101" spans="6:6" x14ac:dyDescent="0.25">
      <x:c r="F3101" s="11"/>
    </x:row>
    <x:row r="3102" spans="6:6" x14ac:dyDescent="0.25">
      <x:c r="F3102" s="11"/>
    </x:row>
    <x:row r="3103" spans="6:6" x14ac:dyDescent="0.25">
      <x:c r="F3103" s="11"/>
    </x:row>
    <x:row r="3104" spans="6:6" x14ac:dyDescent="0.25">
      <x:c r="F3104" s="11"/>
    </x:row>
    <x:row r="3105" spans="6:6" x14ac:dyDescent="0.25">
      <x:c r="F3105" s="11"/>
    </x:row>
    <x:row r="3106" spans="6:6" x14ac:dyDescent="0.25">
      <x:c r="F3106" s="11"/>
    </x:row>
    <x:row r="3107" spans="6:6" x14ac:dyDescent="0.25">
      <x:c r="F3107" s="11"/>
    </x:row>
    <x:row r="3108" spans="6:6" x14ac:dyDescent="0.25">
      <x:c r="F3108" s="11"/>
    </x:row>
    <x:row r="3109" spans="6:6" x14ac:dyDescent="0.25">
      <x:c r="F3109" s="11"/>
    </x:row>
    <x:row r="3110" spans="6:6" x14ac:dyDescent="0.25">
      <x:c r="F3110" s="11"/>
    </x:row>
    <x:row r="3111" spans="6:6" x14ac:dyDescent="0.25">
      <x:c r="F3111" s="11"/>
    </x:row>
    <x:row r="3112" spans="6:6" x14ac:dyDescent="0.25">
      <x:c r="F3112" s="11"/>
    </x:row>
    <x:row r="3113" spans="6:6" x14ac:dyDescent="0.25">
      <x:c r="F3113" s="11"/>
    </x:row>
    <x:row r="3114" spans="6:6" x14ac:dyDescent="0.25">
      <x:c r="F3114" s="11"/>
    </x:row>
    <x:row r="3115" spans="6:6" x14ac:dyDescent="0.25">
      <x:c r="F3115" s="11"/>
    </x:row>
    <x:row r="3116" spans="6:6" x14ac:dyDescent="0.25">
      <x:c r="F3116" s="11"/>
    </x:row>
    <x:row r="3117" spans="6:6" x14ac:dyDescent="0.25">
      <x:c r="F3117" s="11"/>
    </x:row>
    <x:row r="3118" spans="6:6" x14ac:dyDescent="0.25">
      <x:c r="F3118" s="11"/>
    </x:row>
    <x:row r="3119" spans="6:6" x14ac:dyDescent="0.25">
      <x:c r="F3119" s="11"/>
    </x:row>
    <x:row r="3120" spans="6:6" x14ac:dyDescent="0.25">
      <x:c r="F3120" s="11"/>
    </x:row>
    <x:row r="3121" spans="6:6" x14ac:dyDescent="0.25">
      <x:c r="F3121" s="11"/>
    </x:row>
    <x:row r="3122" spans="6:6" x14ac:dyDescent="0.25">
      <x:c r="F3122" s="11"/>
    </x:row>
    <x:row r="3123" spans="6:6" x14ac:dyDescent="0.25">
      <x:c r="F3123" s="11"/>
    </x:row>
    <x:row r="3124" spans="6:6" x14ac:dyDescent="0.25">
      <x:c r="F3124" s="11"/>
    </x:row>
    <x:row r="3125" spans="6:6" x14ac:dyDescent="0.25">
      <x:c r="F3125" s="11"/>
    </x:row>
    <x:row r="3126" spans="6:6" x14ac:dyDescent="0.25">
      <x:c r="F3126" s="11"/>
    </x:row>
    <x:row r="3127" spans="6:6" x14ac:dyDescent="0.25">
      <x:c r="F3127" s="11"/>
    </x:row>
    <x:row r="3128" spans="6:6" x14ac:dyDescent="0.25">
      <x:c r="F3128" s="11"/>
    </x:row>
    <x:row r="3129" spans="6:6" x14ac:dyDescent="0.25">
      <x:c r="F3129" s="11"/>
    </x:row>
    <x:row r="3130" spans="6:6" x14ac:dyDescent="0.25">
      <x:c r="F3130" s="11"/>
    </x:row>
    <x:row r="3131" spans="6:6" x14ac:dyDescent="0.25">
      <x:c r="F3131" s="11"/>
    </x:row>
    <x:row r="3132" spans="6:6" x14ac:dyDescent="0.25">
      <x:c r="F3132" s="11"/>
    </x:row>
    <x:row r="3133" spans="6:6" x14ac:dyDescent="0.25">
      <x:c r="F3133" s="11"/>
    </x:row>
    <x:row r="3134" spans="6:6" x14ac:dyDescent="0.25">
      <x:c r="F3134" s="11"/>
    </x:row>
    <x:row r="3135" spans="6:6" x14ac:dyDescent="0.25">
      <x:c r="F3135" s="11"/>
    </x:row>
    <x:row r="3136" spans="6:6" x14ac:dyDescent="0.25">
      <x:c r="F3136" s="11"/>
    </x:row>
    <x:row r="3137" spans="6:6" x14ac:dyDescent="0.25">
      <x:c r="F3137" s="11"/>
    </x:row>
    <x:row r="3138" spans="6:6" x14ac:dyDescent="0.25">
      <x:c r="F3138" s="11"/>
    </x:row>
    <x:row r="3139" spans="6:6" x14ac:dyDescent="0.25">
      <x:c r="F3139" s="11"/>
    </x:row>
    <x:row r="3140" spans="6:6" x14ac:dyDescent="0.25">
      <x:c r="F3140" s="11"/>
    </x:row>
    <x:row r="3141" spans="6:6" x14ac:dyDescent="0.25">
      <x:c r="F3141" s="11"/>
    </x:row>
    <x:row r="3142" spans="6:6" x14ac:dyDescent="0.25">
      <x:c r="F3142" s="11"/>
    </x:row>
    <x:row r="3143" spans="6:6" x14ac:dyDescent="0.25">
      <x:c r="F3143" s="11"/>
    </x:row>
    <x:row r="3144" spans="6:6" x14ac:dyDescent="0.25">
      <x:c r="F3144" s="11"/>
    </x:row>
    <x:row r="3145" spans="6:6" x14ac:dyDescent="0.25">
      <x:c r="F3145" s="11"/>
    </x:row>
    <x:row r="3146" spans="6:6" x14ac:dyDescent="0.25">
      <x:c r="F3146" s="11"/>
    </x:row>
    <x:row r="3147" spans="6:6" x14ac:dyDescent="0.25">
      <x:c r="F3147" s="11"/>
    </x:row>
    <x:row r="3148" spans="6:6" x14ac:dyDescent="0.25">
      <x:c r="F3148" s="11"/>
    </x:row>
    <x:row r="3149" spans="6:6" x14ac:dyDescent="0.25">
      <x:c r="F3149" s="11"/>
    </x:row>
    <x:row r="3150" spans="6:6" x14ac:dyDescent="0.25">
      <x:c r="F3150" s="11"/>
    </x:row>
    <x:row r="3151" spans="6:6" x14ac:dyDescent="0.25">
      <x:c r="F3151" s="11"/>
    </x:row>
    <x:row r="3152" spans="6:6" x14ac:dyDescent="0.25">
      <x:c r="F3152" s="11"/>
    </x:row>
    <x:row r="3153" spans="6:6" x14ac:dyDescent="0.25">
      <x:c r="F3153" s="11"/>
    </x:row>
    <x:row r="3154" spans="6:6" x14ac:dyDescent="0.25">
      <x:c r="F3154" s="11"/>
    </x:row>
    <x:row r="3155" spans="6:6" x14ac:dyDescent="0.25">
      <x:c r="F3155" s="11"/>
    </x:row>
    <x:row r="3156" spans="6:6" x14ac:dyDescent="0.25">
      <x:c r="F3156" s="11"/>
    </x:row>
    <x:row r="3157" spans="6:6" x14ac:dyDescent="0.25">
      <x:c r="F3157" s="11"/>
    </x:row>
    <x:row r="3158" spans="6:6" x14ac:dyDescent="0.25">
      <x:c r="F3158" s="11"/>
    </x:row>
    <x:row r="3159" spans="6:6" x14ac:dyDescent="0.25">
      <x:c r="F3159" s="11"/>
    </x:row>
    <x:row r="3160" spans="6:6" x14ac:dyDescent="0.25">
      <x:c r="F3160" s="11"/>
    </x:row>
    <x:row r="3161" spans="6:6" x14ac:dyDescent="0.25">
      <x:c r="F3161" s="11"/>
    </x:row>
    <x:row r="3162" spans="6:6" x14ac:dyDescent="0.25">
      <x:c r="F3162" s="11"/>
    </x:row>
    <x:row r="3163" spans="6:6" x14ac:dyDescent="0.25">
      <x:c r="F3163" s="11"/>
    </x:row>
    <x:row r="3164" spans="6:6" x14ac:dyDescent="0.25">
      <x:c r="F3164" s="11"/>
    </x:row>
    <x:row r="3165" spans="6:6" x14ac:dyDescent="0.25">
      <x:c r="F3165" s="11"/>
    </x:row>
    <x:row r="3166" spans="6:6" x14ac:dyDescent="0.25">
      <x:c r="F3166" s="11"/>
    </x:row>
    <x:row r="3167" spans="6:6" x14ac:dyDescent="0.25">
      <x:c r="F3167" s="11"/>
    </x:row>
    <x:row r="3168" spans="6:6" x14ac:dyDescent="0.25">
      <x:c r="F3168" s="11"/>
    </x:row>
    <x:row r="3169" spans="6:6" x14ac:dyDescent="0.25">
      <x:c r="F3169" s="11"/>
    </x:row>
    <x:row r="3170" spans="6:6" x14ac:dyDescent="0.25">
      <x:c r="F3170" s="11"/>
    </x:row>
    <x:row r="3171" spans="6:6" x14ac:dyDescent="0.25">
      <x:c r="F3171" s="11"/>
    </x:row>
    <x:row r="3172" spans="6:6" x14ac:dyDescent="0.25">
      <x:c r="F3172" s="11"/>
    </x:row>
    <x:row r="3173" spans="6:6" x14ac:dyDescent="0.25">
      <x:c r="F3173" s="11"/>
    </x:row>
    <x:row r="3174" spans="6:6" x14ac:dyDescent="0.25">
      <x:c r="F3174" s="11"/>
    </x:row>
    <x:row r="3175" spans="6:6" x14ac:dyDescent="0.25">
      <x:c r="F3175" s="11"/>
    </x:row>
    <x:row r="3176" spans="6:6" x14ac:dyDescent="0.25">
      <x:c r="F3176" s="11"/>
    </x:row>
    <x:row r="3177" spans="6:6" x14ac:dyDescent="0.25">
      <x:c r="F3177" s="11"/>
    </x:row>
    <x:row r="3178" spans="6:6" x14ac:dyDescent="0.25">
      <x:c r="F3178" s="11"/>
    </x:row>
    <x:row r="3179" spans="6:6" x14ac:dyDescent="0.25">
      <x:c r="F3179" s="11"/>
    </x:row>
    <x:row r="3180" spans="6:6" x14ac:dyDescent="0.25">
      <x:c r="F3180" s="11"/>
    </x:row>
    <x:row r="3181" spans="6:6" x14ac:dyDescent="0.25">
      <x:c r="F3181" s="11"/>
    </x:row>
    <x:row r="3182" spans="6:6" x14ac:dyDescent="0.25">
      <x:c r="F3182" s="11"/>
    </x:row>
    <x:row r="3183" spans="6:6" x14ac:dyDescent="0.25">
      <x:c r="F3183" s="11"/>
    </x:row>
    <x:row r="3184" spans="6:6" x14ac:dyDescent="0.25">
      <x:c r="F3184" s="11"/>
    </x:row>
    <x:row r="3185" spans="6:6" x14ac:dyDescent="0.25">
      <x:c r="F3185" s="11"/>
    </x:row>
    <x:row r="3186" spans="6:6" x14ac:dyDescent="0.25">
      <x:c r="F3186" s="11"/>
    </x:row>
    <x:row r="3187" spans="6:6" x14ac:dyDescent="0.25">
      <x:c r="F3187" s="11"/>
    </x:row>
    <x:row r="3188" spans="6:6" x14ac:dyDescent="0.25">
      <x:c r="F3188" s="11"/>
    </x:row>
    <x:row r="3189" spans="6:6" x14ac:dyDescent="0.25">
      <x:c r="F3189" s="11"/>
    </x:row>
    <x:row r="3190" spans="6:6" x14ac:dyDescent="0.25">
      <x:c r="F3190" s="11"/>
    </x:row>
    <x:row r="3191" spans="6:6" x14ac:dyDescent="0.25">
      <x:c r="F3191" s="11"/>
    </x:row>
    <x:row r="3192" spans="6:6" x14ac:dyDescent="0.25">
      <x:c r="F3192" s="11"/>
    </x:row>
    <x:row r="3193" spans="6:6" x14ac:dyDescent="0.25">
      <x:c r="F3193" s="11"/>
    </x:row>
    <x:row r="3194" spans="6:6" x14ac:dyDescent="0.25">
      <x:c r="F3194" s="11"/>
    </x:row>
    <x:row r="3195" spans="6:6" x14ac:dyDescent="0.25">
      <x:c r="F3195" s="11"/>
    </x:row>
    <x:row r="3196" spans="6:6" x14ac:dyDescent="0.25">
      <x:c r="F3196" s="11"/>
    </x:row>
    <x:row r="3197" spans="6:6" x14ac:dyDescent="0.25">
      <x:c r="F3197" s="11"/>
    </x:row>
    <x:row r="3198" spans="6:6" x14ac:dyDescent="0.25">
      <x:c r="F3198" s="11"/>
    </x:row>
    <x:row r="3199" spans="6:6" x14ac:dyDescent="0.25">
      <x:c r="F3199" s="11"/>
    </x:row>
    <x:row r="3200" spans="6:6" x14ac:dyDescent="0.25">
      <x:c r="F3200" s="11"/>
    </x:row>
    <x:row r="3201" spans="6:6" x14ac:dyDescent="0.25">
      <x:c r="F3201" s="11"/>
    </x:row>
    <x:row r="3202" spans="6:6" x14ac:dyDescent="0.25">
      <x:c r="F3202" s="11"/>
    </x:row>
    <x:row r="3203" spans="6:6" x14ac:dyDescent="0.25">
      <x:c r="F3203" s="11"/>
    </x:row>
    <x:row r="3204" spans="6:6" x14ac:dyDescent="0.25">
      <x:c r="F3204" s="11"/>
    </x:row>
    <x:row r="3205" spans="6:6" x14ac:dyDescent="0.25">
      <x:c r="F3205" s="11"/>
    </x:row>
    <x:row r="3206" spans="6:6" x14ac:dyDescent="0.25">
      <x:c r="F3206" s="11"/>
    </x:row>
    <x:row r="3207" spans="6:6" x14ac:dyDescent="0.25">
      <x:c r="F3207" s="11"/>
    </x:row>
    <x:row r="3208" spans="6:6" x14ac:dyDescent="0.25">
      <x:c r="F3208" s="11"/>
    </x:row>
    <x:row r="3209" spans="6:6" x14ac:dyDescent="0.25">
      <x:c r="F3209" s="11"/>
    </x:row>
    <x:row r="3210" spans="6:6" x14ac:dyDescent="0.25">
      <x:c r="F3210" s="11"/>
    </x:row>
    <x:row r="3211" spans="6:6" x14ac:dyDescent="0.25">
      <x:c r="F3211" s="11"/>
    </x:row>
    <x:row r="3212" spans="6:6" x14ac:dyDescent="0.25">
      <x:c r="F3212" s="11"/>
    </x:row>
    <x:row r="3213" spans="6:6" x14ac:dyDescent="0.25">
      <x:c r="F3213" s="11"/>
    </x:row>
    <x:row r="3214" spans="6:6" x14ac:dyDescent="0.25">
      <x:c r="F3214" s="11"/>
    </x:row>
    <x:row r="3215" spans="6:6" x14ac:dyDescent="0.25">
      <x:c r="F3215" s="11"/>
    </x:row>
    <x:row r="3216" spans="6:6" x14ac:dyDescent="0.25">
      <x:c r="F3216" s="11"/>
    </x:row>
    <x:row r="3217" spans="6:6" x14ac:dyDescent="0.25">
      <x:c r="F3217" s="11"/>
    </x:row>
    <x:row r="3218" spans="6:6" x14ac:dyDescent="0.25">
      <x:c r="F3218" s="11"/>
    </x:row>
    <x:row r="3219" spans="6:6" x14ac:dyDescent="0.25">
      <x:c r="F3219" s="11"/>
    </x:row>
    <x:row r="3220" spans="6:6" x14ac:dyDescent="0.25">
      <x:c r="F3220" s="11"/>
    </x:row>
    <x:row r="3221" spans="6:6" x14ac:dyDescent="0.25">
      <x:c r="F3221" s="11"/>
    </x:row>
    <x:row r="3222" spans="6:6" x14ac:dyDescent="0.25">
      <x:c r="F3222" s="11"/>
    </x:row>
    <x:row r="3223" spans="6:6" x14ac:dyDescent="0.25">
      <x:c r="F3223" s="11"/>
    </x:row>
    <x:row r="3224" spans="6:6" x14ac:dyDescent="0.25">
      <x:c r="F3224" s="11"/>
    </x:row>
    <x:row r="3225" spans="6:6" x14ac:dyDescent="0.25">
      <x:c r="F3225" s="11"/>
    </x:row>
    <x:row r="3226" spans="6:6" x14ac:dyDescent="0.25">
      <x:c r="F3226" s="11"/>
    </x:row>
    <x:row r="3227" spans="6:6" x14ac:dyDescent="0.25">
      <x:c r="F3227" s="11"/>
    </x:row>
    <x:row r="3228" spans="6:6" x14ac:dyDescent="0.25">
      <x:c r="F3228" s="11"/>
    </x:row>
    <x:row r="3229" spans="6:6" x14ac:dyDescent="0.25">
      <x:c r="F3229" s="11"/>
    </x:row>
    <x:row r="3230" spans="6:6" x14ac:dyDescent="0.25">
      <x:c r="F3230" s="11"/>
    </x:row>
    <x:row r="3231" spans="6:6" x14ac:dyDescent="0.25">
      <x:c r="F3231" s="11"/>
    </x:row>
    <x:row r="3232" spans="6:6" x14ac:dyDescent="0.25">
      <x:c r="F3232" s="11"/>
    </x:row>
    <x:row r="3233" spans="6:6" x14ac:dyDescent="0.25">
      <x:c r="F3233" s="11"/>
    </x:row>
    <x:row r="3234" spans="6:6" x14ac:dyDescent="0.25">
      <x:c r="F3234" s="11"/>
    </x:row>
    <x:row r="3235" spans="6:6" x14ac:dyDescent="0.25">
      <x:c r="F3235" s="11"/>
    </x:row>
    <x:row r="3236" spans="6:6" x14ac:dyDescent="0.25">
      <x:c r="F3236" s="11"/>
    </x:row>
    <x:row r="3237" spans="6:6" x14ac:dyDescent="0.25">
      <x:c r="F3237" s="11"/>
    </x:row>
    <x:row r="3238" spans="6:6" x14ac:dyDescent="0.25">
      <x:c r="F3238" s="11"/>
    </x:row>
    <x:row r="3239" spans="6:6" x14ac:dyDescent="0.25">
      <x:c r="F3239" s="11"/>
    </x:row>
    <x:row r="3240" spans="6:6" x14ac:dyDescent="0.25">
      <x:c r="F3240" s="11"/>
    </x:row>
    <x:row r="3241" spans="6:6" x14ac:dyDescent="0.25">
      <x:c r="F3241" s="11"/>
    </x:row>
    <x:row r="3242" spans="6:6" x14ac:dyDescent="0.25">
      <x:c r="F3242" s="11"/>
    </x:row>
    <x:row r="3243" spans="6:6" x14ac:dyDescent="0.25">
      <x:c r="F3243" s="11"/>
    </x:row>
    <x:row r="3244" spans="6:6" x14ac:dyDescent="0.25">
      <x:c r="F3244" s="11"/>
    </x:row>
    <x:row r="3245" spans="6:6" x14ac:dyDescent="0.25">
      <x:c r="F3245" s="11"/>
    </x:row>
    <x:row r="3246" spans="6:6" x14ac:dyDescent="0.25">
      <x:c r="F3246" s="11"/>
    </x:row>
    <x:row r="3247" spans="6:6" x14ac:dyDescent="0.25">
      <x:c r="F3247" s="11"/>
    </x:row>
    <x:row r="3248" spans="6:6" x14ac:dyDescent="0.25">
      <x:c r="F3248" s="11"/>
    </x:row>
    <x:row r="3249" spans="6:6" x14ac:dyDescent="0.25">
      <x:c r="F3249" s="11"/>
    </x:row>
    <x:row r="3250" spans="6:6" x14ac:dyDescent="0.25">
      <x:c r="F3250" s="11"/>
    </x:row>
    <x:row r="3251" spans="6:6" x14ac:dyDescent="0.25">
      <x:c r="F3251" s="11"/>
    </x:row>
    <x:row r="3252" spans="6:6" x14ac:dyDescent="0.25">
      <x:c r="F3252" s="11"/>
    </x:row>
    <x:row r="3253" spans="6:6" x14ac:dyDescent="0.25">
      <x:c r="F3253" s="11"/>
    </x:row>
    <x:row r="3254" spans="6:6" x14ac:dyDescent="0.25">
      <x:c r="F3254" s="11"/>
    </x:row>
    <x:row r="3255" spans="6:6" x14ac:dyDescent="0.25">
      <x:c r="F3255" s="11"/>
    </x:row>
    <x:row r="3256" spans="6:6" x14ac:dyDescent="0.25">
      <x:c r="F3256" s="11"/>
    </x:row>
    <x:row r="3257" spans="6:6" x14ac:dyDescent="0.25">
      <x:c r="F3257" s="11"/>
    </x:row>
    <x:row r="3258" spans="6:6" x14ac:dyDescent="0.25">
      <x:c r="F3258" s="11"/>
    </x:row>
    <x:row r="3259" spans="6:6" x14ac:dyDescent="0.25">
      <x:c r="F3259" s="11"/>
    </x:row>
    <x:row r="3260" spans="6:6" x14ac:dyDescent="0.25">
      <x:c r="F3260" s="11"/>
    </x:row>
    <x:row r="3261" spans="6:6" x14ac:dyDescent="0.25">
      <x:c r="F3261" s="11"/>
    </x:row>
    <x:row r="3262" spans="6:6" x14ac:dyDescent="0.25">
      <x:c r="F3262" s="11"/>
    </x:row>
    <x:row r="3263" spans="6:6" x14ac:dyDescent="0.25">
      <x:c r="F3263" s="11"/>
    </x:row>
    <x:row r="3264" spans="6:6" x14ac:dyDescent="0.25">
      <x:c r="F3264" s="11"/>
    </x:row>
    <x:row r="3265" spans="6:6" x14ac:dyDescent="0.25">
      <x:c r="F3265" s="11"/>
    </x:row>
    <x:row r="3266" spans="6:6" x14ac:dyDescent="0.25">
      <x:c r="F3266" s="11"/>
    </x:row>
    <x:row r="3267" spans="6:6" x14ac:dyDescent="0.25">
      <x:c r="F3267" s="11"/>
    </x:row>
    <x:row r="3268" spans="6:6" x14ac:dyDescent="0.25">
      <x:c r="F3268" s="11"/>
    </x:row>
    <x:row r="3269" spans="6:6" x14ac:dyDescent="0.25">
      <x:c r="F3269" s="11"/>
    </x:row>
    <x:row r="3270" spans="6:6" x14ac:dyDescent="0.25">
      <x:c r="F3270" s="11"/>
    </x:row>
    <x:row r="3271" spans="6:6" x14ac:dyDescent="0.25">
      <x:c r="F3271" s="11"/>
    </x:row>
    <x:row r="3272" spans="6:6" x14ac:dyDescent="0.25">
      <x:c r="F3272" s="11"/>
    </x:row>
    <x:row r="3273" spans="6:6" x14ac:dyDescent="0.25">
      <x:c r="F3273" s="11"/>
    </x:row>
    <x:row r="3274" spans="6:6" x14ac:dyDescent="0.25">
      <x:c r="F3274" s="11"/>
    </x:row>
    <x:row r="3275" spans="6:6" x14ac:dyDescent="0.25">
      <x:c r="F3275" s="11"/>
    </x:row>
    <x:row r="3276" spans="6:6" x14ac:dyDescent="0.25">
      <x:c r="F3276" s="11"/>
    </x:row>
    <x:row r="3277" spans="6:6" x14ac:dyDescent="0.25">
      <x:c r="F3277" s="11"/>
    </x:row>
    <x:row r="3278" spans="6:6" x14ac:dyDescent="0.25">
      <x:c r="F3278" s="11"/>
    </x:row>
    <x:row r="3279" spans="6:6" x14ac:dyDescent="0.25">
      <x:c r="F3279" s="11"/>
    </x:row>
    <x:row r="3280" spans="6:6" x14ac:dyDescent="0.25">
      <x:c r="F3280" s="11"/>
    </x:row>
    <x:row r="3281" spans="6:6" x14ac:dyDescent="0.25">
      <x:c r="F3281" s="11"/>
    </x:row>
    <x:row r="3282" spans="6:6" x14ac:dyDescent="0.25">
      <x:c r="F3282" s="11"/>
    </x:row>
    <x:row r="3283" spans="6:6" x14ac:dyDescent="0.25">
      <x:c r="F3283" s="11"/>
    </x:row>
    <x:row r="3284" spans="6:6" x14ac:dyDescent="0.25">
      <x:c r="F3284" s="11"/>
    </x:row>
    <x:row r="3285" spans="6:6" x14ac:dyDescent="0.25">
      <x:c r="F3285" s="11"/>
    </x:row>
    <x:row r="3286" spans="6:6" x14ac:dyDescent="0.25">
      <x:c r="F3286" s="11"/>
    </x:row>
    <x:row r="3287" spans="6:6" x14ac:dyDescent="0.25">
      <x:c r="F3287" s="11"/>
    </x:row>
    <x:row r="3288" spans="6:6" x14ac:dyDescent="0.25">
      <x:c r="F3288" s="11"/>
    </x:row>
    <x:row r="3289" spans="6:6" x14ac:dyDescent="0.25">
      <x:c r="F3289" s="11"/>
    </x:row>
    <x:row r="3290" spans="6:6" x14ac:dyDescent="0.25">
      <x:c r="F3290" s="11"/>
    </x:row>
    <x:row r="3291" spans="6:6" x14ac:dyDescent="0.25">
      <x:c r="F3291" s="11"/>
    </x:row>
    <x:row r="3292" spans="6:6" x14ac:dyDescent="0.25">
      <x:c r="F3292" s="11"/>
    </x:row>
    <x:row r="3293" spans="6:6" x14ac:dyDescent="0.25">
      <x:c r="F3293" s="11"/>
    </x:row>
    <x:row r="3294" spans="6:6" x14ac:dyDescent="0.25">
      <x:c r="F3294" s="11"/>
    </x:row>
    <x:row r="3295" spans="6:6" x14ac:dyDescent="0.25">
      <x:c r="F3295" s="11"/>
    </x:row>
    <x:row r="3296" spans="6:6" x14ac:dyDescent="0.25">
      <x:c r="F3296" s="11"/>
    </x:row>
    <x:row r="3297" spans="6:6" x14ac:dyDescent="0.25">
      <x:c r="F3297" s="11"/>
    </x:row>
    <x:row r="3298" spans="6:6" x14ac:dyDescent="0.25">
      <x:c r="F3298" s="11"/>
    </x:row>
    <x:row r="3299" spans="6:6" x14ac:dyDescent="0.25">
      <x:c r="F3299" s="11"/>
    </x:row>
    <x:row r="3300" spans="6:6" x14ac:dyDescent="0.25">
      <x:c r="F3300" s="11"/>
    </x:row>
    <x:row r="3301" spans="6:6" x14ac:dyDescent="0.25">
      <x:c r="F3301" s="11"/>
    </x:row>
    <x:row r="3302" spans="6:6" x14ac:dyDescent="0.25">
      <x:c r="F3302" s="11"/>
    </x:row>
    <x:row r="3303" spans="6:6" x14ac:dyDescent="0.25">
      <x:c r="F3303" s="11"/>
    </x:row>
    <x:row r="3304" spans="6:6" x14ac:dyDescent="0.25">
      <x:c r="F3304" s="11"/>
    </x:row>
    <x:row r="3305" spans="6:6" x14ac:dyDescent="0.25">
      <x:c r="F3305" s="11"/>
    </x:row>
    <x:row r="3306" spans="6:6" x14ac:dyDescent="0.25">
      <x:c r="F3306" s="11"/>
    </x:row>
    <x:row r="3307" spans="6:6" x14ac:dyDescent="0.25">
      <x:c r="F3307" s="11"/>
    </x:row>
    <x:row r="3308" spans="6:6" x14ac:dyDescent="0.25">
      <x:c r="F3308" s="11"/>
    </x:row>
    <x:row r="3309" spans="6:6" x14ac:dyDescent="0.25">
      <x:c r="F3309" s="11"/>
    </x:row>
    <x:row r="3310" spans="6:6" x14ac:dyDescent="0.25">
      <x:c r="F3310" s="11"/>
    </x:row>
    <x:row r="3311" spans="6:6" x14ac:dyDescent="0.25">
      <x:c r="F3311" s="11"/>
    </x:row>
    <x:row r="3312" spans="6:6" x14ac:dyDescent="0.25">
      <x:c r="F3312" s="11"/>
    </x:row>
    <x:row r="3313" spans="6:6" x14ac:dyDescent="0.25">
      <x:c r="F3313" s="11"/>
    </x:row>
    <x:row r="3314" spans="6:6" x14ac:dyDescent="0.25">
      <x:c r="F3314" s="11"/>
    </x:row>
    <x:row r="3315" spans="6:6" x14ac:dyDescent="0.25">
      <x:c r="F3315" s="11"/>
    </x:row>
    <x:row r="3316" spans="6:6" x14ac:dyDescent="0.25">
      <x:c r="F3316" s="11"/>
    </x:row>
    <x:row r="3317" spans="6:6" x14ac:dyDescent="0.25">
      <x:c r="F3317" s="11"/>
    </x:row>
    <x:row r="3318" spans="6:6" x14ac:dyDescent="0.25">
      <x:c r="F3318" s="11"/>
    </x:row>
    <x:row r="3319" spans="6:6" x14ac:dyDescent="0.25">
      <x:c r="F3319" s="11"/>
    </x:row>
    <x:row r="3320" spans="6:6" x14ac:dyDescent="0.25">
      <x:c r="F3320" s="11"/>
    </x:row>
    <x:row r="3321" spans="6:6" x14ac:dyDescent="0.25">
      <x:c r="F3321" s="11"/>
    </x:row>
    <x:row r="3322" spans="6:6" x14ac:dyDescent="0.25">
      <x:c r="F3322" s="11"/>
    </x:row>
    <x:row r="3323" spans="6:6" x14ac:dyDescent="0.25">
      <x:c r="F3323" s="11"/>
    </x:row>
    <x:row r="3324" spans="6:6" x14ac:dyDescent="0.25">
      <x:c r="F3324" s="11"/>
    </x:row>
    <x:row r="3325" spans="6:6" x14ac:dyDescent="0.25">
      <x:c r="F3325" s="11"/>
    </x:row>
    <x:row r="3326" spans="6:6" x14ac:dyDescent="0.25">
      <x:c r="F3326" s="11"/>
    </x:row>
    <x:row r="3327" spans="6:6" x14ac:dyDescent="0.25">
      <x:c r="F3327" s="11"/>
    </x:row>
    <x:row r="3328" spans="6:6" x14ac:dyDescent="0.25">
      <x:c r="F3328" s="11"/>
    </x:row>
    <x:row r="3329" spans="6:6" x14ac:dyDescent="0.25">
      <x:c r="F3329" s="11"/>
    </x:row>
    <x:row r="3330" spans="6:6" x14ac:dyDescent="0.25">
      <x:c r="F3330" s="11"/>
    </x:row>
    <x:row r="3331" spans="6:6" x14ac:dyDescent="0.25">
      <x:c r="F3331" s="11"/>
    </x:row>
    <x:row r="3332" spans="6:6" x14ac:dyDescent="0.25">
      <x:c r="F3332" s="11"/>
    </x:row>
    <x:row r="3333" spans="6:6" x14ac:dyDescent="0.25">
      <x:c r="F3333" s="11"/>
    </x:row>
    <x:row r="3334" spans="6:6" x14ac:dyDescent="0.25">
      <x:c r="F3334" s="11"/>
    </x:row>
    <x:row r="3335" spans="6:6" x14ac:dyDescent="0.25">
      <x:c r="F3335" s="11"/>
    </x:row>
    <x:row r="3336" spans="6:6" x14ac:dyDescent="0.25">
      <x:c r="F3336" s="11"/>
    </x:row>
    <x:row r="3337" spans="6:6" x14ac:dyDescent="0.25">
      <x:c r="F3337" s="11"/>
    </x:row>
    <x:row r="3338" spans="6:6" x14ac:dyDescent="0.25">
      <x:c r="F3338" s="11"/>
    </x:row>
    <x:row r="3339" spans="6:6" x14ac:dyDescent="0.25">
      <x:c r="F3339" s="11"/>
    </x:row>
    <x:row r="3340" spans="6:6" x14ac:dyDescent="0.25">
      <x:c r="F3340" s="11"/>
    </x:row>
    <x:row r="3341" spans="6:6" x14ac:dyDescent="0.25">
      <x:c r="F3341" s="11"/>
    </x:row>
    <x:row r="3342" spans="6:6" x14ac:dyDescent="0.25">
      <x:c r="F3342" s="11"/>
    </x:row>
    <x:row r="3343" spans="6:6" x14ac:dyDescent="0.25">
      <x:c r="F3343" s="11"/>
    </x:row>
    <x:row r="3344" spans="6:6" x14ac:dyDescent="0.25">
      <x:c r="F3344" s="11"/>
    </x:row>
    <x:row r="3345" spans="6:6" x14ac:dyDescent="0.25">
      <x:c r="F3345" s="11"/>
    </x:row>
    <x:row r="3346" spans="6:6" x14ac:dyDescent="0.25">
      <x:c r="F3346" s="11"/>
    </x:row>
    <x:row r="3347" spans="6:6" x14ac:dyDescent="0.25">
      <x:c r="F3347" s="11"/>
    </x:row>
    <x:row r="3348" spans="6:6" x14ac:dyDescent="0.25">
      <x:c r="F3348" s="11"/>
    </x:row>
    <x:row r="3349" spans="6:6" x14ac:dyDescent="0.25">
      <x:c r="F3349" s="11"/>
    </x:row>
    <x:row r="3350" spans="6:6" x14ac:dyDescent="0.25">
      <x:c r="F3350" s="11"/>
    </x:row>
    <x:row r="3351" spans="6:6" x14ac:dyDescent="0.25">
      <x:c r="F3351" s="11"/>
    </x:row>
    <x:row r="3352" spans="6:6" x14ac:dyDescent="0.25">
      <x:c r="F3352" s="11"/>
    </x:row>
    <x:row r="3353" spans="6:6" x14ac:dyDescent="0.25">
      <x:c r="F3353" s="11"/>
    </x:row>
    <x:row r="3354" spans="6:6" x14ac:dyDescent="0.25">
      <x:c r="F3354" s="11"/>
    </x:row>
    <x:row r="3355" spans="6:6" x14ac:dyDescent="0.25">
      <x:c r="F3355" s="11"/>
    </x:row>
    <x:row r="3356" spans="6:6" x14ac:dyDescent="0.25">
      <x:c r="F3356" s="11"/>
    </x:row>
    <x:row r="3357" spans="6:6" x14ac:dyDescent="0.25">
      <x:c r="F3357" s="11"/>
    </x:row>
    <x:row r="3358" spans="6:6" x14ac:dyDescent="0.25">
      <x:c r="F3358" s="11"/>
    </x:row>
    <x:row r="3359" spans="6:6" x14ac:dyDescent="0.25">
      <x:c r="F3359" s="11"/>
    </x:row>
    <x:row r="3360" spans="6:6" x14ac:dyDescent="0.25">
      <x:c r="F3360" s="11"/>
    </x:row>
    <x:row r="3361" spans="6:6" x14ac:dyDescent="0.25">
      <x:c r="F3361" s="11"/>
    </x:row>
    <x:row r="3362" spans="6:6" x14ac:dyDescent="0.25">
      <x:c r="F3362" s="11"/>
    </x:row>
    <x:row r="3363" spans="6:6" x14ac:dyDescent="0.25">
      <x:c r="F3363" s="11"/>
    </x:row>
    <x:row r="3364" spans="6:6" x14ac:dyDescent="0.25">
      <x:c r="F3364" s="11"/>
    </x:row>
    <x:row r="3365" spans="6:6" x14ac:dyDescent="0.25">
      <x:c r="F3365" s="11"/>
    </x:row>
    <x:row r="3366" spans="6:6" x14ac:dyDescent="0.25">
      <x:c r="F3366" s="11"/>
    </x:row>
    <x:row r="3367" spans="6:6" x14ac:dyDescent="0.25">
      <x:c r="F3367" s="11"/>
    </x:row>
    <x:row r="3368" spans="6:6" x14ac:dyDescent="0.25">
      <x:c r="F3368" s="11"/>
    </x:row>
    <x:row r="3369" spans="6:6" x14ac:dyDescent="0.25">
      <x:c r="F3369" s="11"/>
    </x:row>
    <x:row r="3370" spans="6:6" x14ac:dyDescent="0.25">
      <x:c r="F3370" s="11"/>
    </x:row>
    <x:row r="3371" spans="6:6" x14ac:dyDescent="0.25">
      <x:c r="F3371" s="11"/>
    </x:row>
    <x:row r="3372" spans="6:6" x14ac:dyDescent="0.25">
      <x:c r="F3372" s="11"/>
    </x:row>
    <x:row r="3373" spans="6:6" x14ac:dyDescent="0.25">
      <x:c r="F3373" s="11"/>
    </x:row>
    <x:row r="3374" spans="6:6" x14ac:dyDescent="0.25">
      <x:c r="F3374" s="11"/>
    </x:row>
    <x:row r="3375" spans="6:6" x14ac:dyDescent="0.25">
      <x:c r="F3375" s="11"/>
    </x:row>
    <x:row r="3376" spans="6:6" x14ac:dyDescent="0.25">
      <x:c r="F3376" s="11"/>
    </x:row>
    <x:row r="3377" spans="6:6" x14ac:dyDescent="0.25">
      <x:c r="F3377" s="11"/>
    </x:row>
    <x:row r="3378" spans="6:6" x14ac:dyDescent="0.25">
      <x:c r="F3378" s="11"/>
    </x:row>
    <x:row r="3379" spans="6:6" x14ac:dyDescent="0.25">
      <x:c r="F3379" s="11"/>
    </x:row>
    <x:row r="3380" spans="6:6" x14ac:dyDescent="0.25">
      <x:c r="F3380" s="11"/>
    </x:row>
    <x:row r="3381" spans="6:6" x14ac:dyDescent="0.25">
      <x:c r="F3381" s="11"/>
    </x:row>
    <x:row r="3382" spans="6:6" x14ac:dyDescent="0.25">
      <x:c r="F3382" s="11"/>
    </x:row>
    <x:row r="3383" spans="6:6" x14ac:dyDescent="0.25">
      <x:c r="F3383" s="11"/>
    </x:row>
    <x:row r="3384" spans="6:6" x14ac:dyDescent="0.25">
      <x:c r="F3384" s="11"/>
    </x:row>
    <x:row r="3385" spans="6:6" x14ac:dyDescent="0.25">
      <x:c r="F3385" s="11"/>
    </x:row>
    <x:row r="3386" spans="6:6" x14ac:dyDescent="0.25">
      <x:c r="F3386" s="11"/>
    </x:row>
    <x:row r="3387" spans="6:6" x14ac:dyDescent="0.25">
      <x:c r="F3387" s="11"/>
    </x:row>
    <x:row r="3388" spans="6:6" x14ac:dyDescent="0.25">
      <x:c r="F3388" s="11"/>
    </x:row>
    <x:row r="3389" spans="6:6" x14ac:dyDescent="0.25">
      <x:c r="F3389" s="11"/>
    </x:row>
    <x:row r="3390" spans="6:6" x14ac:dyDescent="0.25">
      <x:c r="F3390" s="11"/>
    </x:row>
    <x:row r="3391" spans="6:6" x14ac:dyDescent="0.25">
      <x:c r="F3391" s="11"/>
    </x:row>
    <x:row r="3392" spans="6:6" x14ac:dyDescent="0.25">
      <x:c r="F3392" s="11"/>
    </x:row>
    <x:row r="3393" spans="6:6" x14ac:dyDescent="0.25">
      <x:c r="F3393" s="11"/>
    </x:row>
    <x:row r="3394" spans="6:6" x14ac:dyDescent="0.25">
      <x:c r="F3394" s="11"/>
    </x:row>
    <x:row r="3395" spans="6:6" x14ac:dyDescent="0.25">
      <x:c r="F3395" s="11"/>
    </x:row>
    <x:row r="3396" spans="6:6" x14ac:dyDescent="0.25">
      <x:c r="F3396" s="11"/>
    </x:row>
    <x:row r="3397" spans="6:6" x14ac:dyDescent="0.25">
      <x:c r="F3397" s="11"/>
    </x:row>
    <x:row r="3398" spans="6:6" x14ac:dyDescent="0.25">
      <x:c r="F3398" s="11"/>
    </x:row>
    <x:row r="3399" spans="6:6" x14ac:dyDescent="0.25">
      <x:c r="F3399" s="11"/>
    </x:row>
    <x:row r="3400" spans="6:6" x14ac:dyDescent="0.25">
      <x:c r="F3400" s="11"/>
    </x:row>
    <x:row r="3401" spans="6:6" x14ac:dyDescent="0.25">
      <x:c r="F3401" s="11"/>
    </x:row>
    <x:row r="3402" spans="6:6" x14ac:dyDescent="0.25">
      <x:c r="F3402" s="11"/>
    </x:row>
    <x:row r="3403" spans="6:6" x14ac:dyDescent="0.25">
      <x:c r="F3403" s="11"/>
    </x:row>
    <x:row r="3404" spans="6:6" x14ac:dyDescent="0.25">
      <x:c r="F3404" s="11"/>
    </x:row>
    <x:row r="3405" spans="6:6" x14ac:dyDescent="0.25">
      <x:c r="F3405" s="11"/>
    </x:row>
    <x:row r="3406" spans="6:6" x14ac:dyDescent="0.25">
      <x:c r="F3406" s="11"/>
    </x:row>
    <x:row r="3407" spans="6:6" x14ac:dyDescent="0.25">
      <x:c r="F3407" s="11"/>
    </x:row>
    <x:row r="3408" spans="6:6" x14ac:dyDescent="0.25">
      <x:c r="F3408" s="11"/>
    </x:row>
    <x:row r="3409" spans="6:6" x14ac:dyDescent="0.25">
      <x:c r="F3409" s="11"/>
    </x:row>
    <x:row r="3410" spans="6:6" x14ac:dyDescent="0.25">
      <x:c r="F3410" s="11"/>
    </x:row>
    <x:row r="3411" spans="6:6" x14ac:dyDescent="0.25">
      <x:c r="F3411" s="11"/>
    </x:row>
    <x:row r="3412" spans="6:6" x14ac:dyDescent="0.25">
      <x:c r="F3412" s="11"/>
    </x:row>
    <x:row r="3413" spans="6:6" x14ac:dyDescent="0.25">
      <x:c r="F3413" s="11"/>
    </x:row>
    <x:row r="3414" spans="6:6" x14ac:dyDescent="0.25">
      <x:c r="F3414" s="11"/>
    </x:row>
    <x:row r="3415" spans="6:6" x14ac:dyDescent="0.25">
      <x:c r="F3415" s="11"/>
    </x:row>
    <x:row r="3416" spans="6:6" x14ac:dyDescent="0.25">
      <x:c r="F3416" s="11"/>
    </x:row>
    <x:row r="3417" spans="6:6" x14ac:dyDescent="0.25">
      <x:c r="F3417" s="11"/>
    </x:row>
    <x:row r="3418" spans="6:6" x14ac:dyDescent="0.25">
      <x:c r="F3418" s="11"/>
    </x:row>
    <x:row r="3419" spans="6:6" x14ac:dyDescent="0.25">
      <x:c r="F3419" s="11"/>
    </x:row>
    <x:row r="3420" spans="6:6" x14ac:dyDescent="0.25">
      <x:c r="F3420" s="11"/>
    </x:row>
    <x:row r="3421" spans="6:6" x14ac:dyDescent="0.25">
      <x:c r="F3421" s="11"/>
    </x:row>
    <x:row r="3422" spans="6:6" x14ac:dyDescent="0.25">
      <x:c r="F3422" s="11"/>
    </x:row>
    <x:row r="3423" spans="6:6" x14ac:dyDescent="0.25">
      <x:c r="F3423" s="11"/>
    </x:row>
    <x:row r="3424" spans="6:6" x14ac:dyDescent="0.25">
      <x:c r="F3424" s="11"/>
    </x:row>
    <x:row r="3425" spans="6:6" x14ac:dyDescent="0.25">
      <x:c r="F3425" s="11"/>
    </x:row>
    <x:row r="3426" spans="6:6" x14ac:dyDescent="0.25">
      <x:c r="F3426" s="11"/>
    </x:row>
    <x:row r="3427" spans="6:6" x14ac:dyDescent="0.25">
      <x:c r="F3427" s="11"/>
    </x:row>
    <x:row r="3428" spans="6:6" x14ac:dyDescent="0.25">
      <x:c r="F3428" s="11"/>
    </x:row>
    <x:row r="3429" spans="6:6" x14ac:dyDescent="0.25">
      <x:c r="F3429" s="11"/>
    </x:row>
    <x:row r="3430" spans="6:6" x14ac:dyDescent="0.25">
      <x:c r="F3430" s="11"/>
    </x:row>
    <x:row r="3431" spans="6:6" x14ac:dyDescent="0.25">
      <x:c r="F3431" s="11"/>
    </x:row>
    <x:row r="3432" spans="6:6" x14ac:dyDescent="0.25">
      <x:c r="F3432" s="11"/>
    </x:row>
    <x:row r="3433" spans="6:6" x14ac:dyDescent="0.25">
      <x:c r="F3433" s="11"/>
    </x:row>
    <x:row r="3434" spans="6:6" x14ac:dyDescent="0.25">
      <x:c r="F3434" s="11"/>
    </x:row>
    <x:row r="3435" spans="6:6" x14ac:dyDescent="0.25">
      <x:c r="F3435" s="11"/>
    </x:row>
    <x:row r="3436" spans="6:6" x14ac:dyDescent="0.25">
      <x:c r="F3436" s="11"/>
    </x:row>
    <x:row r="3437" spans="6:6" x14ac:dyDescent="0.25">
      <x:c r="F3437" s="11"/>
    </x:row>
    <x:row r="3438" spans="6:6" x14ac:dyDescent="0.25">
      <x:c r="F3438" s="11"/>
    </x:row>
    <x:row r="3439" spans="6:6" x14ac:dyDescent="0.25">
      <x:c r="F3439" s="11"/>
    </x:row>
    <x:row r="3440" spans="6:6" x14ac:dyDescent="0.25">
      <x:c r="F3440" s="11"/>
    </x:row>
    <x:row r="3441" spans="6:6" x14ac:dyDescent="0.25">
      <x:c r="F3441" s="11"/>
    </x:row>
    <x:row r="3442" spans="6:6" x14ac:dyDescent="0.25">
      <x:c r="F3442" s="11"/>
    </x:row>
    <x:row r="3443" spans="6:6" x14ac:dyDescent="0.25">
      <x:c r="F3443" s="11"/>
    </x:row>
    <x:row r="3444" spans="6:6" x14ac:dyDescent="0.25">
      <x:c r="F3444" s="11"/>
    </x:row>
    <x:row r="3445" spans="6:6" x14ac:dyDescent="0.25">
      <x:c r="F3445" s="11"/>
    </x:row>
    <x:row r="3446" spans="6:6" x14ac:dyDescent="0.25">
      <x:c r="F3446" s="11"/>
    </x:row>
    <x:row r="3447" spans="6:6" x14ac:dyDescent="0.25">
      <x:c r="F3447" s="11"/>
    </x:row>
    <x:row r="3448" spans="6:6" x14ac:dyDescent="0.25">
      <x:c r="F3448" s="11"/>
    </x:row>
    <x:row r="3449" spans="6:6" x14ac:dyDescent="0.25">
      <x:c r="F3449" s="11"/>
    </x:row>
    <x:row r="3450" spans="6:6" x14ac:dyDescent="0.25">
      <x:c r="F3450" s="11"/>
    </x:row>
    <x:row r="3451" spans="6:6" x14ac:dyDescent="0.25">
      <x:c r="F3451" s="11"/>
    </x:row>
    <x:row r="3452" spans="6:6" x14ac:dyDescent="0.25">
      <x:c r="F3452" s="11"/>
    </x:row>
    <x:row r="3453" spans="6:6" x14ac:dyDescent="0.25">
      <x:c r="F3453" s="11"/>
    </x:row>
    <x:row r="3454" spans="6:6" x14ac:dyDescent="0.25">
      <x:c r="F3454" s="11"/>
    </x:row>
    <x:row r="3455" spans="6:6" x14ac:dyDescent="0.25">
      <x:c r="F3455" s="11"/>
    </x:row>
    <x:row r="3456" spans="6:6" x14ac:dyDescent="0.25">
      <x:c r="F3456" s="11"/>
    </x:row>
    <x:row r="3457" spans="6:6" x14ac:dyDescent="0.25">
      <x:c r="F3457" s="11"/>
    </x:row>
    <x:row r="3458" spans="6:6" x14ac:dyDescent="0.25">
      <x:c r="F3458" s="11"/>
    </x:row>
    <x:row r="3459" spans="6:6" x14ac:dyDescent="0.25">
      <x:c r="F3459" s="11"/>
    </x:row>
    <x:row r="3460" spans="6:6" x14ac:dyDescent="0.25">
      <x:c r="F3460" s="11"/>
    </x:row>
    <x:row r="3461" spans="6:6" x14ac:dyDescent="0.25">
      <x:c r="F3461" s="11"/>
    </x:row>
    <x:row r="3462" spans="6:6" x14ac:dyDescent="0.25">
      <x:c r="F3462" s="11"/>
    </x:row>
    <x:row r="3463" spans="6:6" x14ac:dyDescent="0.25">
      <x:c r="F3463" s="11"/>
    </x:row>
    <x:row r="3464" spans="6:6" x14ac:dyDescent="0.25">
      <x:c r="F3464" s="11"/>
    </x:row>
    <x:row r="3465" spans="6:6" x14ac:dyDescent="0.25">
      <x:c r="F3465" s="11"/>
    </x:row>
    <x:row r="3466" spans="6:6" x14ac:dyDescent="0.25">
      <x:c r="F3466" s="11"/>
    </x:row>
    <x:row r="3467" spans="6:6" x14ac:dyDescent="0.25">
      <x:c r="F3467" s="11"/>
    </x:row>
    <x:row r="3468" spans="6:6" x14ac:dyDescent="0.25">
      <x:c r="F3468" s="11"/>
    </x:row>
    <x:row r="3469" spans="6:6" x14ac:dyDescent="0.25">
      <x:c r="F3469" s="11"/>
    </x:row>
    <x:row r="3470" spans="6:6" x14ac:dyDescent="0.25">
      <x:c r="F3470" s="11"/>
    </x:row>
    <x:row r="3471" spans="6:6" x14ac:dyDescent="0.25">
      <x:c r="F3471" s="11"/>
    </x:row>
    <x:row r="3472" spans="6:6" x14ac:dyDescent="0.25">
      <x:c r="F3472" s="11"/>
    </x:row>
    <x:row r="3473" spans="6:6" x14ac:dyDescent="0.25">
      <x:c r="F3473" s="11"/>
    </x:row>
    <x:row r="3474" spans="6:6" x14ac:dyDescent="0.25">
      <x:c r="F3474" s="11"/>
    </x:row>
    <x:row r="3475" spans="6:6" x14ac:dyDescent="0.25">
      <x:c r="F3475" s="11"/>
    </x:row>
    <x:row r="3476" spans="6:6" x14ac:dyDescent="0.25">
      <x:c r="F3476" s="11"/>
    </x:row>
    <x:row r="3477" spans="6:6" x14ac:dyDescent="0.25">
      <x:c r="F3477" s="11"/>
    </x:row>
    <x:row r="3478" spans="6:6" x14ac:dyDescent="0.25">
      <x:c r="F3478" s="11"/>
    </x:row>
    <x:row r="3479" spans="6:6" x14ac:dyDescent="0.25">
      <x:c r="F3479" s="11"/>
    </x:row>
    <x:row r="3480" spans="6:6" x14ac:dyDescent="0.25">
      <x:c r="F3480" s="11"/>
    </x:row>
    <x:row r="3481" spans="6:6" x14ac:dyDescent="0.25">
      <x:c r="F3481" s="11"/>
    </x:row>
    <x:row r="3482" spans="6:6" x14ac:dyDescent="0.25">
      <x:c r="F3482" s="11"/>
    </x:row>
    <x:row r="3483" spans="6:6" x14ac:dyDescent="0.25">
      <x:c r="F3483" s="11"/>
    </x:row>
    <x:row r="3484" spans="6:6" x14ac:dyDescent="0.25">
      <x:c r="F3484" s="11"/>
    </x:row>
    <x:row r="3485" spans="6:6" x14ac:dyDescent="0.25">
      <x:c r="F3485" s="11"/>
    </x:row>
    <x:row r="3486" spans="6:6" x14ac:dyDescent="0.25">
      <x:c r="F3486" s="11"/>
    </x:row>
    <x:row r="3487" spans="6:6" x14ac:dyDescent="0.25">
      <x:c r="F3487" s="11"/>
    </x:row>
    <x:row r="3488" spans="6:6" x14ac:dyDescent="0.25">
      <x:c r="F3488" s="11"/>
    </x:row>
    <x:row r="3489" spans="6:6" x14ac:dyDescent="0.25">
      <x:c r="F3489" s="11"/>
    </x:row>
    <x:row r="3490" spans="6:6" x14ac:dyDescent="0.25">
      <x:c r="F3490" s="11"/>
    </x:row>
    <x:row r="3491" spans="6:6" x14ac:dyDescent="0.25">
      <x:c r="F3491" s="11"/>
    </x:row>
    <x:row r="3492" spans="6:6" x14ac:dyDescent="0.25">
      <x:c r="F3492" s="11"/>
    </x:row>
    <x:row r="3493" spans="6:6" x14ac:dyDescent="0.25">
      <x:c r="F3493" s="11"/>
    </x:row>
    <x:row r="3494" spans="6:6" x14ac:dyDescent="0.25">
      <x:c r="F3494" s="11"/>
    </x:row>
    <x:row r="3495" spans="6:6" x14ac:dyDescent="0.25">
      <x:c r="F3495" s="11"/>
    </x:row>
    <x:row r="3496" spans="6:6" x14ac:dyDescent="0.25">
      <x:c r="F3496" s="11"/>
    </x:row>
    <x:row r="3497" spans="6:6" x14ac:dyDescent="0.25">
      <x:c r="F3497" s="11"/>
    </x:row>
    <x:row r="3498" spans="6:6" x14ac:dyDescent="0.25">
      <x:c r="F3498" s="11"/>
    </x:row>
    <x:row r="3499" spans="6:6" x14ac:dyDescent="0.25">
      <x:c r="F3499" s="11"/>
    </x:row>
    <x:row r="3500" spans="6:6" x14ac:dyDescent="0.25">
      <x:c r="F3500" s="11"/>
    </x:row>
    <x:row r="3501" spans="6:6" x14ac:dyDescent="0.25">
      <x:c r="F3501" s="11"/>
    </x:row>
    <x:row r="3502" spans="6:6" x14ac:dyDescent="0.25">
      <x:c r="F3502" s="11"/>
    </x:row>
    <x:row r="3503" spans="6:6" x14ac:dyDescent="0.25">
      <x:c r="F3503" s="11"/>
    </x:row>
    <x:row r="3504" spans="6:6" x14ac:dyDescent="0.25">
      <x:c r="F3504" s="11"/>
    </x:row>
    <x:row r="3505" spans="6:6" x14ac:dyDescent="0.25">
      <x:c r="F3505" s="11"/>
    </x:row>
    <x:row r="3506" spans="6:6" x14ac:dyDescent="0.25">
      <x:c r="F3506" s="11"/>
    </x:row>
    <x:row r="3507" spans="6:6" x14ac:dyDescent="0.25">
      <x:c r="F3507" s="11"/>
    </x:row>
    <x:row r="3508" spans="6:6" x14ac:dyDescent="0.25">
      <x:c r="F3508" s="11"/>
    </x:row>
    <x:row r="3509" spans="6:6" x14ac:dyDescent="0.25">
      <x:c r="F3509" s="11"/>
    </x:row>
    <x:row r="3510" spans="6:6" x14ac:dyDescent="0.25">
      <x:c r="F3510" s="11"/>
    </x:row>
    <x:row r="3511" spans="6:6" x14ac:dyDescent="0.25">
      <x:c r="F3511" s="11"/>
    </x:row>
    <x:row r="3512" spans="6:6" x14ac:dyDescent="0.25">
      <x:c r="F3512" s="11"/>
    </x:row>
    <x:row r="3513" spans="6:6" x14ac:dyDescent="0.25">
      <x:c r="F3513" s="11"/>
    </x:row>
    <x:row r="3514" spans="6:6" x14ac:dyDescent="0.25">
      <x:c r="F3514" s="11"/>
    </x:row>
    <x:row r="3515" spans="6:6" x14ac:dyDescent="0.25">
      <x:c r="F3515" s="11"/>
    </x:row>
    <x:row r="3516" spans="6:6" x14ac:dyDescent="0.25">
      <x:c r="F3516" s="11"/>
    </x:row>
    <x:row r="3517" spans="6:6" x14ac:dyDescent="0.25">
      <x:c r="F3517" s="11"/>
    </x:row>
    <x:row r="3518" spans="6:6" x14ac:dyDescent="0.25">
      <x:c r="F3518" s="11"/>
    </x:row>
    <x:row r="3519" spans="6:6" x14ac:dyDescent="0.25">
      <x:c r="F3519" s="11"/>
    </x:row>
    <x:row r="3520" spans="6:6" x14ac:dyDescent="0.25">
      <x:c r="F3520" s="11"/>
    </x:row>
    <x:row r="3521" spans="6:6" x14ac:dyDescent="0.25">
      <x:c r="F3521" s="11"/>
    </x:row>
    <x:row r="3522" spans="6:6" x14ac:dyDescent="0.25">
      <x:c r="F3522" s="11"/>
    </x:row>
    <x:row r="3523" spans="6:6" x14ac:dyDescent="0.25">
      <x:c r="F3523" s="11"/>
    </x:row>
    <x:row r="3524" spans="6:6" x14ac:dyDescent="0.25">
      <x:c r="F3524" s="11"/>
    </x:row>
    <x:row r="3525" spans="6:6" x14ac:dyDescent="0.25">
      <x:c r="F3525" s="11"/>
    </x:row>
    <x:row r="3526" spans="6:6" x14ac:dyDescent="0.25">
      <x:c r="F3526" s="11"/>
    </x:row>
    <x:row r="3527" spans="6:6" x14ac:dyDescent="0.25">
      <x:c r="F3527" s="11"/>
    </x:row>
    <x:row r="3528" spans="6:6" x14ac:dyDescent="0.25">
      <x:c r="F3528" s="11"/>
    </x:row>
    <x:row r="3529" spans="6:6" x14ac:dyDescent="0.25">
      <x:c r="F3529" s="11"/>
    </x:row>
    <x:row r="3530" spans="6:6" x14ac:dyDescent="0.25">
      <x:c r="F3530" s="11"/>
    </x:row>
    <x:row r="3531" spans="6:6" x14ac:dyDescent="0.25">
      <x:c r="F3531" s="11"/>
    </x:row>
    <x:row r="3532" spans="6:6" x14ac:dyDescent="0.25">
      <x:c r="F3532" s="11"/>
    </x:row>
    <x:row r="3533" spans="6:6" x14ac:dyDescent="0.25">
      <x:c r="F3533" s="11"/>
    </x:row>
    <x:row r="3534" spans="6:6" x14ac:dyDescent="0.25">
      <x:c r="F3534" s="11"/>
    </x:row>
    <x:row r="3535" spans="6:6" x14ac:dyDescent="0.25">
      <x:c r="F3535" s="11"/>
    </x:row>
    <x:row r="3536" spans="6:6" x14ac:dyDescent="0.25">
      <x:c r="F3536" s="11"/>
    </x:row>
    <x:row r="3537" spans="6:6" x14ac:dyDescent="0.25">
      <x:c r="F3537" s="11"/>
    </x:row>
    <x:row r="3538" spans="6:6" x14ac:dyDescent="0.25">
      <x:c r="F3538" s="11"/>
    </x:row>
    <x:row r="3539" spans="6:6" x14ac:dyDescent="0.25">
      <x:c r="F3539" s="11"/>
    </x:row>
    <x:row r="3540" spans="6:6" x14ac:dyDescent="0.25">
      <x:c r="F3540" s="11"/>
    </x:row>
    <x:row r="3541" spans="6:6" x14ac:dyDescent="0.25">
      <x:c r="F3541" s="11"/>
    </x:row>
    <x:row r="3542" spans="6:6" x14ac:dyDescent="0.25">
      <x:c r="F3542" s="11"/>
    </x:row>
    <x:row r="3543" spans="6:6" x14ac:dyDescent="0.25">
      <x:c r="F3543" s="11"/>
    </x:row>
    <x:row r="3544" spans="6:6" x14ac:dyDescent="0.25">
      <x:c r="F3544" s="11"/>
    </x:row>
    <x:row r="3545" spans="6:6" x14ac:dyDescent="0.25">
      <x:c r="F3545" s="11"/>
    </x:row>
    <x:row r="3546" spans="6:6" x14ac:dyDescent="0.25">
      <x:c r="F3546" s="11"/>
    </x:row>
    <x:row r="3547" spans="6:6" x14ac:dyDescent="0.25">
      <x:c r="F3547" s="11"/>
    </x:row>
    <x:row r="3548" spans="6:6" x14ac:dyDescent="0.25">
      <x:c r="F3548" s="11"/>
    </x:row>
    <x:row r="3549" spans="6:6" x14ac:dyDescent="0.25">
      <x:c r="F3549" s="11"/>
    </x:row>
    <x:row r="3550" spans="6:6" x14ac:dyDescent="0.25">
      <x:c r="F3550" s="11"/>
    </x:row>
    <x:row r="3551" spans="6:6" x14ac:dyDescent="0.25">
      <x:c r="F3551" s="11"/>
    </x:row>
    <x:row r="3552" spans="6:6" x14ac:dyDescent="0.25">
      <x:c r="F3552" s="11"/>
    </x:row>
    <x:row r="3553" spans="6:6" x14ac:dyDescent="0.25">
      <x:c r="F3553" s="11"/>
    </x:row>
    <x:row r="3554" spans="6:6" x14ac:dyDescent="0.25">
      <x:c r="F3554" s="11"/>
    </x:row>
    <x:row r="3555" spans="6:6" x14ac:dyDescent="0.25">
      <x:c r="F3555" s="11"/>
    </x:row>
    <x:row r="3556" spans="6:6" x14ac:dyDescent="0.25">
      <x:c r="F3556" s="11"/>
    </x:row>
    <x:row r="3557" spans="6:6" x14ac:dyDescent="0.25">
      <x:c r="F3557" s="11"/>
    </x:row>
    <x:row r="3558" spans="6:6" x14ac:dyDescent="0.25">
      <x:c r="F3558" s="11"/>
    </x:row>
    <x:row r="3559" spans="6:6" x14ac:dyDescent="0.25">
      <x:c r="F3559" s="11"/>
    </x:row>
    <x:row r="3560" spans="6:6" x14ac:dyDescent="0.25">
      <x:c r="F3560" s="11"/>
    </x:row>
    <x:row r="3561" spans="6:6" x14ac:dyDescent="0.25">
      <x:c r="F3561" s="11"/>
    </x:row>
    <x:row r="3562" spans="6:6" x14ac:dyDescent="0.25">
      <x:c r="F3562" s="11"/>
    </x:row>
    <x:row r="3563" spans="6:6" x14ac:dyDescent="0.25">
      <x:c r="F3563" s="11"/>
    </x:row>
    <x:row r="3564" spans="6:6" x14ac:dyDescent="0.25">
      <x:c r="F3564" s="11"/>
    </x:row>
    <x:row r="3565" spans="6:6" x14ac:dyDescent="0.25">
      <x:c r="F3565" s="11"/>
    </x:row>
    <x:row r="3566" spans="6:6" x14ac:dyDescent="0.25">
      <x:c r="F3566" s="11"/>
    </x:row>
    <x:row r="3567" spans="6:6" x14ac:dyDescent="0.25">
      <x:c r="F3567" s="11"/>
    </x:row>
    <x:row r="3568" spans="6:6" x14ac:dyDescent="0.25">
      <x:c r="F3568" s="11"/>
    </x:row>
    <x:row r="3569" spans="6:6" x14ac:dyDescent="0.25">
      <x:c r="F3569" s="11"/>
    </x:row>
    <x:row r="3570" spans="6:6" x14ac:dyDescent="0.25">
      <x:c r="F3570" s="11"/>
    </x:row>
    <x:row r="3571" spans="6:6" x14ac:dyDescent="0.25">
      <x:c r="F3571" s="11"/>
    </x:row>
    <x:row r="3572" spans="6:6" x14ac:dyDescent="0.25">
      <x:c r="F3572" s="11"/>
    </x:row>
    <x:row r="3573" spans="6:6" x14ac:dyDescent="0.25">
      <x:c r="F3573" s="11"/>
    </x:row>
    <x:row r="3574" spans="6:6" x14ac:dyDescent="0.25">
      <x:c r="F3574" s="11"/>
    </x:row>
    <x:row r="3575" spans="6:6" x14ac:dyDescent="0.25">
      <x:c r="F3575" s="11"/>
    </x:row>
    <x:row r="3576" spans="6:6" x14ac:dyDescent="0.25">
      <x:c r="F3576" s="11"/>
    </x:row>
    <x:row r="3577" spans="6:6" x14ac:dyDescent="0.25">
      <x:c r="F3577" s="11"/>
    </x:row>
    <x:row r="3578" spans="6:6" x14ac:dyDescent="0.25">
      <x:c r="F3578" s="11"/>
    </x:row>
    <x:row r="3579" spans="6:6" x14ac:dyDescent="0.25">
      <x:c r="F3579" s="11"/>
    </x:row>
    <x:row r="3580" spans="6:6" x14ac:dyDescent="0.25">
      <x:c r="F3580" s="11"/>
    </x:row>
    <x:row r="3581" spans="6:6" x14ac:dyDescent="0.25">
      <x:c r="F3581" s="11"/>
    </x:row>
    <x:row r="3582" spans="6:6" x14ac:dyDescent="0.25">
      <x:c r="F3582" s="11"/>
    </x:row>
    <x:row r="3583" spans="6:6" x14ac:dyDescent="0.25">
      <x:c r="F3583" s="11"/>
    </x:row>
    <x:row r="3584" spans="6:6" x14ac:dyDescent="0.25">
      <x:c r="F3584" s="11"/>
    </x:row>
    <x:row r="3585" spans="6:6" x14ac:dyDescent="0.25">
      <x:c r="F3585" s="11"/>
    </x:row>
    <x:row r="3586" spans="6:6" x14ac:dyDescent="0.25">
      <x:c r="F3586" s="11"/>
    </x:row>
    <x:row r="3587" spans="6:6" x14ac:dyDescent="0.25">
      <x:c r="F3587" s="11"/>
    </x:row>
    <x:row r="3588" spans="6:6" x14ac:dyDescent="0.25">
      <x:c r="F3588" s="11"/>
    </x:row>
    <x:row r="3589" spans="6:6" x14ac:dyDescent="0.25">
      <x:c r="F3589" s="11"/>
    </x:row>
    <x:row r="3590" spans="6:6" x14ac:dyDescent="0.25">
      <x:c r="F3590" s="11"/>
    </x:row>
    <x:row r="3591" spans="6:6" x14ac:dyDescent="0.25">
      <x:c r="F3591" s="11"/>
    </x:row>
    <x:row r="3592" spans="6:6" x14ac:dyDescent="0.25">
      <x:c r="F3592" s="11"/>
    </x:row>
    <x:row r="3593" spans="6:6" x14ac:dyDescent="0.25">
      <x:c r="F3593" s="11"/>
    </x:row>
    <x:row r="3594" spans="6:6" x14ac:dyDescent="0.25">
      <x:c r="F3594" s="11"/>
    </x:row>
    <x:row r="3595" spans="6:6" x14ac:dyDescent="0.25">
      <x:c r="F3595" s="11"/>
    </x:row>
    <x:row r="3596" spans="6:6" x14ac:dyDescent="0.25">
      <x:c r="F3596" s="11"/>
    </x:row>
    <x:row r="3597" spans="6:6" x14ac:dyDescent="0.25">
      <x:c r="F3597" s="11"/>
    </x:row>
    <x:row r="3598" spans="6:6" x14ac:dyDescent="0.25">
      <x:c r="F3598" s="11"/>
    </x:row>
    <x:row r="3599" spans="6:6" x14ac:dyDescent="0.25">
      <x:c r="F3599" s="11"/>
    </x:row>
    <x:row r="3600" spans="6:6" x14ac:dyDescent="0.25">
      <x:c r="F3600" s="11"/>
    </x:row>
    <x:row r="3601" spans="6:6" x14ac:dyDescent="0.25">
      <x:c r="F3601" s="11"/>
    </x:row>
    <x:row r="3602" spans="6:6" x14ac:dyDescent="0.25">
      <x:c r="F3602" s="11"/>
    </x:row>
    <x:row r="3603" spans="6:6" x14ac:dyDescent="0.25">
      <x:c r="F3603" s="11"/>
    </x:row>
    <x:row r="3604" spans="6:6" x14ac:dyDescent="0.25">
      <x:c r="F3604" s="11"/>
    </x:row>
    <x:row r="3605" spans="6:6" x14ac:dyDescent="0.25">
      <x:c r="F3605" s="11"/>
    </x:row>
    <x:row r="3606" spans="6:6" x14ac:dyDescent="0.25">
      <x:c r="F3606" s="11"/>
    </x:row>
    <x:row r="3607" spans="6:6" x14ac:dyDescent="0.25">
      <x:c r="F3607" s="11"/>
    </x:row>
    <x:row r="3608" spans="6:6" x14ac:dyDescent="0.25">
      <x:c r="F3608" s="11"/>
    </x:row>
    <x:row r="3609" spans="6:6" x14ac:dyDescent="0.25">
      <x:c r="F3609" s="11"/>
    </x:row>
    <x:row r="3610" spans="6:6" x14ac:dyDescent="0.25">
      <x:c r="F3610" s="11"/>
    </x:row>
    <x:row r="3611" spans="6:6" x14ac:dyDescent="0.25">
      <x:c r="F3611" s="11"/>
    </x:row>
    <x:row r="3612" spans="6:6" x14ac:dyDescent="0.25">
      <x:c r="F3612" s="11"/>
    </x:row>
    <x:row r="3613" spans="6:6" x14ac:dyDescent="0.25">
      <x:c r="F3613" s="11"/>
    </x:row>
    <x:row r="3614" spans="6:6" x14ac:dyDescent="0.25">
      <x:c r="F3614" s="11"/>
    </x:row>
    <x:row r="3615" spans="6:6" x14ac:dyDescent="0.25">
      <x:c r="F3615" s="11"/>
    </x:row>
    <x:row r="3616" spans="6:6" x14ac:dyDescent="0.25">
      <x:c r="F3616" s="11"/>
    </x:row>
    <x:row r="3617" spans="6:6" x14ac:dyDescent="0.25">
      <x:c r="F3617" s="11"/>
    </x:row>
    <x:row r="3618" spans="6:6" x14ac:dyDescent="0.25">
      <x:c r="F3618" s="11"/>
    </x:row>
    <x:row r="3619" spans="6:6" x14ac:dyDescent="0.25">
      <x:c r="F3619" s="11"/>
    </x:row>
    <x:row r="3620" spans="6:6" x14ac:dyDescent="0.25">
      <x:c r="F3620" s="11"/>
    </x:row>
    <x:row r="3621" spans="6:6" x14ac:dyDescent="0.25">
      <x:c r="F3621" s="11"/>
    </x:row>
    <x:row r="3622" spans="6:6" x14ac:dyDescent="0.25">
      <x:c r="F3622" s="11"/>
    </x:row>
    <x:row r="3623" spans="6:6" x14ac:dyDescent="0.25">
      <x:c r="F3623" s="11"/>
    </x:row>
    <x:row r="3624" spans="6:6" x14ac:dyDescent="0.25">
      <x:c r="F3624" s="11"/>
    </x:row>
    <x:row r="3625" spans="6:6" x14ac:dyDescent="0.25">
      <x:c r="F3625" s="11"/>
    </x:row>
    <x:row r="3626" spans="6:6" x14ac:dyDescent="0.25">
      <x:c r="F3626" s="11"/>
    </x:row>
    <x:row r="3627" spans="6:6" x14ac:dyDescent="0.25">
      <x:c r="F3627" s="11"/>
    </x:row>
    <x:row r="3628" spans="6:6" x14ac:dyDescent="0.25">
      <x:c r="F3628" s="11"/>
    </x:row>
    <x:row r="3629" spans="6:6" x14ac:dyDescent="0.25">
      <x:c r="F3629" s="11"/>
    </x:row>
    <x:row r="3630" spans="6:6" x14ac:dyDescent="0.25">
      <x:c r="F3630" s="11"/>
    </x:row>
    <x:row r="3631" spans="6:6" x14ac:dyDescent="0.25">
      <x:c r="F3631" s="11"/>
    </x:row>
    <x:row r="3632" spans="6:6" x14ac:dyDescent="0.25">
      <x:c r="F3632" s="11"/>
    </x:row>
    <x:row r="3633" spans="6:6" x14ac:dyDescent="0.25">
      <x:c r="F3633" s="11"/>
    </x:row>
    <x:row r="3634" spans="6:6" x14ac:dyDescent="0.25">
      <x:c r="F3634" s="11"/>
    </x:row>
    <x:row r="3635" spans="6:6" x14ac:dyDescent="0.25">
      <x:c r="F3635" s="11"/>
    </x:row>
    <x:row r="3636" spans="6:6" x14ac:dyDescent="0.25">
      <x:c r="F3636" s="11"/>
    </x:row>
    <x:row r="3637" spans="6:6" x14ac:dyDescent="0.25">
      <x:c r="F3637" s="11"/>
    </x:row>
    <x:row r="3638" spans="6:6" x14ac:dyDescent="0.25">
      <x:c r="F3638" s="11"/>
    </x:row>
    <x:row r="3639" spans="6:6" x14ac:dyDescent="0.25">
      <x:c r="F3639" s="11"/>
    </x:row>
    <x:row r="3640" spans="6:6" x14ac:dyDescent="0.25">
      <x:c r="F3640" s="11"/>
    </x:row>
    <x:row r="3641" spans="6:6" x14ac:dyDescent="0.25">
      <x:c r="F3641" s="11"/>
    </x:row>
    <x:row r="3642" spans="6:6" x14ac:dyDescent="0.25">
      <x:c r="F3642" s="11"/>
    </x:row>
    <x:row r="3643" spans="6:6" x14ac:dyDescent="0.25">
      <x:c r="F3643" s="11"/>
    </x:row>
    <x:row r="3644" spans="6:6" x14ac:dyDescent="0.25">
      <x:c r="F3644" s="11"/>
    </x:row>
    <x:row r="3645" spans="6:6" x14ac:dyDescent="0.25">
      <x:c r="F3645" s="11"/>
    </x:row>
    <x:row r="3646" spans="6:6" x14ac:dyDescent="0.25">
      <x:c r="F3646" s="11"/>
    </x:row>
    <x:row r="3647" spans="6:6" x14ac:dyDescent="0.25">
      <x:c r="F3647" s="11"/>
    </x:row>
    <x:row r="3648" spans="6:6" x14ac:dyDescent="0.25">
      <x:c r="F3648" s="11"/>
    </x:row>
    <x:row r="3649" spans="6:6" x14ac:dyDescent="0.25">
      <x:c r="F3649" s="11"/>
    </x:row>
    <x:row r="3650" spans="6:6" x14ac:dyDescent="0.25">
      <x:c r="F3650" s="11"/>
    </x:row>
    <x:row r="3651" spans="6:6" x14ac:dyDescent="0.25">
      <x:c r="F3651" s="11"/>
    </x:row>
    <x:row r="3652" spans="6:6" x14ac:dyDescent="0.25">
      <x:c r="F3652" s="11"/>
    </x:row>
    <x:row r="3653" spans="6:6" x14ac:dyDescent="0.25">
      <x:c r="F3653" s="11"/>
    </x:row>
    <x:row r="3654" spans="6:6" x14ac:dyDescent="0.25">
      <x:c r="F3654" s="11"/>
    </x:row>
    <x:row r="3655" spans="6:6" x14ac:dyDescent="0.25">
      <x:c r="F3655" s="11"/>
    </x:row>
    <x:row r="3656" spans="6:6" x14ac:dyDescent="0.25">
      <x:c r="F3656" s="11"/>
    </x:row>
    <x:row r="3657" spans="6:6" x14ac:dyDescent="0.25">
      <x:c r="F3657" s="11"/>
    </x:row>
    <x:row r="3658" spans="6:6" x14ac:dyDescent="0.25">
      <x:c r="F3658" s="11"/>
    </x:row>
    <x:row r="3659" spans="6:6" x14ac:dyDescent="0.25">
      <x:c r="F3659" s="11"/>
    </x:row>
    <x:row r="3660" spans="6:6" x14ac:dyDescent="0.25">
      <x:c r="F3660" s="11"/>
    </x:row>
    <x:row r="3661" spans="6:6" x14ac:dyDescent="0.25">
      <x:c r="F3661" s="11"/>
    </x:row>
    <x:row r="3662" spans="6:6" x14ac:dyDescent="0.25">
      <x:c r="F3662" s="11"/>
    </x:row>
    <x:row r="3663" spans="6:6" x14ac:dyDescent="0.25">
      <x:c r="F3663" s="11"/>
    </x:row>
    <x:row r="3664" spans="6:6" x14ac:dyDescent="0.25">
      <x:c r="F3664" s="11"/>
    </x:row>
    <x:row r="3665" spans="6:6" x14ac:dyDescent="0.25">
      <x:c r="F3665" s="11"/>
    </x:row>
    <x:row r="3666" spans="6:6" x14ac:dyDescent="0.25">
      <x:c r="F3666" s="11"/>
    </x:row>
    <x:row r="3667" spans="6:6" x14ac:dyDescent="0.25">
      <x:c r="F3667" s="11"/>
    </x:row>
    <x:row r="3668" spans="6:6" x14ac:dyDescent="0.25">
      <x:c r="F3668" s="11"/>
    </x:row>
    <x:row r="3669" spans="6:6" x14ac:dyDescent="0.25">
      <x:c r="F3669" s="11"/>
    </x:row>
    <x:row r="3670" spans="6:6" x14ac:dyDescent="0.25">
      <x:c r="F3670" s="11"/>
    </x:row>
    <x:row r="3671" spans="6:6" x14ac:dyDescent="0.25">
      <x:c r="F3671" s="11"/>
    </x:row>
    <x:row r="3672" spans="6:6" x14ac:dyDescent="0.25">
      <x:c r="F3672" s="11"/>
    </x:row>
    <x:row r="3673" spans="6:6" x14ac:dyDescent="0.25">
      <x:c r="F3673" s="11"/>
    </x:row>
    <x:row r="3674" spans="6:6" x14ac:dyDescent="0.25">
      <x:c r="F3674" s="11"/>
    </x:row>
    <x:row r="3675" spans="6:6" x14ac:dyDescent="0.25">
      <x:c r="F3675" s="11"/>
    </x:row>
    <x:row r="3676" spans="6:6" x14ac:dyDescent="0.25">
      <x:c r="F3676" s="11"/>
    </x:row>
    <x:row r="3677" spans="6:6" x14ac:dyDescent="0.25">
      <x:c r="F3677" s="11"/>
    </x:row>
    <x:row r="3678" spans="6:6" x14ac:dyDescent="0.25">
      <x:c r="F3678" s="11"/>
    </x:row>
    <x:row r="3679" spans="6:6" x14ac:dyDescent="0.25">
      <x:c r="F3679" s="11"/>
    </x:row>
    <x:row r="3680" spans="6:6" x14ac:dyDescent="0.25">
      <x:c r="F3680" s="11"/>
    </x:row>
    <x:row r="3681" spans="6:6" x14ac:dyDescent="0.25">
      <x:c r="F3681" s="11"/>
    </x:row>
    <x:row r="3682" spans="6:6" x14ac:dyDescent="0.25">
      <x:c r="F3682" s="11"/>
    </x:row>
    <x:row r="3683" spans="6:6" x14ac:dyDescent="0.25">
      <x:c r="F3683" s="11"/>
    </x:row>
    <x:row r="3684" spans="6:6" x14ac:dyDescent="0.25">
      <x:c r="F3684" s="11"/>
    </x:row>
    <x:row r="3685" spans="6:6" x14ac:dyDescent="0.25">
      <x:c r="F3685" s="11"/>
    </x:row>
    <x:row r="3686" spans="6:6" x14ac:dyDescent="0.25">
      <x:c r="F3686" s="11"/>
    </x:row>
    <x:row r="3687" spans="6:6" x14ac:dyDescent="0.25">
      <x:c r="F3687" s="11"/>
    </x:row>
    <x:row r="3688" spans="6:6" x14ac:dyDescent="0.25">
      <x:c r="F3688" s="11"/>
    </x:row>
    <x:row r="3689" spans="6:6" x14ac:dyDescent="0.25">
      <x:c r="F3689" s="11"/>
    </x:row>
    <x:row r="3690" spans="6:6" x14ac:dyDescent="0.25">
      <x:c r="F3690" s="11"/>
    </x:row>
    <x:row r="3691" spans="6:6" x14ac:dyDescent="0.25">
      <x:c r="F3691" s="11"/>
    </x:row>
    <x:row r="3692" spans="6:6" x14ac:dyDescent="0.25">
      <x:c r="F3692" s="11"/>
    </x:row>
    <x:row r="3693" spans="6:6" x14ac:dyDescent="0.25">
      <x:c r="F3693" s="11"/>
    </x:row>
    <x:row r="3694" spans="6:6" x14ac:dyDescent="0.25">
      <x:c r="F3694" s="11"/>
    </x:row>
    <x:row r="3695" spans="6:6" x14ac:dyDescent="0.25">
      <x:c r="F3695" s="11"/>
    </x:row>
    <x:row r="3696" spans="6:6" x14ac:dyDescent="0.25">
      <x:c r="F3696" s="11"/>
    </x:row>
    <x:row r="3697" spans="6:6" x14ac:dyDescent="0.25">
      <x:c r="F3697" s="11"/>
    </x:row>
    <x:row r="3698" spans="6:6" x14ac:dyDescent="0.25">
      <x:c r="F3698" s="11"/>
    </x:row>
    <x:row r="3699" spans="6:6" x14ac:dyDescent="0.25">
      <x:c r="F3699" s="11"/>
    </x:row>
    <x:row r="3700" spans="6:6" x14ac:dyDescent="0.25">
      <x:c r="F3700" s="11"/>
    </x:row>
    <x:row r="3701" spans="6:6" x14ac:dyDescent="0.25">
      <x:c r="F3701" s="11"/>
    </x:row>
    <x:row r="3702" spans="6:6" x14ac:dyDescent="0.25">
      <x:c r="F3702" s="11"/>
    </x:row>
    <x:row r="3703" spans="6:6" x14ac:dyDescent="0.25">
      <x:c r="F3703" s="11"/>
    </x:row>
    <x:row r="3704" spans="6:6" x14ac:dyDescent="0.25">
      <x:c r="F3704" s="11"/>
    </x:row>
    <x:row r="3705" spans="6:6" x14ac:dyDescent="0.25">
      <x:c r="F3705" s="11"/>
    </x:row>
    <x:row r="3706" spans="6:6" x14ac:dyDescent="0.25">
      <x:c r="F3706" s="11"/>
    </x:row>
    <x:row r="3707" spans="6:6" x14ac:dyDescent="0.25">
      <x:c r="F3707" s="11"/>
    </x:row>
    <x:row r="3708" spans="6:6" x14ac:dyDescent="0.25">
      <x:c r="F3708" s="11"/>
    </x:row>
    <x:row r="3709" spans="6:6" x14ac:dyDescent="0.25">
      <x:c r="F3709" s="11"/>
    </x:row>
    <x:row r="3710" spans="6:6" x14ac:dyDescent="0.25">
      <x:c r="F3710" s="11"/>
    </x:row>
    <x:row r="3711" spans="6:6" x14ac:dyDescent="0.25">
      <x:c r="F3711" s="11"/>
    </x:row>
    <x:row r="3712" spans="6:6" x14ac:dyDescent="0.25">
      <x:c r="F3712" s="11"/>
    </x:row>
    <x:row r="3713" spans="6:6" x14ac:dyDescent="0.25">
      <x:c r="F3713" s="11"/>
    </x:row>
    <x:row r="3714" spans="6:6" x14ac:dyDescent="0.25">
      <x:c r="F3714" s="11"/>
    </x:row>
    <x:row r="3715" spans="6:6" x14ac:dyDescent="0.25">
      <x:c r="F3715" s="11"/>
    </x:row>
    <x:row r="3716" spans="6:6" x14ac:dyDescent="0.25">
      <x:c r="F3716" s="11"/>
    </x:row>
    <x:row r="3717" spans="6:6" x14ac:dyDescent="0.25">
      <x:c r="F3717" s="11"/>
    </x:row>
    <x:row r="3718" spans="6:6" x14ac:dyDescent="0.25">
      <x:c r="F3718" s="11"/>
    </x:row>
    <x:row r="3719" spans="6:6" x14ac:dyDescent="0.25">
      <x:c r="F3719" s="11"/>
    </x:row>
    <x:row r="3720" spans="6:6" x14ac:dyDescent="0.25">
      <x:c r="F3720" s="11"/>
    </x:row>
    <x:row r="3721" spans="6:6" x14ac:dyDescent="0.25">
      <x:c r="F3721" s="11"/>
    </x:row>
    <x:row r="3722" spans="6:6" x14ac:dyDescent="0.25">
      <x:c r="F3722" s="11"/>
    </x:row>
    <x:row r="3723" spans="6:6" x14ac:dyDescent="0.25">
      <x:c r="F3723" s="11"/>
    </x:row>
    <x:row r="3724" spans="6:6" x14ac:dyDescent="0.25">
      <x:c r="F3724" s="11"/>
    </x:row>
    <x:row r="3725" spans="6:6" x14ac:dyDescent="0.25">
      <x:c r="F3725" s="11"/>
    </x:row>
    <x:row r="3726" spans="6:6" x14ac:dyDescent="0.25">
      <x:c r="F3726" s="11"/>
    </x:row>
    <x:row r="3727" spans="6:6" x14ac:dyDescent="0.25">
      <x:c r="F3727" s="11"/>
    </x:row>
    <x:row r="3728" spans="6:6" x14ac:dyDescent="0.25">
      <x:c r="F3728" s="11"/>
    </x:row>
    <x:row r="3729" spans="6:6" x14ac:dyDescent="0.25">
      <x:c r="F3729" s="11"/>
    </x:row>
    <x:row r="3730" spans="6:6" x14ac:dyDescent="0.25">
      <x:c r="F3730" s="11"/>
    </x:row>
    <x:row r="3731" spans="6:6" x14ac:dyDescent="0.25">
      <x:c r="F3731" s="11"/>
    </x:row>
    <x:row r="3732" spans="6:6" x14ac:dyDescent="0.25">
      <x:c r="F3732" s="11"/>
    </x:row>
    <x:row r="3733" spans="6:6" x14ac:dyDescent="0.25">
      <x:c r="F3733" s="11"/>
    </x:row>
    <x:row r="3734" spans="6:6" x14ac:dyDescent="0.25">
      <x:c r="F3734" s="11"/>
    </x:row>
    <x:row r="3735" spans="6:6" x14ac:dyDescent="0.25">
      <x:c r="F3735" s="11"/>
    </x:row>
    <x:row r="3736" spans="6:6" x14ac:dyDescent="0.25">
      <x:c r="F3736" s="11"/>
    </x:row>
    <x:row r="3737" spans="6:6" x14ac:dyDescent="0.25">
      <x:c r="F3737" s="11"/>
    </x:row>
    <x:row r="3738" spans="6:6" x14ac:dyDescent="0.25">
      <x:c r="F3738" s="11"/>
    </x:row>
    <x:row r="3739" spans="6:6" x14ac:dyDescent="0.25">
      <x:c r="F3739" s="11"/>
    </x:row>
    <x:row r="3740" spans="6:6" x14ac:dyDescent="0.25">
      <x:c r="F3740" s="11"/>
    </x:row>
    <x:row r="3741" spans="6:6" x14ac:dyDescent="0.25">
      <x:c r="F3741" s="11"/>
    </x:row>
    <x:row r="3742" spans="6:6" x14ac:dyDescent="0.25">
      <x:c r="F3742" s="11"/>
    </x:row>
    <x:row r="3743" spans="6:6" x14ac:dyDescent="0.25">
      <x:c r="F3743" s="11"/>
    </x:row>
    <x:row r="3744" spans="6:6" x14ac:dyDescent="0.25">
      <x:c r="F3744" s="11"/>
    </x:row>
    <x:row r="3745" spans="6:6" x14ac:dyDescent="0.25">
      <x:c r="F3745" s="11"/>
    </x:row>
    <x:row r="3746" spans="6:6" x14ac:dyDescent="0.25">
      <x:c r="F3746" s="11"/>
    </x:row>
    <x:row r="3747" spans="6:6" x14ac:dyDescent="0.25">
      <x:c r="F3747" s="11"/>
    </x:row>
    <x:row r="3748" spans="6:6" x14ac:dyDescent="0.25">
      <x:c r="F3748" s="11"/>
    </x:row>
    <x:row r="3749" spans="6:6" x14ac:dyDescent="0.25">
      <x:c r="F3749" s="11"/>
    </x:row>
    <x:row r="3750" spans="6:6" x14ac:dyDescent="0.25">
      <x:c r="F3750" s="11"/>
    </x:row>
    <x:row r="3751" spans="6:6" x14ac:dyDescent="0.25">
      <x:c r="F3751" s="11"/>
    </x:row>
    <x:row r="3752" spans="6:6" x14ac:dyDescent="0.25">
      <x:c r="F3752" s="11"/>
    </x:row>
    <x:row r="3753" spans="6:6" x14ac:dyDescent="0.25">
      <x:c r="F3753" s="11"/>
    </x:row>
    <x:row r="3754" spans="6:6" x14ac:dyDescent="0.25">
      <x:c r="F3754" s="11"/>
    </x:row>
    <x:row r="3755" spans="6:6" x14ac:dyDescent="0.25">
      <x:c r="F3755" s="11"/>
    </x:row>
    <x:row r="3756" spans="6:6" x14ac:dyDescent="0.25">
      <x:c r="F3756" s="11"/>
    </x:row>
    <x:row r="3757" spans="6:6" x14ac:dyDescent="0.25">
      <x:c r="F3757" s="11"/>
    </x:row>
    <x:row r="3758" spans="6:6" x14ac:dyDescent="0.25">
      <x:c r="F3758" s="11"/>
    </x:row>
    <x:row r="3759" spans="6:6" x14ac:dyDescent="0.25">
      <x:c r="F3759" s="11"/>
    </x:row>
    <x:row r="3760" spans="6:6" x14ac:dyDescent="0.25">
      <x:c r="F3760" s="11"/>
    </x:row>
    <x:row r="3761" spans="6:6" x14ac:dyDescent="0.25">
      <x:c r="F3761" s="11"/>
    </x:row>
    <x:row r="3762" spans="6:6" x14ac:dyDescent="0.25">
      <x:c r="F3762" s="11"/>
    </x:row>
    <x:row r="3763" spans="6:6" x14ac:dyDescent="0.25">
      <x:c r="F3763" s="11"/>
    </x:row>
    <x:row r="3764" spans="6:6" x14ac:dyDescent="0.25">
      <x:c r="F3764" s="11"/>
    </x:row>
    <x:row r="3765" spans="6:6" x14ac:dyDescent="0.25">
      <x:c r="F3765" s="11"/>
    </x:row>
    <x:row r="3766" spans="6:6" x14ac:dyDescent="0.25">
      <x:c r="F3766" s="11"/>
    </x:row>
    <x:row r="3767" spans="6:6" x14ac:dyDescent="0.25">
      <x:c r="F3767" s="11"/>
    </x:row>
    <x:row r="3768" spans="6:6" x14ac:dyDescent="0.25">
      <x:c r="F3768" s="11"/>
    </x:row>
    <x:row r="3769" spans="6:6" x14ac:dyDescent="0.25">
      <x:c r="F3769" s="11"/>
    </x:row>
    <x:row r="3770" spans="6:6" x14ac:dyDescent="0.25">
      <x:c r="F3770" s="11"/>
    </x:row>
    <x:row r="3771" spans="6:6" x14ac:dyDescent="0.25">
      <x:c r="F3771" s="11"/>
    </x:row>
    <x:row r="3772" spans="6:6" x14ac:dyDescent="0.25">
      <x:c r="F3772" s="11"/>
    </x:row>
    <x:row r="3773" spans="6:6" x14ac:dyDescent="0.25">
      <x:c r="F3773" s="11"/>
    </x:row>
    <x:row r="3774" spans="6:6" x14ac:dyDescent="0.25">
      <x:c r="F3774" s="11"/>
    </x:row>
    <x:row r="3775" spans="6:6" x14ac:dyDescent="0.25">
      <x:c r="F3775" s="11"/>
    </x:row>
    <x:row r="3776" spans="6:6" x14ac:dyDescent="0.25">
      <x:c r="F3776" s="11"/>
    </x:row>
    <x:row r="3777" spans="6:6" x14ac:dyDescent="0.25">
      <x:c r="F3777" s="11"/>
    </x:row>
    <x:row r="3778" spans="6:6" x14ac:dyDescent="0.25">
      <x:c r="F3778" s="11"/>
    </x:row>
    <x:row r="3779" spans="6:6" x14ac:dyDescent="0.25">
      <x:c r="F3779" s="11"/>
    </x:row>
    <x:row r="3780" spans="6:6" x14ac:dyDescent="0.25">
      <x:c r="F3780" s="11"/>
    </x:row>
    <x:row r="3781" spans="6:6" x14ac:dyDescent="0.25">
      <x:c r="F3781" s="11"/>
    </x:row>
    <x:row r="3782" spans="6:6" x14ac:dyDescent="0.25">
      <x:c r="F3782" s="11"/>
    </x:row>
    <x:row r="3783" spans="6:6" x14ac:dyDescent="0.25">
      <x:c r="F3783" s="11"/>
    </x:row>
    <x:row r="3784" spans="6:6" x14ac:dyDescent="0.25">
      <x:c r="F3784" s="11"/>
    </x:row>
    <x:row r="3785" spans="6:6" x14ac:dyDescent="0.25">
      <x:c r="F3785" s="11"/>
    </x:row>
    <x:row r="3786" spans="6:6" x14ac:dyDescent="0.25">
      <x:c r="F3786" s="11"/>
    </x:row>
    <x:row r="3787" spans="6:6" x14ac:dyDescent="0.25">
      <x:c r="F3787" s="11"/>
    </x:row>
    <x:row r="3788" spans="6:6" x14ac:dyDescent="0.25">
      <x:c r="F3788" s="11"/>
    </x:row>
    <x:row r="3789" spans="6:6" x14ac:dyDescent="0.25">
      <x:c r="F3789" s="11"/>
    </x:row>
    <x:row r="3790" spans="6:6" x14ac:dyDescent="0.25">
      <x:c r="F3790" s="11"/>
    </x:row>
    <x:row r="3791" spans="6:6" x14ac:dyDescent="0.25">
      <x:c r="F3791" s="11"/>
    </x:row>
    <x:row r="3792" spans="6:6" x14ac:dyDescent="0.25">
      <x:c r="F3792" s="11"/>
    </x:row>
    <x:row r="3793" spans="6:6" x14ac:dyDescent="0.25">
      <x:c r="F3793" s="11"/>
    </x:row>
    <x:row r="3794" spans="6:6" x14ac:dyDescent="0.25">
      <x:c r="F3794" s="11"/>
    </x:row>
    <x:row r="3795" spans="6:6" x14ac:dyDescent="0.25">
      <x:c r="F3795" s="11"/>
    </x:row>
    <x:row r="3796" spans="6:6" x14ac:dyDescent="0.25">
      <x:c r="F3796" s="11"/>
    </x:row>
    <x:row r="3797" spans="6:6" x14ac:dyDescent="0.25">
      <x:c r="F3797" s="11"/>
    </x:row>
    <x:row r="3798" spans="6:6" x14ac:dyDescent="0.25">
      <x:c r="F3798" s="11"/>
    </x:row>
    <x:row r="3799" spans="6:6" x14ac:dyDescent="0.25">
      <x:c r="F3799" s="11"/>
    </x:row>
    <x:row r="3800" spans="6:6" x14ac:dyDescent="0.25">
      <x:c r="F3800" s="11"/>
    </x:row>
    <x:row r="3801" spans="6:6" x14ac:dyDescent="0.25">
      <x:c r="F3801" s="11"/>
    </x:row>
    <x:row r="3802" spans="6:6" x14ac:dyDescent="0.25">
      <x:c r="F3802" s="11"/>
    </x:row>
    <x:row r="3803" spans="6:6" x14ac:dyDescent="0.25">
      <x:c r="F3803" s="11"/>
    </x:row>
    <x:row r="3804" spans="6:6" x14ac:dyDescent="0.25">
      <x:c r="F3804" s="11"/>
    </x:row>
    <x:row r="3805" spans="6:6" x14ac:dyDescent="0.25">
      <x:c r="F3805" s="11"/>
    </x:row>
    <x:row r="3806" spans="6:6" x14ac:dyDescent="0.25">
      <x:c r="F3806" s="11"/>
    </x:row>
    <x:row r="3807" spans="6:6" x14ac:dyDescent="0.25">
      <x:c r="F3807" s="11"/>
    </x:row>
    <x:row r="3808" spans="6:6" x14ac:dyDescent="0.25">
      <x:c r="F3808" s="11"/>
    </x:row>
    <x:row r="3809" spans="6:6" x14ac:dyDescent="0.25">
      <x:c r="F3809" s="11"/>
    </x:row>
    <x:row r="3810" spans="6:6" x14ac:dyDescent="0.25">
      <x:c r="F3810" s="11"/>
    </x:row>
    <x:row r="3811" spans="6:6" x14ac:dyDescent="0.25">
      <x:c r="F3811" s="11"/>
    </x:row>
    <x:row r="3812" spans="6:6" x14ac:dyDescent="0.25">
      <x:c r="F3812" s="11"/>
    </x:row>
    <x:row r="3813" spans="6:6" x14ac:dyDescent="0.25">
      <x:c r="F3813" s="11"/>
    </x:row>
    <x:row r="3814" spans="6:6" x14ac:dyDescent="0.25">
      <x:c r="F3814" s="11"/>
    </x:row>
    <x:row r="3815" spans="6:6" x14ac:dyDescent="0.25">
      <x:c r="F3815" s="11"/>
    </x:row>
    <x:row r="3816" spans="6:6" x14ac:dyDescent="0.25">
      <x:c r="F3816" s="11"/>
    </x:row>
    <x:row r="3817" spans="6:6" x14ac:dyDescent="0.25">
      <x:c r="F3817" s="11"/>
    </x:row>
    <x:row r="3818" spans="6:6" x14ac:dyDescent="0.25">
      <x:c r="F3818" s="11"/>
    </x:row>
    <x:row r="3819" spans="6:6" x14ac:dyDescent="0.25">
      <x:c r="F3819" s="11"/>
    </x:row>
    <x:row r="3820" spans="6:6" x14ac:dyDescent="0.25">
      <x:c r="F3820" s="11"/>
    </x:row>
    <x:row r="3821" spans="6:6" x14ac:dyDescent="0.25">
      <x:c r="F3821" s="11"/>
    </x:row>
    <x:row r="3822" spans="6:6" x14ac:dyDescent="0.25">
      <x:c r="F3822" s="11"/>
    </x:row>
    <x:row r="3823" spans="6:6" x14ac:dyDescent="0.25">
      <x:c r="F3823" s="11"/>
    </x:row>
    <x:row r="3824" spans="6:6" x14ac:dyDescent="0.25">
      <x:c r="F3824" s="11"/>
    </x:row>
    <x:row r="3825" spans="6:6" x14ac:dyDescent="0.25">
      <x:c r="F3825" s="11"/>
    </x:row>
    <x:row r="3826" spans="6:6" x14ac:dyDescent="0.25">
      <x:c r="F3826" s="11"/>
    </x:row>
    <x:row r="3827" spans="6:6" x14ac:dyDescent="0.25">
      <x:c r="F3827" s="11"/>
    </x:row>
    <x:row r="3828" spans="6:6" x14ac:dyDescent="0.25">
      <x:c r="F3828" s="11"/>
    </x:row>
    <x:row r="3829" spans="6:6" x14ac:dyDescent="0.25">
      <x:c r="F3829" s="11"/>
    </x:row>
    <x:row r="3830" spans="6:6" x14ac:dyDescent="0.25">
      <x:c r="F3830" s="11"/>
    </x:row>
    <x:row r="3831" spans="6:6" x14ac:dyDescent="0.25">
      <x:c r="F3831" s="11"/>
    </x:row>
    <x:row r="3832" spans="6:6" x14ac:dyDescent="0.25">
      <x:c r="F3832" s="11"/>
    </x:row>
    <x:row r="3833" spans="6:6" x14ac:dyDescent="0.25">
      <x:c r="F3833" s="11"/>
    </x:row>
    <x:row r="3834" spans="6:6" x14ac:dyDescent="0.25">
      <x:c r="F3834" s="11"/>
    </x:row>
    <x:row r="3835" spans="6:6" x14ac:dyDescent="0.25">
      <x:c r="F3835" s="11"/>
    </x:row>
    <x:row r="3836" spans="6:6" x14ac:dyDescent="0.25">
      <x:c r="F3836" s="11"/>
    </x:row>
    <x:row r="3837" spans="6:6" x14ac:dyDescent="0.25">
      <x:c r="F3837" s="11"/>
    </x:row>
    <x:row r="3838" spans="6:6" x14ac:dyDescent="0.25">
      <x:c r="F3838" s="11"/>
    </x:row>
    <x:row r="3839" spans="6:6" x14ac:dyDescent="0.25">
      <x:c r="F3839" s="11"/>
    </x:row>
    <x:row r="3840" spans="6:6" x14ac:dyDescent="0.25">
      <x:c r="F3840" s="11"/>
    </x:row>
    <x:row r="3841" spans="6:6" x14ac:dyDescent="0.25">
      <x:c r="F3841" s="11"/>
    </x:row>
    <x:row r="3842" spans="6:6" x14ac:dyDescent="0.25">
      <x:c r="F3842" s="11"/>
    </x:row>
    <x:row r="3843" spans="6:6" x14ac:dyDescent="0.25">
      <x:c r="F3843" s="11"/>
    </x:row>
    <x:row r="3844" spans="6:6" x14ac:dyDescent="0.25">
      <x:c r="F3844" s="11"/>
    </x:row>
    <x:row r="3845" spans="6:6" x14ac:dyDescent="0.25">
      <x:c r="F3845" s="11"/>
    </x:row>
    <x:row r="3846" spans="6:6" x14ac:dyDescent="0.25">
      <x:c r="F3846" s="11"/>
    </x:row>
    <x:row r="3847" spans="6:6" x14ac:dyDescent="0.25">
      <x:c r="F3847" s="11"/>
    </x:row>
    <x:row r="3848" spans="6:6" x14ac:dyDescent="0.25">
      <x:c r="F3848" s="11"/>
    </x:row>
    <x:row r="3849" spans="6:6" x14ac:dyDescent="0.25">
      <x:c r="F3849" s="11"/>
    </x:row>
    <x:row r="3850" spans="6:6" x14ac:dyDescent="0.25">
      <x:c r="F3850" s="11"/>
    </x:row>
    <x:row r="3851" spans="6:6" x14ac:dyDescent="0.25">
      <x:c r="F3851" s="11"/>
    </x:row>
    <x:row r="3852" spans="6:6" x14ac:dyDescent="0.25">
      <x:c r="F3852" s="11"/>
    </x:row>
    <x:row r="3853" spans="6:6" x14ac:dyDescent="0.25">
      <x:c r="F3853" s="11"/>
    </x:row>
    <x:row r="3854" spans="6:6" x14ac:dyDescent="0.25">
      <x:c r="F3854" s="11"/>
    </x:row>
    <x:row r="3855" spans="6:6" x14ac:dyDescent="0.25">
      <x:c r="F3855" s="11"/>
    </x:row>
    <x:row r="3856" spans="6:6" x14ac:dyDescent="0.25">
      <x:c r="F3856" s="11"/>
    </x:row>
    <x:row r="3857" spans="6:6" x14ac:dyDescent="0.25">
      <x:c r="F3857" s="11"/>
    </x:row>
    <x:row r="3858" spans="6:6" x14ac:dyDescent="0.25">
      <x:c r="F3858" s="11"/>
    </x:row>
    <x:row r="3859" spans="6:6" x14ac:dyDescent="0.25">
      <x:c r="F3859" s="11"/>
    </x:row>
    <x:row r="3860" spans="6:6" x14ac:dyDescent="0.25">
      <x:c r="F3860" s="11"/>
    </x:row>
    <x:row r="3861" spans="6:6" x14ac:dyDescent="0.25">
      <x:c r="F3861" s="11"/>
    </x:row>
    <x:row r="3862" spans="6:6" x14ac:dyDescent="0.25">
      <x:c r="F3862" s="11"/>
    </x:row>
    <x:row r="3863" spans="6:6" x14ac:dyDescent="0.25">
      <x:c r="F3863" s="11"/>
    </x:row>
    <x:row r="3864" spans="6:6" x14ac:dyDescent="0.25">
      <x:c r="F3864" s="11"/>
    </x:row>
    <x:row r="3865" spans="6:6" x14ac:dyDescent="0.25">
      <x:c r="F3865" s="11"/>
    </x:row>
    <x:row r="3866" spans="6:6" x14ac:dyDescent="0.25">
      <x:c r="F3866" s="11"/>
    </x:row>
    <x:row r="3867" spans="6:6" x14ac:dyDescent="0.25">
      <x:c r="F3867" s="11"/>
    </x:row>
    <x:row r="3868" spans="6:6" x14ac:dyDescent="0.25">
      <x:c r="F3868" s="11"/>
    </x:row>
    <x:row r="3869" spans="6:6" x14ac:dyDescent="0.25">
      <x:c r="F3869" s="11"/>
    </x:row>
    <x:row r="3870" spans="6:6" x14ac:dyDescent="0.25">
      <x:c r="F3870" s="11"/>
    </x:row>
    <x:row r="3871" spans="6:6" x14ac:dyDescent="0.25">
      <x:c r="F3871" s="11"/>
    </x:row>
    <x:row r="3872" spans="6:6" x14ac:dyDescent="0.25">
      <x:c r="F3872" s="11"/>
    </x:row>
    <x:row r="3873" spans="6:6" x14ac:dyDescent="0.25">
      <x:c r="F3873" s="11"/>
    </x:row>
    <x:row r="3874" spans="6:6" x14ac:dyDescent="0.25">
      <x:c r="F3874" s="11"/>
    </x:row>
    <x:row r="3875" spans="6:6" x14ac:dyDescent="0.25">
      <x:c r="F3875" s="11"/>
    </x:row>
    <x:row r="3876" spans="6:6" x14ac:dyDescent="0.25">
      <x:c r="F3876" s="11"/>
    </x:row>
    <x:row r="3877" spans="6:6" x14ac:dyDescent="0.25">
      <x:c r="F3877" s="11"/>
    </x:row>
    <x:row r="3878" spans="6:6" x14ac:dyDescent="0.25">
      <x:c r="F3878" s="11"/>
    </x:row>
    <x:row r="3879" spans="6:6" x14ac:dyDescent="0.25">
      <x:c r="F3879" s="11"/>
    </x:row>
    <x:row r="3880" spans="6:6" x14ac:dyDescent="0.25">
      <x:c r="F3880" s="11"/>
    </x:row>
    <x:row r="3881" spans="6:6" x14ac:dyDescent="0.25">
      <x:c r="F3881" s="11"/>
    </x:row>
    <x:row r="3882" spans="6:6" x14ac:dyDescent="0.25">
      <x:c r="F3882" s="11"/>
    </x:row>
    <x:row r="3883" spans="6:6" x14ac:dyDescent="0.25">
      <x:c r="F3883" s="11"/>
    </x:row>
    <x:row r="3884" spans="6:6" x14ac:dyDescent="0.25">
      <x:c r="F3884" s="11"/>
    </x:row>
    <x:row r="3885" spans="6:6" x14ac:dyDescent="0.25">
      <x:c r="F3885" s="11"/>
    </x:row>
    <x:row r="3886" spans="6:6" x14ac:dyDescent="0.25">
      <x:c r="F3886" s="11"/>
    </x:row>
    <x:row r="3887" spans="6:6" x14ac:dyDescent="0.25">
      <x:c r="F3887" s="11"/>
    </x:row>
    <x:row r="3888" spans="6:6" x14ac:dyDescent="0.25">
      <x:c r="F3888" s="11"/>
    </x:row>
    <x:row r="3889" spans="6:6" x14ac:dyDescent="0.25">
      <x:c r="F3889" s="11"/>
    </x:row>
    <x:row r="3890" spans="6:6" x14ac:dyDescent="0.25">
      <x:c r="F3890" s="11"/>
    </x:row>
    <x:row r="3891" spans="6:6" x14ac:dyDescent="0.25">
      <x:c r="F3891" s="11"/>
    </x:row>
    <x:row r="3892" spans="6:6" x14ac:dyDescent="0.25">
      <x:c r="F3892" s="11"/>
    </x:row>
    <x:row r="3893" spans="6:6" x14ac:dyDescent="0.25">
      <x:c r="F3893" s="11"/>
    </x:row>
    <x:row r="3894" spans="6:6" x14ac:dyDescent="0.25">
      <x:c r="F3894" s="11"/>
    </x:row>
    <x:row r="3895" spans="6:6" x14ac:dyDescent="0.25">
      <x:c r="F3895" s="11"/>
    </x:row>
    <x:row r="3896" spans="6:6" x14ac:dyDescent="0.25">
      <x:c r="F3896" s="11"/>
    </x:row>
    <x:row r="3897" spans="6:6" x14ac:dyDescent="0.25">
      <x:c r="F3897" s="11"/>
    </x:row>
    <x:row r="3898" spans="6:6" x14ac:dyDescent="0.25">
      <x:c r="F3898" s="11"/>
    </x:row>
    <x:row r="3899" spans="6:6" x14ac:dyDescent="0.25">
      <x:c r="F3899" s="11"/>
    </x:row>
    <x:row r="3900" spans="6:6" x14ac:dyDescent="0.25">
      <x:c r="F3900" s="11"/>
    </x:row>
    <x:row r="3901" spans="6:6" x14ac:dyDescent="0.25">
      <x:c r="F3901" s="11"/>
    </x:row>
    <x:row r="3902" spans="6:6" x14ac:dyDescent="0.25">
      <x:c r="F3902" s="11"/>
    </x:row>
    <x:row r="3903" spans="6:6" x14ac:dyDescent="0.25">
      <x:c r="F3903" s="11"/>
    </x:row>
    <x:row r="3904" spans="6:6" x14ac:dyDescent="0.25">
      <x:c r="F3904" s="11"/>
    </x:row>
    <x:row r="3905" spans="6:6" x14ac:dyDescent="0.25">
      <x:c r="F3905" s="11"/>
    </x:row>
    <x:row r="3906" spans="6:6" x14ac:dyDescent="0.25">
      <x:c r="F3906" s="11"/>
    </x:row>
    <x:row r="3907" spans="6:6" x14ac:dyDescent="0.25">
      <x:c r="F3907" s="11"/>
    </x:row>
    <x:row r="3908" spans="6:6" x14ac:dyDescent="0.25">
      <x:c r="F3908" s="11"/>
    </x:row>
    <x:row r="3909" spans="6:6" x14ac:dyDescent="0.25">
      <x:c r="F3909" s="11"/>
    </x:row>
    <x:row r="3910" spans="6:6" x14ac:dyDescent="0.25">
      <x:c r="F3910" s="11"/>
    </x:row>
    <x:row r="3911" spans="6:6" x14ac:dyDescent="0.25">
      <x:c r="F3911" s="11"/>
    </x:row>
    <x:row r="3912" spans="6:6" x14ac:dyDescent="0.25">
      <x:c r="F3912" s="11"/>
    </x:row>
    <x:row r="3913" spans="6:6" x14ac:dyDescent="0.25">
      <x:c r="F3913" s="11"/>
    </x:row>
    <x:row r="3914" spans="6:6" x14ac:dyDescent="0.25">
      <x:c r="F3914" s="11"/>
    </x:row>
    <x:row r="3915" spans="6:6" x14ac:dyDescent="0.25">
      <x:c r="F3915" s="11"/>
    </x:row>
    <x:row r="3916" spans="6:6" x14ac:dyDescent="0.25">
      <x:c r="F3916" s="11"/>
    </x:row>
    <x:row r="3917" spans="6:6" x14ac:dyDescent="0.25">
      <x:c r="F3917" s="11"/>
    </x:row>
    <x:row r="3918" spans="6:6" x14ac:dyDescent="0.25">
      <x:c r="F3918" s="11"/>
    </x:row>
    <x:row r="3919" spans="6:6" x14ac:dyDescent="0.25">
      <x:c r="F3919" s="11"/>
    </x:row>
    <x:row r="3920" spans="6:6" x14ac:dyDescent="0.25">
      <x:c r="F3920" s="11"/>
    </x:row>
    <x:row r="3921" spans="6:6" x14ac:dyDescent="0.25">
      <x:c r="F3921" s="11"/>
    </x:row>
    <x:row r="3922" spans="6:6" x14ac:dyDescent="0.25">
      <x:c r="F3922" s="11"/>
    </x:row>
    <x:row r="3923" spans="6:6" x14ac:dyDescent="0.25">
      <x:c r="F3923" s="11"/>
    </x:row>
    <x:row r="3924" spans="6:6" x14ac:dyDescent="0.25">
      <x:c r="F3924" s="11"/>
    </x:row>
    <x:row r="3925" spans="6:6" x14ac:dyDescent="0.25">
      <x:c r="F3925" s="11"/>
    </x:row>
    <x:row r="3926" spans="6:6" x14ac:dyDescent="0.25">
      <x:c r="F3926" s="11"/>
    </x:row>
    <x:row r="3927" spans="6:6" x14ac:dyDescent="0.25">
      <x:c r="F3927" s="11"/>
    </x:row>
    <x:row r="3928" spans="6:6" x14ac:dyDescent="0.25">
      <x:c r="F3928" s="11"/>
    </x:row>
    <x:row r="3929" spans="6:6" x14ac:dyDescent="0.25">
      <x:c r="F3929" s="11"/>
    </x:row>
    <x:row r="3930" spans="6:6" x14ac:dyDescent="0.25">
      <x:c r="F3930" s="11"/>
    </x:row>
    <x:row r="3931" spans="6:6" x14ac:dyDescent="0.25">
      <x:c r="F3931" s="11"/>
    </x:row>
    <x:row r="3932" spans="6:6" x14ac:dyDescent="0.25">
      <x:c r="F3932" s="11"/>
    </x:row>
    <x:row r="3933" spans="6:6" x14ac:dyDescent="0.25">
      <x:c r="F3933" s="11"/>
    </x:row>
    <x:row r="3934" spans="6:6" x14ac:dyDescent="0.25">
      <x:c r="F3934" s="11"/>
    </x:row>
    <x:row r="3935" spans="6:6" x14ac:dyDescent="0.25">
      <x:c r="F3935" s="11"/>
    </x:row>
    <x:row r="3936" spans="6:6" x14ac:dyDescent="0.25">
      <x:c r="F3936" s="11"/>
    </x:row>
    <x:row r="3937" spans="6:6" x14ac:dyDescent="0.25">
      <x:c r="F3937" s="11"/>
    </x:row>
    <x:row r="3938" spans="6:6" x14ac:dyDescent="0.25">
      <x:c r="F3938" s="11"/>
    </x:row>
    <x:row r="3939" spans="6:6" x14ac:dyDescent="0.25">
      <x:c r="F3939" s="11"/>
    </x:row>
    <x:row r="3940" spans="6:6" x14ac:dyDescent="0.25">
      <x:c r="F3940" s="11"/>
    </x:row>
    <x:row r="3941" spans="6:6" x14ac:dyDescent="0.25">
      <x:c r="F3941" s="11"/>
    </x:row>
    <x:row r="3942" spans="6:6" x14ac:dyDescent="0.25">
      <x:c r="F3942" s="11"/>
    </x:row>
    <x:row r="3943" spans="6:6" x14ac:dyDescent="0.25">
      <x:c r="F3943" s="11"/>
    </x:row>
    <x:row r="3944" spans="6:6" x14ac:dyDescent="0.25">
      <x:c r="F3944" s="11"/>
    </x:row>
    <x:row r="3945" spans="6:6" x14ac:dyDescent="0.25">
      <x:c r="F3945" s="11"/>
    </x:row>
    <x:row r="3946" spans="6:6" x14ac:dyDescent="0.25">
      <x:c r="F3946" s="11"/>
    </x:row>
    <x:row r="3947" spans="6:6" x14ac:dyDescent="0.25">
      <x:c r="F3947" s="11"/>
    </x:row>
    <x:row r="3948" spans="6:6" x14ac:dyDescent="0.25">
      <x:c r="F3948" s="11"/>
    </x:row>
    <x:row r="3949" spans="6:6" x14ac:dyDescent="0.25">
      <x:c r="F3949" s="11"/>
    </x:row>
    <x:row r="3950" spans="6:6" x14ac:dyDescent="0.25">
      <x:c r="F3950" s="11"/>
    </x:row>
    <x:row r="3951" spans="6:6" x14ac:dyDescent="0.25">
      <x:c r="F3951" s="11"/>
    </x:row>
    <x:row r="3952" spans="6:6" x14ac:dyDescent="0.25">
      <x:c r="F3952" s="11"/>
    </x:row>
    <x:row r="3953" spans="6:6" x14ac:dyDescent="0.25">
      <x:c r="F3953" s="11"/>
    </x:row>
    <x:row r="3954" spans="6:6" x14ac:dyDescent="0.25">
      <x:c r="F3954" s="11"/>
    </x:row>
    <x:row r="3955" spans="6:6" x14ac:dyDescent="0.25">
      <x:c r="F3955" s="11"/>
    </x:row>
    <x:row r="3956" spans="6:6" x14ac:dyDescent="0.25">
      <x:c r="F3956" s="11"/>
    </x:row>
    <x:row r="3957" spans="6:6" x14ac:dyDescent="0.25">
      <x:c r="F3957" s="11"/>
    </x:row>
    <x:row r="3958" spans="6:6" x14ac:dyDescent="0.25">
      <x:c r="F3958" s="11"/>
    </x:row>
    <x:row r="3959" spans="6:6" x14ac:dyDescent="0.25">
      <x:c r="F3959" s="11"/>
    </x:row>
    <x:row r="3960" spans="6:6" x14ac:dyDescent="0.25">
      <x:c r="F3960" s="11"/>
    </x:row>
    <x:row r="3961" spans="6:6" x14ac:dyDescent="0.25">
      <x:c r="F3961" s="11"/>
    </x:row>
    <x:row r="3962" spans="6:6" x14ac:dyDescent="0.25">
      <x:c r="F3962" s="11"/>
    </x:row>
    <x:row r="3963" spans="6:6" x14ac:dyDescent="0.25">
      <x:c r="F3963" s="11"/>
    </x:row>
    <x:row r="3964" spans="6:6" x14ac:dyDescent="0.25">
      <x:c r="F3964" s="11"/>
    </x:row>
    <x:row r="3965" spans="6:6" x14ac:dyDescent="0.25">
      <x:c r="F3965" s="11"/>
    </x:row>
    <x:row r="3966" spans="6:6" x14ac:dyDescent="0.25">
      <x:c r="F3966" s="11"/>
    </x:row>
    <x:row r="3967" spans="6:6" x14ac:dyDescent="0.25">
      <x:c r="F3967" s="11"/>
    </x:row>
    <x:row r="3968" spans="6:6" x14ac:dyDescent="0.25">
      <x:c r="F3968" s="11"/>
    </x:row>
    <x:row r="3969" spans="6:6" x14ac:dyDescent="0.25">
      <x:c r="F3969" s="11"/>
    </x:row>
    <x:row r="3970" spans="6:6" x14ac:dyDescent="0.25">
      <x:c r="F3970" s="11"/>
    </x:row>
    <x:row r="3971" spans="6:6" x14ac:dyDescent="0.25">
      <x:c r="F3971" s="11"/>
    </x:row>
    <x:row r="3972" spans="6:6" x14ac:dyDescent="0.25">
      <x:c r="F3972" s="11"/>
    </x:row>
    <x:row r="3973" spans="6:6" x14ac:dyDescent="0.25">
      <x:c r="F3973" s="11"/>
    </x:row>
    <x:row r="3974" spans="6:6" x14ac:dyDescent="0.25">
      <x:c r="F3974" s="11"/>
    </x:row>
    <x:row r="3975" spans="6:6" x14ac:dyDescent="0.25">
      <x:c r="F3975" s="11"/>
    </x:row>
    <x:row r="3976" spans="6:6" x14ac:dyDescent="0.25">
      <x:c r="F3976" s="11"/>
    </x:row>
    <x:row r="3977" spans="6:6" x14ac:dyDescent="0.25">
      <x:c r="F3977" s="11"/>
    </x:row>
    <x:row r="3978" spans="6:6" x14ac:dyDescent="0.25">
      <x:c r="F3978" s="11"/>
    </x:row>
    <x:row r="3979" spans="6:6" x14ac:dyDescent="0.25">
      <x:c r="F3979" s="11"/>
    </x:row>
    <x:row r="3980" spans="6:6" x14ac:dyDescent="0.25">
      <x:c r="F3980" s="11"/>
    </x:row>
    <x:row r="3981" spans="6:6" x14ac:dyDescent="0.25">
      <x:c r="F3981" s="11"/>
    </x:row>
    <x:row r="3982" spans="6:6" x14ac:dyDescent="0.25">
      <x:c r="F3982" s="11"/>
    </x:row>
    <x:row r="3983" spans="6:6" x14ac:dyDescent="0.25">
      <x:c r="F3983" s="11"/>
    </x:row>
    <x:row r="3984" spans="6:6" x14ac:dyDescent="0.25">
      <x:c r="F3984" s="11"/>
    </x:row>
    <x:row r="3985" spans="6:6" x14ac:dyDescent="0.25">
      <x:c r="F3985" s="11"/>
    </x:row>
    <x:row r="3986" spans="6:6" x14ac:dyDescent="0.25">
      <x:c r="F3986" s="11"/>
    </x:row>
    <x:row r="3987" spans="6:6" x14ac:dyDescent="0.25">
      <x:c r="F3987" s="11"/>
    </x:row>
    <x:row r="3988" spans="6:6" x14ac:dyDescent="0.25">
      <x:c r="F3988" s="11"/>
    </x:row>
    <x:row r="3989" spans="6:6" x14ac:dyDescent="0.25">
      <x:c r="F3989" s="11"/>
    </x:row>
    <x:row r="3990" spans="6:6" x14ac:dyDescent="0.25">
      <x:c r="F3990" s="11"/>
    </x:row>
    <x:row r="3991" spans="6:6" x14ac:dyDescent="0.25">
      <x:c r="F3991" s="11"/>
    </x:row>
    <x:row r="3992" spans="6:6" x14ac:dyDescent="0.25">
      <x:c r="F3992" s="11"/>
    </x:row>
    <x:row r="3993" spans="6:6" x14ac:dyDescent="0.25">
      <x:c r="F3993" s="11"/>
    </x:row>
    <x:row r="3994" spans="6:6" x14ac:dyDescent="0.25">
      <x:c r="F3994" s="11"/>
    </x:row>
    <x:row r="3995" spans="6:6" x14ac:dyDescent="0.25">
      <x:c r="F3995" s="11"/>
    </x:row>
    <x:row r="3996" spans="6:6" x14ac:dyDescent="0.25">
      <x:c r="F3996" s="11"/>
    </x:row>
    <x:row r="3997" spans="6:6" x14ac:dyDescent="0.25">
      <x:c r="F3997" s="11"/>
    </x:row>
    <x:row r="3998" spans="6:6" x14ac:dyDescent="0.25">
      <x:c r="F3998" s="11"/>
    </x:row>
    <x:row r="3999" spans="6:6" x14ac:dyDescent="0.25">
      <x:c r="F3999" s="11"/>
    </x:row>
    <x:row r="4000" spans="6:6" x14ac:dyDescent="0.25">
      <x:c r="F4000" s="11"/>
    </x:row>
    <x:row r="4001" spans="6:6" x14ac:dyDescent="0.25">
      <x:c r="F4001" s="11"/>
    </x:row>
    <x:row r="4002" spans="6:6" x14ac:dyDescent="0.25">
      <x:c r="F4002" s="11"/>
    </x:row>
    <x:row r="4003" spans="6:6" x14ac:dyDescent="0.25">
      <x:c r="F4003" s="11"/>
    </x:row>
    <x:row r="4004" spans="6:6" x14ac:dyDescent="0.25">
      <x:c r="F4004" s="11"/>
    </x:row>
    <x:row r="4005" spans="6:6" x14ac:dyDescent="0.25">
      <x:c r="F4005" s="11"/>
    </x:row>
    <x:row r="4006" spans="6:6" x14ac:dyDescent="0.25">
      <x:c r="F4006" s="11"/>
    </x:row>
    <x:row r="4007" spans="6:6" x14ac:dyDescent="0.25">
      <x:c r="F4007" s="11"/>
    </x:row>
    <x:row r="4008" spans="6:6" x14ac:dyDescent="0.25">
      <x:c r="F4008" s="11"/>
    </x:row>
    <x:row r="4009" spans="6:6" x14ac:dyDescent="0.25">
      <x:c r="F4009" s="11"/>
    </x:row>
    <x:row r="4010" spans="6:6" x14ac:dyDescent="0.25">
      <x:c r="F4010" s="11"/>
    </x:row>
    <x:row r="4011" spans="6:6" x14ac:dyDescent="0.25">
      <x:c r="F4011" s="11"/>
    </x:row>
    <x:row r="4012" spans="6:6" x14ac:dyDescent="0.25">
      <x:c r="F4012" s="11"/>
    </x:row>
    <x:row r="4013" spans="6:6" x14ac:dyDescent="0.25">
      <x:c r="F4013" s="11"/>
    </x:row>
    <x:row r="4014" spans="6:6" x14ac:dyDescent="0.25">
      <x:c r="F4014" s="11"/>
    </x:row>
    <x:row r="4015" spans="6:6" x14ac:dyDescent="0.25">
      <x:c r="F4015" s="11"/>
    </x:row>
    <x:row r="4016" spans="6:6" x14ac:dyDescent="0.25">
      <x:c r="F4016" s="11"/>
    </x:row>
    <x:row r="4017" spans="6:6" x14ac:dyDescent="0.25">
      <x:c r="F4017" s="11"/>
    </x:row>
    <x:row r="4018" spans="6:6" x14ac:dyDescent="0.25">
      <x:c r="F4018" s="11"/>
    </x:row>
    <x:row r="4019" spans="6:6" x14ac:dyDescent="0.25">
      <x:c r="F4019" s="11"/>
    </x:row>
    <x:row r="4020" spans="6:6" x14ac:dyDescent="0.25">
      <x:c r="F4020" s="11"/>
    </x:row>
    <x:row r="4021" spans="6:6" x14ac:dyDescent="0.25">
      <x:c r="F4021" s="11"/>
    </x:row>
    <x:row r="4022" spans="6:6" x14ac:dyDescent="0.25">
      <x:c r="F4022" s="11"/>
    </x:row>
    <x:row r="4023" spans="6:6" x14ac:dyDescent="0.25">
      <x:c r="F4023" s="11"/>
    </x:row>
    <x:row r="4024" spans="6:6" x14ac:dyDescent="0.25">
      <x:c r="F4024" s="11"/>
    </x:row>
    <x:row r="4025" spans="6:6" x14ac:dyDescent="0.25">
      <x:c r="F4025" s="11"/>
    </x:row>
    <x:row r="4026" spans="6:6" x14ac:dyDescent="0.25">
      <x:c r="F4026" s="11"/>
    </x:row>
    <x:row r="4027" spans="6:6" x14ac:dyDescent="0.25">
      <x:c r="F4027" s="11"/>
    </x:row>
    <x:row r="4028" spans="6:6" x14ac:dyDescent="0.25">
      <x:c r="F4028" s="11"/>
    </x:row>
    <x:row r="4029" spans="6:6" x14ac:dyDescent="0.25">
      <x:c r="F4029" s="11"/>
    </x:row>
    <x:row r="4030" spans="6:6" x14ac:dyDescent="0.25">
      <x:c r="F4030" s="11"/>
    </x:row>
    <x:row r="4031" spans="6:6" x14ac:dyDescent="0.25">
      <x:c r="F4031" s="11"/>
    </x:row>
    <x:row r="4032" spans="6:6" x14ac:dyDescent="0.25">
      <x:c r="F4032" s="11"/>
    </x:row>
    <x:row r="4033" spans="6:6" x14ac:dyDescent="0.25">
      <x:c r="F4033" s="11"/>
    </x:row>
    <x:row r="4034" spans="6:6" x14ac:dyDescent="0.25">
      <x:c r="F4034" s="11"/>
    </x:row>
    <x:row r="4035" spans="6:6" x14ac:dyDescent="0.25">
      <x:c r="F4035" s="11"/>
    </x:row>
    <x:row r="4036" spans="6:6" x14ac:dyDescent="0.25">
      <x:c r="F4036" s="11"/>
    </x:row>
    <x:row r="4037" spans="6:6" x14ac:dyDescent="0.25">
      <x:c r="F4037" s="11"/>
    </x:row>
    <x:row r="4038" spans="6:6" x14ac:dyDescent="0.25">
      <x:c r="F4038" s="11"/>
    </x:row>
    <x:row r="4039" spans="6:6" x14ac:dyDescent="0.25">
      <x:c r="F4039" s="11"/>
    </x:row>
    <x:row r="4040" spans="6:6" x14ac:dyDescent="0.25">
      <x:c r="F4040" s="11"/>
    </x:row>
    <x:row r="4041" spans="6:6" x14ac:dyDescent="0.25">
      <x:c r="F4041" s="11"/>
    </x:row>
    <x:row r="4042" spans="6:6" x14ac:dyDescent="0.25">
      <x:c r="F4042" s="11"/>
    </x:row>
    <x:row r="4043" spans="6:6" x14ac:dyDescent="0.25">
      <x:c r="F4043" s="11"/>
    </x:row>
    <x:row r="4044" spans="6:6" x14ac:dyDescent="0.25">
      <x:c r="F4044" s="11"/>
    </x:row>
    <x:row r="4045" spans="6:6" x14ac:dyDescent="0.25">
      <x:c r="F4045" s="11"/>
    </x:row>
    <x:row r="4046" spans="6:6" x14ac:dyDescent="0.25">
      <x:c r="F4046" s="11"/>
    </x:row>
    <x:row r="4047" spans="6:6" x14ac:dyDescent="0.25">
      <x:c r="F4047" s="11"/>
    </x:row>
    <x:row r="4048" spans="6:6" x14ac:dyDescent="0.25">
      <x:c r="F4048" s="11"/>
    </x:row>
    <x:row r="4049" spans="6:6" x14ac:dyDescent="0.25">
      <x:c r="F4049" s="11"/>
    </x:row>
    <x:row r="4050" spans="6:6" x14ac:dyDescent="0.25">
      <x:c r="F4050" s="11"/>
    </x:row>
    <x:row r="4051" spans="6:6" x14ac:dyDescent="0.25">
      <x:c r="F4051" s="11"/>
    </x:row>
    <x:row r="4052" spans="6:6" x14ac:dyDescent="0.25">
      <x:c r="F4052" s="11"/>
    </x:row>
    <x:row r="4053" spans="6:6" x14ac:dyDescent="0.25">
      <x:c r="F4053" s="11"/>
    </x:row>
    <x:row r="4054" spans="6:6" x14ac:dyDescent="0.25">
      <x:c r="F4054" s="11"/>
    </x:row>
    <x:row r="4055" spans="6:6" x14ac:dyDescent="0.25">
      <x:c r="F4055" s="11"/>
    </x:row>
    <x:row r="4056" spans="6:6" x14ac:dyDescent="0.25">
      <x:c r="F4056" s="11"/>
    </x:row>
    <x:row r="4057" spans="6:6" x14ac:dyDescent="0.25">
      <x:c r="F4057" s="11"/>
    </x:row>
    <x:row r="4058" spans="6:6" x14ac:dyDescent="0.25">
      <x:c r="F4058" s="11"/>
    </x:row>
    <x:row r="4059" spans="6:6" x14ac:dyDescent="0.25">
      <x:c r="F4059" s="11"/>
    </x:row>
    <x:row r="4060" spans="6:6" x14ac:dyDescent="0.25">
      <x:c r="F4060" s="11"/>
    </x:row>
    <x:row r="4061" spans="6:6" x14ac:dyDescent="0.25">
      <x:c r="F4061" s="11"/>
    </x:row>
    <x:row r="4062" spans="6:6" x14ac:dyDescent="0.25">
      <x:c r="F4062" s="11"/>
    </x:row>
    <x:row r="4063" spans="6:6" x14ac:dyDescent="0.25">
      <x:c r="F4063" s="11"/>
    </x:row>
    <x:row r="4064" spans="6:6" x14ac:dyDescent="0.25">
      <x:c r="F4064" s="11"/>
    </x:row>
    <x:row r="4065" spans="6:6" x14ac:dyDescent="0.25">
      <x:c r="F4065" s="11"/>
    </x:row>
    <x:row r="4066" spans="6:6" x14ac:dyDescent="0.25">
      <x:c r="F4066" s="11"/>
    </x:row>
    <x:row r="4067" spans="6:6" x14ac:dyDescent="0.25">
      <x:c r="F4067" s="11"/>
    </x:row>
    <x:row r="4068" spans="6:6" x14ac:dyDescent="0.25">
      <x:c r="F4068" s="11"/>
    </x:row>
    <x:row r="4069" spans="6:6" x14ac:dyDescent="0.25">
      <x:c r="F4069" s="11"/>
    </x:row>
    <x:row r="4070" spans="6:6" x14ac:dyDescent="0.25">
      <x:c r="F4070" s="11"/>
    </x:row>
    <x:row r="4071" spans="6:6" x14ac:dyDescent="0.25">
      <x:c r="F4071" s="11"/>
    </x:row>
    <x:row r="4072" spans="6:6" x14ac:dyDescent="0.25">
      <x:c r="F4072" s="11"/>
    </x:row>
    <x:row r="4073" spans="6:6" x14ac:dyDescent="0.25">
      <x:c r="F4073" s="11"/>
    </x:row>
    <x:row r="4074" spans="6:6" x14ac:dyDescent="0.25">
      <x:c r="F4074" s="11"/>
    </x:row>
    <x:row r="4075" spans="6:6" x14ac:dyDescent="0.25">
      <x:c r="F4075" s="11"/>
    </x:row>
    <x:row r="4076" spans="6:6" x14ac:dyDescent="0.25">
      <x:c r="F4076" s="11"/>
    </x:row>
    <x:row r="4077" spans="6:6" x14ac:dyDescent="0.25">
      <x:c r="F4077" s="11"/>
    </x:row>
    <x:row r="4078" spans="6:6" x14ac:dyDescent="0.25">
      <x:c r="F4078" s="11"/>
    </x:row>
    <x:row r="4079" spans="6:6" x14ac:dyDescent="0.25">
      <x:c r="F4079" s="11"/>
    </x:row>
    <x:row r="4080" spans="6:6" x14ac:dyDescent="0.25">
      <x:c r="F4080" s="11"/>
    </x:row>
    <x:row r="4081" spans="6:6" x14ac:dyDescent="0.25">
      <x:c r="F4081" s="11"/>
    </x:row>
    <x:row r="4082" spans="6:6" x14ac:dyDescent="0.25">
      <x:c r="F4082" s="11"/>
    </x:row>
    <x:row r="4083" spans="6:6" x14ac:dyDescent="0.25">
      <x:c r="F4083" s="11"/>
    </x:row>
    <x:row r="4084" spans="6:6" x14ac:dyDescent="0.25">
      <x:c r="F4084" s="11"/>
    </x:row>
    <x:row r="4085" spans="6:6" x14ac:dyDescent="0.25">
      <x:c r="F4085" s="11"/>
    </x:row>
    <x:row r="4086" spans="6:6" x14ac:dyDescent="0.25">
      <x:c r="F4086" s="11"/>
    </x:row>
    <x:row r="4087" spans="6:6" x14ac:dyDescent="0.25">
      <x:c r="F4087" s="11"/>
    </x:row>
    <x:row r="4088" spans="6:6" x14ac:dyDescent="0.25">
      <x:c r="F4088" s="11"/>
    </x:row>
    <x:row r="4089" spans="6:6" x14ac:dyDescent="0.25">
      <x:c r="F4089" s="11"/>
    </x:row>
    <x:row r="4090" spans="6:6" x14ac:dyDescent="0.25">
      <x:c r="F4090" s="11"/>
    </x:row>
    <x:row r="4091" spans="6:6" x14ac:dyDescent="0.25">
      <x:c r="F4091" s="11"/>
    </x:row>
    <x:row r="4092" spans="6:6" x14ac:dyDescent="0.25">
      <x:c r="F4092" s="11"/>
    </x:row>
    <x:row r="4093" spans="6:6" x14ac:dyDescent="0.25">
      <x:c r="F4093" s="11"/>
    </x:row>
    <x:row r="4094" spans="6:6" x14ac:dyDescent="0.25">
      <x:c r="F4094" s="11"/>
    </x:row>
    <x:row r="4095" spans="6:6" x14ac:dyDescent="0.25">
      <x:c r="F4095" s="11"/>
    </x:row>
    <x:row r="4096" spans="6:6" x14ac:dyDescent="0.25">
      <x:c r="F4096" s="11"/>
    </x:row>
    <x:row r="4097" spans="6:6" x14ac:dyDescent="0.25">
      <x:c r="F4097" s="11"/>
    </x:row>
    <x:row r="4098" spans="6:6" x14ac:dyDescent="0.25">
      <x:c r="F4098" s="11"/>
    </x:row>
    <x:row r="4099" spans="6:6" x14ac:dyDescent="0.25">
      <x:c r="F4099" s="11"/>
    </x:row>
    <x:row r="4100" spans="6:6" x14ac:dyDescent="0.25">
      <x:c r="F4100" s="11"/>
    </x:row>
    <x:row r="4101" spans="6:6" x14ac:dyDescent="0.25">
      <x:c r="F4101" s="11"/>
    </x:row>
    <x:row r="4102" spans="6:6" x14ac:dyDescent="0.25">
      <x:c r="F4102" s="11"/>
    </x:row>
    <x:row r="4103" spans="6:6" x14ac:dyDescent="0.25">
      <x:c r="F4103" s="11"/>
    </x:row>
    <x:row r="4104" spans="6:6" x14ac:dyDescent="0.25">
      <x:c r="F4104" s="11"/>
    </x:row>
    <x:row r="4105" spans="6:6" x14ac:dyDescent="0.25">
      <x:c r="F4105" s="11"/>
    </x:row>
    <x:row r="4106" spans="6:6" x14ac:dyDescent="0.25">
      <x:c r="F4106" s="11"/>
    </x:row>
    <x:row r="4107" spans="6:6" x14ac:dyDescent="0.25">
      <x:c r="F4107" s="11"/>
    </x:row>
    <x:row r="4108" spans="6:6" x14ac:dyDescent="0.25">
      <x:c r="F4108" s="11"/>
    </x:row>
    <x:row r="4109" spans="6:6" x14ac:dyDescent="0.25">
      <x:c r="F4109" s="11"/>
    </x:row>
    <x:row r="4110" spans="6:6" x14ac:dyDescent="0.25">
      <x:c r="F4110" s="11"/>
    </x:row>
    <x:row r="4111" spans="6:6" x14ac:dyDescent="0.25">
      <x:c r="F4111" s="11"/>
    </x:row>
    <x:row r="4112" spans="6:6" x14ac:dyDescent="0.25">
      <x:c r="F4112" s="11"/>
    </x:row>
    <x:row r="4113" spans="6:6" x14ac:dyDescent="0.25">
      <x:c r="F4113" s="11"/>
    </x:row>
    <x:row r="4114" spans="6:6" x14ac:dyDescent="0.25">
      <x:c r="F4114" s="11"/>
    </x:row>
    <x:row r="4115" spans="6:6" x14ac:dyDescent="0.25">
      <x:c r="F4115" s="11"/>
    </x:row>
    <x:row r="4116" spans="6:6" x14ac:dyDescent="0.25">
      <x:c r="F4116" s="11"/>
    </x:row>
    <x:row r="4117" spans="6:6" x14ac:dyDescent="0.25">
      <x:c r="F4117" s="11"/>
    </x:row>
    <x:row r="4118" spans="6:6" x14ac:dyDescent="0.25">
      <x:c r="F4118" s="11"/>
    </x:row>
    <x:row r="4119" spans="6:6" x14ac:dyDescent="0.25">
      <x:c r="F4119" s="11"/>
    </x:row>
    <x:row r="4120" spans="6:6" x14ac:dyDescent="0.25">
      <x:c r="F4120" s="11"/>
    </x:row>
    <x:row r="4121" spans="6:6" x14ac:dyDescent="0.25">
      <x:c r="F4121" s="11"/>
    </x:row>
    <x:row r="4122" spans="6:6" x14ac:dyDescent="0.25">
      <x:c r="F4122" s="11"/>
    </x:row>
    <x:row r="4123" spans="6:6" x14ac:dyDescent="0.25">
      <x:c r="F4123" s="11"/>
    </x:row>
    <x:row r="4124" spans="6:6" x14ac:dyDescent="0.25">
      <x:c r="F4124" s="11"/>
    </x:row>
    <x:row r="4125" spans="6:6" x14ac:dyDescent="0.25">
      <x:c r="F4125" s="11"/>
    </x:row>
    <x:row r="4126" spans="6:6" x14ac:dyDescent="0.25">
      <x:c r="F4126" s="11"/>
    </x:row>
    <x:row r="4127" spans="6:6" x14ac:dyDescent="0.25">
      <x:c r="F4127" s="11"/>
    </x:row>
    <x:row r="4128" spans="6:6" x14ac:dyDescent="0.25">
      <x:c r="F4128" s="11"/>
    </x:row>
    <x:row r="4129" spans="6:6" x14ac:dyDescent="0.25">
      <x:c r="F4129" s="11"/>
    </x:row>
    <x:row r="4130" spans="6:6" x14ac:dyDescent="0.25">
      <x:c r="F4130" s="11"/>
    </x:row>
    <x:row r="4131" spans="6:6" x14ac:dyDescent="0.25">
      <x:c r="F4131" s="11"/>
    </x:row>
    <x:row r="4132" spans="6:6" x14ac:dyDescent="0.25">
      <x:c r="F4132" s="11"/>
    </x:row>
    <x:row r="4133" spans="6:6" x14ac:dyDescent="0.25">
      <x:c r="F4133" s="11"/>
    </x:row>
    <x:row r="4134" spans="6:6" x14ac:dyDescent="0.25">
      <x:c r="F4134" s="11"/>
    </x:row>
    <x:row r="4135" spans="6:6" x14ac:dyDescent="0.25">
      <x:c r="F4135" s="11"/>
    </x:row>
    <x:row r="4136" spans="6:6" x14ac:dyDescent="0.25">
      <x:c r="F4136" s="11"/>
    </x:row>
    <x:row r="4137" spans="6:6" x14ac:dyDescent="0.25">
      <x:c r="F4137" s="11"/>
    </x:row>
    <x:row r="4138" spans="6:6" x14ac:dyDescent="0.25">
      <x:c r="F4138" s="11"/>
    </x:row>
    <x:row r="4139" spans="6:6" x14ac:dyDescent="0.25">
      <x:c r="F4139" s="11"/>
    </x:row>
    <x:row r="4140" spans="6:6" x14ac:dyDescent="0.25">
      <x:c r="F4140" s="11"/>
    </x:row>
    <x:row r="4141" spans="6:6" x14ac:dyDescent="0.25">
      <x:c r="F4141" s="11"/>
    </x:row>
    <x:row r="4142" spans="6:6" x14ac:dyDescent="0.25">
      <x:c r="F4142" s="11"/>
    </x:row>
    <x:row r="4143" spans="6:6" x14ac:dyDescent="0.25">
      <x:c r="F4143" s="11"/>
    </x:row>
    <x:row r="4144" spans="6:6" x14ac:dyDescent="0.25">
      <x:c r="F4144" s="11"/>
    </x:row>
    <x:row r="4145" spans="6:6" x14ac:dyDescent="0.25">
      <x:c r="F4145" s="11"/>
    </x:row>
    <x:row r="4146" spans="6:6" x14ac:dyDescent="0.25">
      <x:c r="F4146" s="11"/>
    </x:row>
    <x:row r="4147" spans="6:6" x14ac:dyDescent="0.25">
      <x:c r="F4147" s="11"/>
    </x:row>
    <x:row r="4148" spans="6:6" x14ac:dyDescent="0.25">
      <x:c r="F4148" s="11"/>
    </x:row>
    <x:row r="4149" spans="6:6" x14ac:dyDescent="0.25">
      <x:c r="F4149" s="11"/>
    </x:row>
    <x:row r="4150" spans="6:6" x14ac:dyDescent="0.25">
      <x:c r="F4150" s="11"/>
    </x:row>
    <x:row r="4151" spans="6:6" x14ac:dyDescent="0.25">
      <x:c r="F4151" s="11"/>
    </x:row>
    <x:row r="4152" spans="6:6" x14ac:dyDescent="0.25">
      <x:c r="F4152" s="11"/>
    </x:row>
    <x:row r="4153" spans="6:6" x14ac:dyDescent="0.25">
      <x:c r="F4153" s="11"/>
    </x:row>
    <x:row r="4154" spans="6:6" x14ac:dyDescent="0.25">
      <x:c r="F4154" s="11"/>
    </x:row>
    <x:row r="4155" spans="6:6" x14ac:dyDescent="0.25">
      <x:c r="F4155" s="11"/>
    </x:row>
    <x:row r="4156" spans="6:6" x14ac:dyDescent="0.25">
      <x:c r="F4156" s="11"/>
    </x:row>
    <x:row r="4157" spans="6:6" x14ac:dyDescent="0.25">
      <x:c r="F4157" s="11"/>
    </x:row>
    <x:row r="4158" spans="6:6" x14ac:dyDescent="0.25">
      <x:c r="F4158" s="11"/>
    </x:row>
    <x:row r="4159" spans="6:6" x14ac:dyDescent="0.25">
      <x:c r="F4159" s="11"/>
    </x:row>
    <x:row r="4160" spans="6:6" x14ac:dyDescent="0.25">
      <x:c r="F4160" s="11"/>
    </x:row>
    <x:row r="4161" spans="6:6" x14ac:dyDescent="0.25">
      <x:c r="F4161" s="11"/>
    </x:row>
    <x:row r="4162" spans="6:6" x14ac:dyDescent="0.25">
      <x:c r="F4162" s="11"/>
    </x:row>
    <x:row r="4163" spans="6:6" x14ac:dyDescent="0.25">
      <x:c r="F4163" s="11"/>
    </x:row>
    <x:row r="4164" spans="6:6" x14ac:dyDescent="0.25">
      <x:c r="F4164" s="11"/>
    </x:row>
    <x:row r="4165" spans="6:6" x14ac:dyDescent="0.25">
      <x:c r="F4165" s="11"/>
    </x:row>
    <x:row r="4166" spans="6:6" x14ac:dyDescent="0.25">
      <x:c r="F4166" s="11"/>
    </x:row>
    <x:row r="4167" spans="6:6" x14ac:dyDescent="0.25">
      <x:c r="F4167" s="11"/>
    </x:row>
    <x:row r="4168" spans="6:6" x14ac:dyDescent="0.25">
      <x:c r="F4168" s="11"/>
    </x:row>
    <x:row r="4169" spans="6:6" x14ac:dyDescent="0.25">
      <x:c r="F4169" s="11"/>
    </x:row>
    <x:row r="4170" spans="6:6" x14ac:dyDescent="0.25">
      <x:c r="F4170" s="11"/>
    </x:row>
    <x:row r="4171" spans="6:6" x14ac:dyDescent="0.25">
      <x:c r="F4171" s="11"/>
    </x:row>
    <x:row r="4172" spans="6:6" x14ac:dyDescent="0.25">
      <x:c r="F4172" s="11"/>
    </x:row>
    <x:row r="4173" spans="6:6" x14ac:dyDescent="0.25">
      <x:c r="F4173" s="11"/>
    </x:row>
    <x:row r="4174" spans="6:6" x14ac:dyDescent="0.25">
      <x:c r="F4174" s="11"/>
    </x:row>
    <x:row r="4175" spans="6:6" x14ac:dyDescent="0.25">
      <x:c r="F4175" s="11"/>
    </x:row>
    <x:row r="4176" spans="6:6" x14ac:dyDescent="0.25">
      <x:c r="F4176" s="11"/>
    </x:row>
    <x:row r="4177" spans="6:6" x14ac:dyDescent="0.25">
      <x:c r="F4177" s="11"/>
    </x:row>
    <x:row r="4178" spans="6:6" x14ac:dyDescent="0.25">
      <x:c r="F4178" s="11"/>
    </x:row>
    <x:row r="4179" spans="6:6" x14ac:dyDescent="0.25">
      <x:c r="F4179" s="11"/>
    </x:row>
    <x:row r="4180" spans="6:6" x14ac:dyDescent="0.25">
      <x:c r="F4180" s="11"/>
    </x:row>
    <x:row r="4181" spans="6:6" x14ac:dyDescent="0.25">
      <x:c r="F4181" s="11"/>
    </x:row>
    <x:row r="4182" spans="6:6" x14ac:dyDescent="0.25">
      <x:c r="F4182" s="11"/>
    </x:row>
    <x:row r="4183" spans="6:6" x14ac:dyDescent="0.25">
      <x:c r="F4183" s="11"/>
    </x:row>
    <x:row r="4184" spans="6:6" x14ac:dyDescent="0.25">
      <x:c r="F4184" s="11"/>
    </x:row>
    <x:row r="4185" spans="6:6" x14ac:dyDescent="0.25">
      <x:c r="F4185" s="11"/>
    </x:row>
    <x:row r="4186" spans="6:6" x14ac:dyDescent="0.25">
      <x:c r="F4186" s="11"/>
    </x:row>
    <x:row r="4187" spans="6:6" x14ac:dyDescent="0.25">
      <x:c r="F4187" s="11"/>
    </x:row>
    <x:row r="4188" spans="6:6" x14ac:dyDescent="0.25">
      <x:c r="F4188" s="11"/>
    </x:row>
    <x:row r="4189" spans="6:6" x14ac:dyDescent="0.25">
      <x:c r="F4189" s="11"/>
    </x:row>
    <x:row r="4190" spans="6:6" x14ac:dyDescent="0.25">
      <x:c r="F4190" s="11"/>
    </x:row>
    <x:row r="4191" spans="6:6" x14ac:dyDescent="0.25">
      <x:c r="F4191" s="11"/>
    </x:row>
    <x:row r="4192" spans="6:6" x14ac:dyDescent="0.25">
      <x:c r="F4192" s="11"/>
    </x:row>
    <x:row r="4193" spans="6:6" x14ac:dyDescent="0.25">
      <x:c r="F4193" s="11"/>
    </x:row>
    <x:row r="4194" spans="6:6" x14ac:dyDescent="0.25">
      <x:c r="F4194" s="11"/>
    </x:row>
    <x:row r="4195" spans="6:6" x14ac:dyDescent="0.25">
      <x:c r="F4195" s="11"/>
    </x:row>
    <x:row r="4196" spans="6:6" x14ac:dyDescent="0.25">
      <x:c r="F4196" s="11"/>
    </x:row>
    <x:row r="4197" spans="6:6" x14ac:dyDescent="0.25">
      <x:c r="F4197" s="11"/>
    </x:row>
    <x:row r="4198" spans="6:6" x14ac:dyDescent="0.25">
      <x:c r="F4198" s="11"/>
    </x:row>
    <x:row r="4199" spans="6:6" x14ac:dyDescent="0.25">
      <x:c r="F4199" s="11"/>
    </x:row>
    <x:row r="4200" spans="6:6" x14ac:dyDescent="0.25">
      <x:c r="F4200" s="11"/>
    </x:row>
    <x:row r="4201" spans="6:6" x14ac:dyDescent="0.25">
      <x:c r="F4201" s="11"/>
    </x:row>
    <x:row r="4202" spans="6:6" x14ac:dyDescent="0.25">
      <x:c r="F4202" s="11"/>
    </x:row>
    <x:row r="4203" spans="6:6" x14ac:dyDescent="0.25">
      <x:c r="F4203" s="11"/>
    </x:row>
    <x:row r="4204" spans="6:6" x14ac:dyDescent="0.25">
      <x:c r="F4204" s="11"/>
    </x:row>
    <x:row r="4205" spans="6:6" x14ac:dyDescent="0.25">
      <x:c r="F4205" s="11"/>
    </x:row>
    <x:row r="4206" spans="6:6" x14ac:dyDescent="0.25">
      <x:c r="F4206" s="11"/>
    </x:row>
    <x:row r="4207" spans="6:6" x14ac:dyDescent="0.25">
      <x:c r="F4207" s="11"/>
    </x:row>
    <x:row r="4208" spans="6:6" x14ac:dyDescent="0.25">
      <x:c r="F4208" s="11"/>
    </x:row>
    <x:row r="4209" spans="6:6" x14ac:dyDescent="0.25">
      <x:c r="F4209" s="11"/>
    </x:row>
    <x:row r="4210" spans="6:6" x14ac:dyDescent="0.25">
      <x:c r="F4210" s="11"/>
    </x:row>
    <x:row r="4211" spans="6:6" x14ac:dyDescent="0.25">
      <x:c r="F4211" s="11"/>
    </x:row>
    <x:row r="4212" spans="6:6" x14ac:dyDescent="0.25">
      <x:c r="F4212" s="11"/>
    </x:row>
    <x:row r="4213" spans="6:6" x14ac:dyDescent="0.25">
      <x:c r="F4213" s="11"/>
    </x:row>
    <x:row r="4214" spans="6:6" x14ac:dyDescent="0.25">
      <x:c r="F4214" s="11"/>
    </x:row>
    <x:row r="4215" spans="6:6" x14ac:dyDescent="0.25">
      <x:c r="F4215" s="11"/>
    </x:row>
    <x:row r="4216" spans="6:6" x14ac:dyDescent="0.25">
      <x:c r="F4216" s="11"/>
    </x:row>
    <x:row r="4217" spans="6:6" x14ac:dyDescent="0.25">
      <x:c r="F4217" s="11"/>
    </x:row>
    <x:row r="4218" spans="6:6" x14ac:dyDescent="0.25">
      <x:c r="F4218" s="11"/>
    </x:row>
    <x:row r="4219" spans="6:6" x14ac:dyDescent="0.25">
      <x:c r="F4219" s="11"/>
    </x:row>
    <x:row r="4220" spans="6:6" x14ac:dyDescent="0.25">
      <x:c r="F4220" s="11"/>
    </x:row>
    <x:row r="4221" spans="6:6" x14ac:dyDescent="0.25">
      <x:c r="F4221" s="11"/>
    </x:row>
    <x:row r="4222" spans="6:6" x14ac:dyDescent="0.25">
      <x:c r="F4222" s="11"/>
    </x:row>
    <x:row r="4223" spans="6:6" x14ac:dyDescent="0.25">
      <x:c r="F4223" s="11"/>
    </x:row>
    <x:row r="4224" spans="6:6" x14ac:dyDescent="0.25">
      <x:c r="F4224" s="11"/>
    </x:row>
    <x:row r="4225" spans="6:6" x14ac:dyDescent="0.25">
      <x:c r="F4225" s="11"/>
    </x:row>
    <x:row r="4226" spans="6:6" x14ac:dyDescent="0.25">
      <x:c r="F4226" s="11"/>
    </x:row>
    <x:row r="4227" spans="6:6" x14ac:dyDescent="0.25">
      <x:c r="F4227" s="11"/>
    </x:row>
    <x:row r="4228" spans="6:6" x14ac:dyDescent="0.25">
      <x:c r="F4228" s="11"/>
    </x:row>
    <x:row r="4229" spans="6:6" x14ac:dyDescent="0.25">
      <x:c r="F4229" s="11"/>
    </x:row>
    <x:row r="4230" spans="6:6" x14ac:dyDescent="0.25">
      <x:c r="F4230" s="11"/>
    </x:row>
    <x:row r="4231" spans="6:6" x14ac:dyDescent="0.25">
      <x:c r="F4231" s="11"/>
    </x:row>
    <x:row r="4232" spans="6:6" x14ac:dyDescent="0.25">
      <x:c r="F4232" s="11"/>
    </x:row>
    <x:row r="4233" spans="6:6" x14ac:dyDescent="0.25">
      <x:c r="F4233" s="11"/>
    </x:row>
    <x:row r="4234" spans="6:6" x14ac:dyDescent="0.25">
      <x:c r="F4234" s="11"/>
    </x:row>
    <x:row r="4235" spans="6:6" x14ac:dyDescent="0.25">
      <x:c r="F4235" s="11"/>
    </x:row>
    <x:row r="4236" spans="6:6" x14ac:dyDescent="0.25">
      <x:c r="F4236" s="11"/>
    </x:row>
    <x:row r="4237" spans="6:6" x14ac:dyDescent="0.25">
      <x:c r="F4237" s="11"/>
    </x:row>
    <x:row r="4238" spans="6:6" x14ac:dyDescent="0.25">
      <x:c r="F4238" s="11"/>
    </x:row>
    <x:row r="4239" spans="6:6" x14ac:dyDescent="0.25">
      <x:c r="F4239" s="11"/>
    </x:row>
    <x:row r="4240" spans="6:6" x14ac:dyDescent="0.25">
      <x:c r="F4240" s="11"/>
    </x:row>
    <x:row r="4241" spans="6:6" x14ac:dyDescent="0.25">
      <x:c r="F4241" s="11"/>
    </x:row>
    <x:row r="4242" spans="6:6" x14ac:dyDescent="0.25">
      <x:c r="F4242" s="11"/>
    </x:row>
    <x:row r="4243" spans="6:6" x14ac:dyDescent="0.25">
      <x:c r="F4243" s="11"/>
    </x:row>
    <x:row r="4244" spans="6:6" x14ac:dyDescent="0.25">
      <x:c r="F4244" s="11"/>
    </x:row>
    <x:row r="4245" spans="6:6" x14ac:dyDescent="0.25">
      <x:c r="F4245" s="11"/>
    </x:row>
    <x:row r="4246" spans="6:6" x14ac:dyDescent="0.25">
      <x:c r="F4246" s="11"/>
    </x:row>
    <x:row r="4247" spans="6:6" x14ac:dyDescent="0.25">
      <x:c r="F4247" s="11"/>
    </x:row>
    <x:row r="4248" spans="6:6" x14ac:dyDescent="0.25">
      <x:c r="F4248" s="11"/>
    </x:row>
    <x:row r="4249" spans="6:6" x14ac:dyDescent="0.25">
      <x:c r="F4249" s="11"/>
    </x:row>
    <x:row r="4250" spans="6:6" x14ac:dyDescent="0.25">
      <x:c r="F4250" s="11"/>
    </x:row>
    <x:row r="4251" spans="6:6" x14ac:dyDescent="0.25">
      <x:c r="F4251" s="11"/>
    </x:row>
    <x:row r="4252" spans="6:6" x14ac:dyDescent="0.25">
      <x:c r="F4252" s="11"/>
    </x:row>
    <x:row r="4253" spans="6:6" x14ac:dyDescent="0.25">
      <x:c r="F4253" s="11"/>
    </x:row>
    <x:row r="4254" spans="6:6" x14ac:dyDescent="0.25">
      <x:c r="F4254" s="11"/>
    </x:row>
    <x:row r="4255" spans="6:6" x14ac:dyDescent="0.25">
      <x:c r="F4255" s="11"/>
    </x:row>
    <x:row r="4256" spans="6:6" x14ac:dyDescent="0.25">
      <x:c r="F4256" s="11"/>
    </x:row>
    <x:row r="4257" spans="6:6" x14ac:dyDescent="0.25">
      <x:c r="F4257" s="11"/>
    </x:row>
    <x:row r="4258" spans="6:6" x14ac:dyDescent="0.25">
      <x:c r="F4258" s="11"/>
    </x:row>
    <x:row r="4259" spans="6:6" x14ac:dyDescent="0.25">
      <x:c r="F4259" s="11"/>
    </x:row>
    <x:row r="4260" spans="6:6" x14ac:dyDescent="0.25">
      <x:c r="F4260" s="11"/>
    </x:row>
    <x:row r="4261" spans="6:6" x14ac:dyDescent="0.25">
      <x:c r="F4261" s="11"/>
    </x:row>
    <x:row r="4262" spans="6:6" x14ac:dyDescent="0.25">
      <x:c r="F4262" s="11"/>
    </x:row>
    <x:row r="4263" spans="6:6" x14ac:dyDescent="0.25">
      <x:c r="F4263" s="11"/>
    </x:row>
    <x:row r="4264" spans="6:6" x14ac:dyDescent="0.25">
      <x:c r="F4264" s="11"/>
    </x:row>
    <x:row r="4265" spans="6:6" x14ac:dyDescent="0.25">
      <x:c r="F4265" s="11"/>
    </x:row>
    <x:row r="4266" spans="6:6" x14ac:dyDescent="0.25">
      <x:c r="F4266" s="11"/>
    </x:row>
    <x:row r="4267" spans="6:6" x14ac:dyDescent="0.25">
      <x:c r="F4267" s="11"/>
    </x:row>
    <x:row r="4268" spans="6:6" x14ac:dyDescent="0.25">
      <x:c r="F4268" s="11"/>
    </x:row>
    <x:row r="4269" spans="6:6" x14ac:dyDescent="0.25">
      <x:c r="F4269" s="11"/>
    </x:row>
    <x:row r="4270" spans="6:6" x14ac:dyDescent="0.25">
      <x:c r="F4270" s="11"/>
    </x:row>
    <x:row r="4271" spans="6:6" x14ac:dyDescent="0.25">
      <x:c r="F4271" s="11"/>
    </x:row>
    <x:row r="4272" spans="6:6" x14ac:dyDescent="0.25">
      <x:c r="F4272" s="11"/>
    </x:row>
    <x:row r="4273" spans="6:6" x14ac:dyDescent="0.25">
      <x:c r="F4273" s="11"/>
    </x:row>
    <x:row r="4274" spans="6:6" x14ac:dyDescent="0.25">
      <x:c r="F4274" s="11"/>
    </x:row>
    <x:row r="4275" spans="6:6" x14ac:dyDescent="0.25">
      <x:c r="F4275" s="11"/>
    </x:row>
    <x:row r="4276" spans="6:6" x14ac:dyDescent="0.25">
      <x:c r="F4276" s="11"/>
    </x:row>
    <x:row r="4277" spans="6:6" x14ac:dyDescent="0.25">
      <x:c r="F4277" s="11"/>
    </x:row>
    <x:row r="4278" spans="6:6" x14ac:dyDescent="0.25">
      <x:c r="F4278" s="11"/>
    </x:row>
    <x:row r="4279" spans="6:6" x14ac:dyDescent="0.25">
      <x:c r="F4279" s="11"/>
    </x:row>
    <x:row r="4280" spans="6:6" x14ac:dyDescent="0.25">
      <x:c r="F4280" s="11"/>
    </x:row>
    <x:row r="4281" spans="6:6" x14ac:dyDescent="0.25">
      <x:c r="F4281" s="11"/>
    </x:row>
    <x:row r="4282" spans="6:6" x14ac:dyDescent="0.25">
      <x:c r="F4282" s="11"/>
    </x:row>
    <x:row r="4283" spans="6:6" x14ac:dyDescent="0.25">
      <x:c r="F4283" s="11"/>
    </x:row>
    <x:row r="4284" spans="6:6" x14ac:dyDescent="0.25">
      <x:c r="F4284" s="11"/>
    </x:row>
    <x:row r="4285" spans="6:6" x14ac:dyDescent="0.25">
      <x:c r="F4285" s="11"/>
    </x:row>
    <x:row r="4286" spans="6:6" x14ac:dyDescent="0.25">
      <x:c r="F4286" s="11"/>
    </x:row>
    <x:row r="4287" spans="6:6" x14ac:dyDescent="0.25">
      <x:c r="F4287" s="11"/>
    </x:row>
    <x:row r="4288" spans="6:6" x14ac:dyDescent="0.25">
      <x:c r="F4288" s="11"/>
    </x:row>
    <x:row r="4289" spans="6:6" x14ac:dyDescent="0.25">
      <x:c r="F4289" s="11"/>
    </x:row>
    <x:row r="4290" spans="6:6" x14ac:dyDescent="0.25">
      <x:c r="F4290" s="11"/>
    </x:row>
    <x:row r="4291" spans="6:6" x14ac:dyDescent="0.25">
      <x:c r="F4291" s="11"/>
    </x:row>
    <x:row r="4292" spans="6:6" x14ac:dyDescent="0.25">
      <x:c r="F4292" s="11"/>
    </x:row>
    <x:row r="4293" spans="6:6" x14ac:dyDescent="0.25">
      <x:c r="F4293" s="11"/>
    </x:row>
    <x:row r="4294" spans="6:6" x14ac:dyDescent="0.25">
      <x:c r="F4294" s="11"/>
    </x:row>
    <x:row r="4295" spans="6:6" x14ac:dyDescent="0.25">
      <x:c r="F4295" s="11"/>
    </x:row>
    <x:row r="4296" spans="6:6" x14ac:dyDescent="0.25">
      <x:c r="F4296" s="11"/>
    </x:row>
    <x:row r="4297" spans="6:6" x14ac:dyDescent="0.25">
      <x:c r="F4297" s="11"/>
    </x:row>
    <x:row r="4298" spans="6:6" x14ac:dyDescent="0.25">
      <x:c r="F4298" s="11"/>
    </x:row>
    <x:row r="4299" spans="6:6" x14ac:dyDescent="0.25">
      <x:c r="F4299" s="11"/>
    </x:row>
    <x:row r="4300" spans="6:6" x14ac:dyDescent="0.25">
      <x:c r="F4300" s="11"/>
    </x:row>
    <x:row r="4301" spans="6:6" x14ac:dyDescent="0.25">
      <x:c r="F4301" s="11"/>
    </x:row>
    <x:row r="4302" spans="6:6" x14ac:dyDescent="0.25">
      <x:c r="F4302" s="11"/>
    </x:row>
    <x:row r="4303" spans="6:6" x14ac:dyDescent="0.25">
      <x:c r="F4303" s="11"/>
    </x:row>
    <x:row r="4304" spans="6:6" x14ac:dyDescent="0.25">
      <x:c r="F4304" s="11"/>
    </x:row>
    <x:row r="4305" spans="6:6" x14ac:dyDescent="0.25">
      <x:c r="F4305" s="11"/>
    </x:row>
    <x:row r="4306" spans="6:6" x14ac:dyDescent="0.25">
      <x:c r="F4306" s="11"/>
    </x:row>
    <x:row r="4307" spans="6:6" x14ac:dyDescent="0.25">
      <x:c r="F4307" s="11"/>
    </x:row>
    <x:row r="4308" spans="6:6" x14ac:dyDescent="0.25">
      <x:c r="F4308" s="11"/>
    </x:row>
    <x:row r="4309" spans="6:6" x14ac:dyDescent="0.25">
      <x:c r="F4309" s="11"/>
    </x:row>
    <x:row r="4310" spans="6:6" x14ac:dyDescent="0.25">
      <x:c r="F4310" s="11"/>
    </x:row>
    <x:row r="4311" spans="6:6" x14ac:dyDescent="0.25">
      <x:c r="F4311" s="11"/>
    </x:row>
    <x:row r="4312" spans="6:6" x14ac:dyDescent="0.25">
      <x:c r="F4312" s="11"/>
    </x:row>
    <x:row r="4313" spans="6:6" x14ac:dyDescent="0.25">
      <x:c r="F4313" s="11"/>
    </x:row>
    <x:row r="4314" spans="6:6" x14ac:dyDescent="0.25">
      <x:c r="F4314" s="11"/>
    </x:row>
    <x:row r="4315" spans="6:6" x14ac:dyDescent="0.25">
      <x:c r="F4315" s="11"/>
    </x:row>
    <x:row r="4316" spans="6:6" x14ac:dyDescent="0.25">
      <x:c r="F4316" s="11"/>
    </x:row>
    <x:row r="4317" spans="6:6" x14ac:dyDescent="0.25">
      <x:c r="F4317" s="11"/>
    </x:row>
    <x:row r="4318" spans="6:6" x14ac:dyDescent="0.25">
      <x:c r="F4318" s="11"/>
    </x:row>
    <x:row r="4319" spans="6:6" x14ac:dyDescent="0.25">
      <x:c r="F4319" s="11"/>
    </x:row>
    <x:row r="4320" spans="6:6" x14ac:dyDescent="0.25">
      <x:c r="F4320" s="11"/>
    </x:row>
    <x:row r="4321" spans="6:6" x14ac:dyDescent="0.25">
      <x:c r="F4321" s="11"/>
    </x:row>
    <x:row r="4322" spans="6:6" x14ac:dyDescent="0.25">
      <x:c r="F4322" s="11"/>
    </x:row>
    <x:row r="4323" spans="6:6" x14ac:dyDescent="0.25">
      <x:c r="F4323" s="11"/>
    </x:row>
    <x:row r="4324" spans="6:6" x14ac:dyDescent="0.25">
      <x:c r="F4324" s="11"/>
    </x:row>
    <x:row r="4325" spans="6:6" x14ac:dyDescent="0.25">
      <x:c r="F4325" s="11"/>
    </x:row>
    <x:row r="4326" spans="6:6" x14ac:dyDescent="0.25">
      <x:c r="F4326" s="11"/>
    </x:row>
    <x:row r="4327" spans="6:6" x14ac:dyDescent="0.25">
      <x:c r="F4327" s="11"/>
    </x:row>
    <x:row r="4328" spans="6:6" x14ac:dyDescent="0.25">
      <x:c r="F4328" s="11"/>
    </x:row>
    <x:row r="4329" spans="6:6" x14ac:dyDescent="0.25">
      <x:c r="F4329" s="11"/>
    </x:row>
    <x:row r="4330" spans="6:6" x14ac:dyDescent="0.25">
      <x:c r="F4330" s="11"/>
    </x:row>
    <x:row r="4331" spans="6:6" x14ac:dyDescent="0.25">
      <x:c r="F4331" s="11"/>
    </x:row>
    <x:row r="4332" spans="6:6" x14ac:dyDescent="0.25">
      <x:c r="F4332" s="11"/>
    </x:row>
    <x:row r="4333" spans="6:6" x14ac:dyDescent="0.25">
      <x:c r="F4333" s="11"/>
    </x:row>
    <x:row r="4334" spans="6:6" x14ac:dyDescent="0.25">
      <x:c r="F4334" s="11"/>
    </x:row>
    <x:row r="4335" spans="6:6" x14ac:dyDescent="0.25">
      <x:c r="F4335" s="11"/>
    </x:row>
    <x:row r="4336" spans="6:6" x14ac:dyDescent="0.25">
      <x:c r="F4336" s="11"/>
    </x:row>
    <x:row r="4337" spans="6:6" x14ac:dyDescent="0.25">
      <x:c r="F4337" s="11"/>
    </x:row>
    <x:row r="4338" spans="6:6" x14ac:dyDescent="0.25">
      <x:c r="F4338" s="11"/>
    </x:row>
    <x:row r="4339" spans="6:6" x14ac:dyDescent="0.25">
      <x:c r="F4339" s="11"/>
    </x:row>
    <x:row r="4340" spans="6:6" x14ac:dyDescent="0.25">
      <x:c r="F4340" s="11"/>
    </x:row>
    <x:row r="4341" spans="6:6" x14ac:dyDescent="0.25">
      <x:c r="F4341" s="11"/>
    </x:row>
    <x:row r="4342" spans="6:6" x14ac:dyDescent="0.25">
      <x:c r="F4342" s="11"/>
    </x:row>
    <x:row r="4343" spans="6:6" x14ac:dyDescent="0.25">
      <x:c r="F4343" s="11"/>
    </x:row>
    <x:row r="4344" spans="6:6" x14ac:dyDescent="0.25">
      <x:c r="F4344" s="11"/>
    </x:row>
    <x:row r="4345" spans="6:6" x14ac:dyDescent="0.25">
      <x:c r="F4345" s="11"/>
    </x:row>
    <x:row r="4346" spans="6:6" x14ac:dyDescent="0.25">
      <x:c r="F4346" s="11"/>
    </x:row>
    <x:row r="4347" spans="6:6" x14ac:dyDescent="0.25">
      <x:c r="F4347" s="11"/>
    </x:row>
    <x:row r="4348" spans="6:6" x14ac:dyDescent="0.25">
      <x:c r="F4348" s="11"/>
    </x:row>
    <x:row r="4349" spans="6:6" x14ac:dyDescent="0.25">
      <x:c r="F4349" s="11"/>
    </x:row>
    <x:row r="4350" spans="6:6" x14ac:dyDescent="0.25">
      <x:c r="F4350" s="11"/>
    </x:row>
    <x:row r="4351" spans="6:6" x14ac:dyDescent="0.25">
      <x:c r="F4351" s="11"/>
    </x:row>
    <x:row r="4352" spans="6:6" x14ac:dyDescent="0.25">
      <x:c r="F4352" s="11"/>
    </x:row>
    <x:row r="4353" spans="6:6" x14ac:dyDescent="0.25">
      <x:c r="F4353" s="11"/>
    </x:row>
    <x:row r="4354" spans="6:6" x14ac:dyDescent="0.25">
      <x:c r="F4354" s="11"/>
    </x:row>
    <x:row r="4355" spans="6:6" x14ac:dyDescent="0.25">
      <x:c r="F4355" s="11"/>
    </x:row>
    <x:row r="4356" spans="6:6" x14ac:dyDescent="0.25">
      <x:c r="F4356" s="11"/>
    </x:row>
    <x:row r="4357" spans="6:6" x14ac:dyDescent="0.25">
      <x:c r="F4357" s="11"/>
    </x:row>
    <x:row r="4358" spans="6:6" x14ac:dyDescent="0.25">
      <x:c r="F4358" s="11"/>
    </x:row>
    <x:row r="4359" spans="6:6" x14ac:dyDescent="0.25">
      <x:c r="F4359" s="11"/>
    </x:row>
    <x:row r="4360" spans="6:6" x14ac:dyDescent="0.25">
      <x:c r="F4360" s="11"/>
    </x:row>
    <x:row r="4361" spans="6:6" x14ac:dyDescent="0.25">
      <x:c r="F4361" s="11"/>
    </x:row>
    <x:row r="4362" spans="6:6" x14ac:dyDescent="0.25">
      <x:c r="F4362" s="11"/>
    </x:row>
    <x:row r="4363" spans="6:6" x14ac:dyDescent="0.25">
      <x:c r="F4363" s="11"/>
    </x:row>
    <x:row r="4364" spans="6:6" x14ac:dyDescent="0.25">
      <x:c r="F4364" s="11"/>
    </x:row>
    <x:row r="4365" spans="6:6" x14ac:dyDescent="0.25">
      <x:c r="F4365" s="11"/>
    </x:row>
    <x:row r="4366" spans="6:6" x14ac:dyDescent="0.25">
      <x:c r="F4366" s="11"/>
    </x:row>
    <x:row r="4367" spans="6:6" x14ac:dyDescent="0.25">
      <x:c r="F4367" s="11"/>
    </x:row>
    <x:row r="4368" spans="6:6" x14ac:dyDescent="0.25">
      <x:c r="F4368" s="11"/>
    </x:row>
    <x:row r="4369" spans="6:6" x14ac:dyDescent="0.25">
      <x:c r="F4369" s="11"/>
    </x:row>
    <x:row r="4370" spans="6:6" x14ac:dyDescent="0.25">
      <x:c r="F4370" s="11"/>
    </x:row>
    <x:row r="4371" spans="6:6" x14ac:dyDescent="0.25">
      <x:c r="F4371" s="11"/>
    </x:row>
    <x:row r="4372" spans="6:6" x14ac:dyDescent="0.25">
      <x:c r="F4372" s="11"/>
    </x:row>
    <x:row r="4373" spans="6:6" x14ac:dyDescent="0.25">
      <x:c r="F4373" s="11"/>
    </x:row>
    <x:row r="4374" spans="6:6" x14ac:dyDescent="0.25">
      <x:c r="F4374" s="11"/>
    </x:row>
    <x:row r="4375" spans="6:6" x14ac:dyDescent="0.25">
      <x:c r="F4375" s="11"/>
    </x:row>
    <x:row r="4376" spans="6:6" x14ac:dyDescent="0.25">
      <x:c r="F4376" s="11"/>
    </x:row>
    <x:row r="4377" spans="6:6" x14ac:dyDescent="0.25">
      <x:c r="F4377" s="11"/>
    </x:row>
    <x:row r="4378" spans="6:6" x14ac:dyDescent="0.25">
      <x:c r="F4378" s="11"/>
    </x:row>
    <x:row r="4379" spans="6:6" x14ac:dyDescent="0.25">
      <x:c r="F4379" s="11"/>
    </x:row>
    <x:row r="4380" spans="6:6" x14ac:dyDescent="0.25">
      <x:c r="F4380" s="11"/>
    </x:row>
    <x:row r="4381" spans="6:6" x14ac:dyDescent="0.25">
      <x:c r="F4381" s="11"/>
    </x:row>
    <x:row r="4382" spans="6:6" x14ac:dyDescent="0.25">
      <x:c r="F4382" s="11"/>
    </x:row>
    <x:row r="4383" spans="6:6" x14ac:dyDescent="0.25">
      <x:c r="F4383" s="11"/>
    </x:row>
    <x:row r="4384" spans="6:6" x14ac:dyDescent="0.25">
      <x:c r="F4384" s="11"/>
    </x:row>
    <x:row r="4385" spans="6:6" x14ac:dyDescent="0.25">
      <x:c r="F4385" s="11"/>
    </x:row>
    <x:row r="4386" spans="6:6" x14ac:dyDescent="0.25">
      <x:c r="F4386" s="11"/>
    </x:row>
    <x:row r="4387" spans="6:6" x14ac:dyDescent="0.25">
      <x:c r="F4387" s="11"/>
    </x:row>
    <x:row r="4388" spans="6:6" x14ac:dyDescent="0.25">
      <x:c r="F4388" s="11"/>
    </x:row>
    <x:row r="4389" spans="6:6" x14ac:dyDescent="0.25">
      <x:c r="F4389" s="11"/>
    </x:row>
    <x:row r="4390" spans="6:6" x14ac:dyDescent="0.25">
      <x:c r="F4390" s="11"/>
    </x:row>
    <x:row r="4391" spans="6:6" x14ac:dyDescent="0.25">
      <x:c r="F4391" s="11"/>
    </x:row>
    <x:row r="4392" spans="6:6" x14ac:dyDescent="0.25">
      <x:c r="F4392" s="11"/>
    </x:row>
    <x:row r="4393" spans="6:6" x14ac:dyDescent="0.25">
      <x:c r="F4393" s="11"/>
    </x:row>
    <x:row r="4394" spans="6:6" x14ac:dyDescent="0.25">
      <x:c r="F4394" s="11"/>
    </x:row>
    <x:row r="4395" spans="6:6" x14ac:dyDescent="0.25">
      <x:c r="F4395" s="11"/>
    </x:row>
    <x:row r="4396" spans="6:6" x14ac:dyDescent="0.25">
      <x:c r="F4396" s="11"/>
    </x:row>
    <x:row r="4397" spans="6:6" x14ac:dyDescent="0.25">
      <x:c r="F4397" s="11"/>
    </x:row>
    <x:row r="4398" spans="6:6" x14ac:dyDescent="0.25">
      <x:c r="F4398" s="11"/>
    </x:row>
    <x:row r="4399" spans="6:6" x14ac:dyDescent="0.25">
      <x:c r="F4399" s="11"/>
    </x:row>
    <x:row r="4400" spans="6:6" x14ac:dyDescent="0.25">
      <x:c r="F4400" s="11"/>
    </x:row>
    <x:row r="4401" spans="6:6" x14ac:dyDescent="0.25">
      <x:c r="F4401" s="11"/>
    </x:row>
    <x:row r="4402" spans="6:6" x14ac:dyDescent="0.25">
      <x:c r="F4402" s="11"/>
    </x:row>
    <x:row r="4403" spans="6:6" x14ac:dyDescent="0.25">
      <x:c r="F4403" s="11"/>
    </x:row>
    <x:row r="4404" spans="6:6" x14ac:dyDescent="0.25">
      <x:c r="F4404" s="11"/>
    </x:row>
    <x:row r="4405" spans="6:6" x14ac:dyDescent="0.25">
      <x:c r="F4405" s="11"/>
    </x:row>
    <x:row r="4406" spans="6:6" x14ac:dyDescent="0.25">
      <x:c r="F4406" s="11"/>
    </x:row>
    <x:row r="4407" spans="6:6" x14ac:dyDescent="0.25">
      <x:c r="F4407" s="11"/>
    </x:row>
    <x:row r="4408" spans="6:6" x14ac:dyDescent="0.25">
      <x:c r="F4408" s="11"/>
    </x:row>
    <x:row r="4409" spans="6:6" x14ac:dyDescent="0.25">
      <x:c r="F4409" s="11"/>
    </x:row>
    <x:row r="4410" spans="6:6" x14ac:dyDescent="0.25">
      <x:c r="F4410" s="11"/>
    </x:row>
    <x:row r="4411" spans="6:6" x14ac:dyDescent="0.25">
      <x:c r="F4411" s="11"/>
    </x:row>
    <x:row r="4412" spans="6:6" x14ac:dyDescent="0.25">
      <x:c r="F4412" s="11"/>
    </x:row>
    <x:row r="4413" spans="6:6" x14ac:dyDescent="0.25">
      <x:c r="F4413" s="11"/>
    </x:row>
    <x:row r="4414" spans="6:6" x14ac:dyDescent="0.25">
      <x:c r="F4414" s="11"/>
    </x:row>
    <x:row r="4415" spans="6:6" x14ac:dyDescent="0.25">
      <x:c r="F4415" s="11"/>
    </x:row>
    <x:row r="4416" spans="6:6" x14ac:dyDescent="0.25">
      <x:c r="F4416" s="11"/>
    </x:row>
    <x:row r="4417" spans="6:6" x14ac:dyDescent="0.25">
      <x:c r="F4417" s="11"/>
    </x:row>
    <x:row r="4418" spans="6:6" x14ac:dyDescent="0.25">
      <x:c r="F4418" s="11"/>
    </x:row>
    <x:row r="4419" spans="6:6" x14ac:dyDescent="0.25">
      <x:c r="F4419" s="11"/>
    </x:row>
    <x:row r="4420" spans="6:6" x14ac:dyDescent="0.25">
      <x:c r="F4420" s="11"/>
    </x:row>
    <x:row r="4421" spans="6:6" x14ac:dyDescent="0.25">
      <x:c r="F4421" s="11"/>
    </x:row>
    <x:row r="4422" spans="6:6" x14ac:dyDescent="0.25">
      <x:c r="F4422" s="11"/>
    </x:row>
    <x:row r="4423" spans="6:6" x14ac:dyDescent="0.25">
      <x:c r="F4423" s="11"/>
    </x:row>
    <x:row r="4424" spans="6:6" x14ac:dyDescent="0.25">
      <x:c r="F4424" s="11"/>
    </x:row>
    <x:row r="4425" spans="6:6" x14ac:dyDescent="0.25">
      <x:c r="F4425" s="11"/>
    </x:row>
    <x:row r="4426" spans="6:6" x14ac:dyDescent="0.25">
      <x:c r="F4426" s="11"/>
    </x:row>
    <x:row r="4427" spans="6:6" x14ac:dyDescent="0.25">
      <x:c r="F4427" s="11"/>
    </x:row>
    <x:row r="4428" spans="6:6" x14ac:dyDescent="0.25">
      <x:c r="F4428" s="11"/>
    </x:row>
    <x:row r="4429" spans="6:6" x14ac:dyDescent="0.25">
      <x:c r="F4429" s="11"/>
    </x:row>
    <x:row r="4430" spans="6:6" x14ac:dyDescent="0.25">
      <x:c r="F4430" s="11"/>
    </x:row>
    <x:row r="4431" spans="6:6" x14ac:dyDescent="0.25">
      <x:c r="F4431" s="11"/>
    </x:row>
    <x:row r="4432" spans="6:6" x14ac:dyDescent="0.25">
      <x:c r="F4432" s="11"/>
    </x:row>
    <x:row r="4433" spans="6:6" x14ac:dyDescent="0.25">
      <x:c r="F4433" s="11"/>
    </x:row>
    <x:row r="4434" spans="6:6" x14ac:dyDescent="0.25">
      <x:c r="F4434" s="11"/>
    </x:row>
    <x:row r="4435" spans="6:6" x14ac:dyDescent="0.25">
      <x:c r="F4435" s="11"/>
    </x:row>
    <x:row r="4436" spans="6:6" x14ac:dyDescent="0.25">
      <x:c r="F4436" s="11"/>
    </x:row>
    <x:row r="4437" spans="6:6" x14ac:dyDescent="0.25">
      <x:c r="F4437" s="11"/>
    </x:row>
    <x:row r="4438" spans="6:6" x14ac:dyDescent="0.25">
      <x:c r="F4438" s="11"/>
    </x:row>
    <x:row r="4439" spans="6:6" x14ac:dyDescent="0.25">
      <x:c r="F4439" s="11"/>
    </x:row>
    <x:row r="4440" spans="6:6" x14ac:dyDescent="0.25">
      <x:c r="F4440" s="11"/>
    </x:row>
    <x:row r="4441" spans="6:6" x14ac:dyDescent="0.25">
      <x:c r="F4441" s="11"/>
    </x:row>
    <x:row r="4442" spans="6:6" x14ac:dyDescent="0.25">
      <x:c r="F4442" s="11"/>
    </x:row>
    <x:row r="4443" spans="6:6" x14ac:dyDescent="0.25">
      <x:c r="F4443" s="11"/>
    </x:row>
    <x:row r="4444" spans="6:6" x14ac:dyDescent="0.25">
      <x:c r="F4444" s="11"/>
    </x:row>
    <x:row r="4445" spans="6:6" x14ac:dyDescent="0.25">
      <x:c r="F4445" s="11"/>
    </x:row>
    <x:row r="4446" spans="6:6" x14ac:dyDescent="0.25">
      <x:c r="F4446" s="11"/>
    </x:row>
    <x:row r="4447" spans="6:6" x14ac:dyDescent="0.25">
      <x:c r="F4447" s="11"/>
    </x:row>
    <x:row r="4448" spans="6:6" x14ac:dyDescent="0.25">
      <x:c r="F4448" s="11"/>
    </x:row>
    <x:row r="4449" spans="6:6" x14ac:dyDescent="0.25">
      <x:c r="F4449" s="11"/>
    </x:row>
    <x:row r="4450" spans="6:6" x14ac:dyDescent="0.25">
      <x:c r="F4450" s="11"/>
    </x:row>
    <x:row r="4451" spans="6:6" x14ac:dyDescent="0.25">
      <x:c r="F4451" s="11"/>
    </x:row>
    <x:row r="4452" spans="6:6" x14ac:dyDescent="0.25">
      <x:c r="F4452" s="11"/>
    </x:row>
    <x:row r="4453" spans="6:6" x14ac:dyDescent="0.25">
      <x:c r="F4453" s="11"/>
    </x:row>
    <x:row r="4454" spans="6:6" x14ac:dyDescent="0.25">
      <x:c r="F4454" s="11"/>
    </x:row>
    <x:row r="4455" spans="6:6" x14ac:dyDescent="0.25">
      <x:c r="F4455" s="11"/>
    </x:row>
    <x:row r="4456" spans="6:6" x14ac:dyDescent="0.25">
      <x:c r="F4456" s="11"/>
    </x:row>
    <x:row r="4457" spans="6:6" x14ac:dyDescent="0.25">
      <x:c r="F4457" s="11"/>
    </x:row>
    <x:row r="4458" spans="6:6" x14ac:dyDescent="0.25">
      <x:c r="F4458" s="11"/>
    </x:row>
    <x:row r="4459" spans="6:6" x14ac:dyDescent="0.25">
      <x:c r="F4459" s="11"/>
    </x:row>
    <x:row r="4460" spans="6:6" x14ac:dyDescent="0.25">
      <x:c r="F4460" s="11"/>
    </x:row>
    <x:row r="4461" spans="6:6" x14ac:dyDescent="0.25">
      <x:c r="F4461" s="11"/>
    </x:row>
    <x:row r="4462" spans="6:6" x14ac:dyDescent="0.25">
      <x:c r="F4462" s="11"/>
    </x:row>
    <x:row r="4463" spans="6:6" x14ac:dyDescent="0.25">
      <x:c r="F4463" s="11"/>
    </x:row>
    <x:row r="4464" spans="6:6" x14ac:dyDescent="0.25">
      <x:c r="F4464" s="11"/>
    </x:row>
    <x:row r="4465" spans="6:6" x14ac:dyDescent="0.25">
      <x:c r="F4465" s="11"/>
    </x:row>
    <x:row r="4466" spans="6:6" x14ac:dyDescent="0.25">
      <x:c r="F4466" s="11"/>
    </x:row>
    <x:row r="4467" spans="6:6" x14ac:dyDescent="0.25">
      <x:c r="F4467" s="11"/>
    </x:row>
    <x:row r="4468" spans="6:6" x14ac:dyDescent="0.25">
      <x:c r="F4468" s="11"/>
    </x:row>
    <x:row r="4469" spans="6:6" x14ac:dyDescent="0.25">
      <x:c r="F4469" s="11"/>
    </x:row>
    <x:row r="4470" spans="6:6" x14ac:dyDescent="0.25">
      <x:c r="F4470" s="11"/>
    </x:row>
    <x:row r="4471" spans="6:6" x14ac:dyDescent="0.25">
      <x:c r="F4471" s="11"/>
    </x:row>
    <x:row r="4472" spans="6:6" x14ac:dyDescent="0.25">
      <x:c r="F4472" s="11"/>
    </x:row>
    <x:row r="4473" spans="6:6" x14ac:dyDescent="0.25">
      <x:c r="F4473" s="11"/>
    </x:row>
    <x:row r="4474" spans="6:6" x14ac:dyDescent="0.25">
      <x:c r="F4474" s="11"/>
    </x:row>
    <x:row r="4475" spans="6:6" x14ac:dyDescent="0.25">
      <x:c r="F4475" s="11"/>
    </x:row>
    <x:row r="4476" spans="6:6" x14ac:dyDescent="0.25">
      <x:c r="F4476" s="11"/>
    </x:row>
    <x:row r="4477" spans="6:6" x14ac:dyDescent="0.25">
      <x:c r="F4477" s="11"/>
    </x:row>
    <x:row r="4478" spans="6:6" x14ac:dyDescent="0.25">
      <x:c r="F4478" s="11"/>
    </x:row>
    <x:row r="4479" spans="6:6" x14ac:dyDescent="0.25">
      <x:c r="F4479" s="11"/>
    </x:row>
    <x:row r="4480" spans="6:6" x14ac:dyDescent="0.25">
      <x:c r="F4480" s="11"/>
    </x:row>
    <x:row r="4481" spans="6:6" x14ac:dyDescent="0.25">
      <x:c r="F4481" s="11"/>
    </x:row>
    <x:row r="4482" spans="6:6" x14ac:dyDescent="0.25">
      <x:c r="F4482" s="11"/>
    </x:row>
    <x:row r="4483" spans="6:6" x14ac:dyDescent="0.25">
      <x:c r="F4483" s="11"/>
    </x:row>
    <x:row r="4484" spans="6:6" x14ac:dyDescent="0.25">
      <x:c r="F4484" s="11"/>
    </x:row>
    <x:row r="4485" spans="6:6" x14ac:dyDescent="0.25">
      <x:c r="F4485" s="11"/>
    </x:row>
    <x:row r="4486" spans="6:6" x14ac:dyDescent="0.25">
      <x:c r="F4486" s="11"/>
    </x:row>
    <x:row r="4487" spans="6:6" x14ac:dyDescent="0.25">
      <x:c r="F4487" s="11"/>
    </x:row>
    <x:row r="4488" spans="6:6" x14ac:dyDescent="0.25">
      <x:c r="F4488" s="11"/>
    </x:row>
    <x:row r="4489" spans="6:6" x14ac:dyDescent="0.25">
      <x:c r="F4489" s="11"/>
    </x:row>
    <x:row r="4490" spans="6:6" x14ac:dyDescent="0.25">
      <x:c r="F4490" s="11"/>
    </x:row>
    <x:row r="4491" spans="6:6" x14ac:dyDescent="0.25">
      <x:c r="F4491" s="11"/>
    </x:row>
    <x:row r="4492" spans="6:6" x14ac:dyDescent="0.25">
      <x:c r="F4492" s="11"/>
    </x:row>
    <x:row r="4493" spans="6:6" x14ac:dyDescent="0.25">
      <x:c r="F4493" s="11"/>
    </x:row>
    <x:row r="4494" spans="6:6" x14ac:dyDescent="0.25">
      <x:c r="F4494" s="11"/>
    </x:row>
    <x:row r="4495" spans="6:6" x14ac:dyDescent="0.25">
      <x:c r="F4495" s="11"/>
    </x:row>
    <x:row r="4496" spans="6:6" x14ac:dyDescent="0.25">
      <x:c r="F4496" s="11"/>
    </x:row>
    <x:row r="4497" spans="6:6" x14ac:dyDescent="0.25">
      <x:c r="F4497" s="11"/>
    </x:row>
    <x:row r="4498" spans="6:6" x14ac:dyDescent="0.25">
      <x:c r="F4498" s="11"/>
    </x:row>
    <x:row r="4499" spans="6:6" x14ac:dyDescent="0.25">
      <x:c r="F4499" s="11"/>
    </x:row>
    <x:row r="4500" spans="6:6" x14ac:dyDescent="0.25">
      <x:c r="F4500" s="11"/>
    </x:row>
    <x:row r="4501" spans="6:6" x14ac:dyDescent="0.25">
      <x:c r="F4501" s="11"/>
    </x:row>
    <x:row r="4502" spans="6:6" x14ac:dyDescent="0.25">
      <x:c r="F4502" s="11"/>
    </x:row>
    <x:row r="4503" spans="6:6" x14ac:dyDescent="0.25">
      <x:c r="F4503" s="11"/>
    </x:row>
    <x:row r="4504" spans="6:6" x14ac:dyDescent="0.25">
      <x:c r="F4504" s="11"/>
    </x:row>
    <x:row r="4505" spans="6:6" x14ac:dyDescent="0.25">
      <x:c r="F4505" s="11"/>
    </x:row>
    <x:row r="4506" spans="6:6" x14ac:dyDescent="0.25">
      <x:c r="F4506" s="11"/>
    </x:row>
    <x:row r="4507" spans="6:6" x14ac:dyDescent="0.25">
      <x:c r="F4507" s="11"/>
    </x:row>
    <x:row r="4508" spans="6:6" x14ac:dyDescent="0.25">
      <x:c r="F4508" s="11"/>
    </x:row>
    <x:row r="4509" spans="6:6" x14ac:dyDescent="0.25">
      <x:c r="F4509" s="11"/>
    </x:row>
    <x:row r="4510" spans="6:6" x14ac:dyDescent="0.25">
      <x:c r="F4510" s="11"/>
    </x:row>
    <x:row r="4511" spans="6:6" x14ac:dyDescent="0.25">
      <x:c r="F4511" s="11"/>
    </x:row>
    <x:row r="4512" spans="6:6" x14ac:dyDescent="0.25">
      <x:c r="F4512" s="11"/>
    </x:row>
    <x:row r="4513" spans="6:6" x14ac:dyDescent="0.25">
      <x:c r="F4513" s="11"/>
    </x:row>
    <x:row r="4514" spans="6:6" x14ac:dyDescent="0.25">
      <x:c r="F4514" s="11"/>
    </x:row>
    <x:row r="4515" spans="6:6" x14ac:dyDescent="0.25">
      <x:c r="F4515" s="11"/>
    </x:row>
    <x:row r="4516" spans="6:6" x14ac:dyDescent="0.25">
      <x:c r="F4516" s="11"/>
    </x:row>
    <x:row r="4517" spans="6:6" x14ac:dyDescent="0.25">
      <x:c r="F4517" s="11"/>
    </x:row>
    <x:row r="4518" spans="6:6" x14ac:dyDescent="0.25">
      <x:c r="F4518" s="11"/>
    </x:row>
    <x:row r="4519" spans="6:6" x14ac:dyDescent="0.25">
      <x:c r="F4519" s="11"/>
    </x:row>
    <x:row r="4520" spans="6:6" x14ac:dyDescent="0.25">
      <x:c r="F4520" s="11"/>
    </x:row>
    <x:row r="4521" spans="6:6" x14ac:dyDescent="0.25">
      <x:c r="F4521" s="11"/>
    </x:row>
    <x:row r="4522" spans="6:6" x14ac:dyDescent="0.25">
      <x:c r="F4522" s="11"/>
    </x:row>
    <x:row r="4523" spans="6:6" x14ac:dyDescent="0.25">
      <x:c r="F4523" s="11"/>
    </x:row>
    <x:row r="4524" spans="6:6" x14ac:dyDescent="0.25">
      <x:c r="F4524" s="11"/>
    </x:row>
    <x:row r="4525" spans="6:6" x14ac:dyDescent="0.25">
      <x:c r="F4525" s="11"/>
    </x:row>
    <x:row r="4526" spans="6:6" x14ac:dyDescent="0.25">
      <x:c r="F4526" s="11"/>
    </x:row>
    <x:row r="4527" spans="6:6" x14ac:dyDescent="0.25">
      <x:c r="F4527" s="11"/>
    </x:row>
    <x:row r="4528" spans="6:6" x14ac:dyDescent="0.25">
      <x:c r="F4528" s="11"/>
    </x:row>
    <x:row r="4529" spans="6:6" x14ac:dyDescent="0.25">
      <x:c r="F4529" s="11"/>
    </x:row>
    <x:row r="4530" spans="6:6" x14ac:dyDescent="0.25">
      <x:c r="F4530" s="11"/>
    </x:row>
    <x:row r="4531" spans="6:6" x14ac:dyDescent="0.25">
      <x:c r="F4531" s="11"/>
    </x:row>
    <x:row r="4532" spans="6:6" x14ac:dyDescent="0.25">
      <x:c r="F4532" s="11"/>
    </x:row>
    <x:row r="4533" spans="6:6" x14ac:dyDescent="0.25">
      <x:c r="F4533" s="11"/>
    </x:row>
    <x:row r="4534" spans="6:6" x14ac:dyDescent="0.25">
      <x:c r="F4534" s="11"/>
    </x:row>
    <x:row r="4535" spans="6:6" x14ac:dyDescent="0.25">
      <x:c r="F4535" s="11"/>
    </x:row>
    <x:row r="4536" spans="6:6" x14ac:dyDescent="0.25">
      <x:c r="F4536" s="11"/>
    </x:row>
    <x:row r="4537" spans="6:6" x14ac:dyDescent="0.25">
      <x:c r="F4537" s="11"/>
    </x:row>
    <x:row r="4538" spans="6:6" x14ac:dyDescent="0.25">
      <x:c r="F4538" s="11"/>
    </x:row>
    <x:row r="4539" spans="6:6" x14ac:dyDescent="0.25">
      <x:c r="F4539" s="11"/>
    </x:row>
    <x:row r="4540" spans="6:6" x14ac:dyDescent="0.25">
      <x:c r="F4540" s="11"/>
    </x:row>
    <x:row r="4541" spans="6:6" x14ac:dyDescent="0.25">
      <x:c r="F4541" s="11"/>
    </x:row>
    <x:row r="4542" spans="6:6" x14ac:dyDescent="0.25">
      <x:c r="F4542" s="11"/>
    </x:row>
    <x:row r="4543" spans="6:6" x14ac:dyDescent="0.25">
      <x:c r="F4543" s="11"/>
    </x:row>
    <x:row r="4544" spans="6:6" x14ac:dyDescent="0.25">
      <x:c r="F4544" s="11"/>
    </x:row>
    <x:row r="4545" spans="6:6" x14ac:dyDescent="0.25">
      <x:c r="F4545" s="11"/>
    </x:row>
    <x:row r="4546" spans="6:6" x14ac:dyDescent="0.25">
      <x:c r="F4546" s="11"/>
    </x:row>
    <x:row r="4547" spans="6:6" x14ac:dyDescent="0.25">
      <x:c r="F4547" s="11"/>
    </x:row>
    <x:row r="4548" spans="6:6" x14ac:dyDescent="0.25">
      <x:c r="F4548" s="11"/>
    </x:row>
    <x:row r="4549" spans="6:6" x14ac:dyDescent="0.25">
      <x:c r="F4549" s="11"/>
    </x:row>
    <x:row r="4550" spans="6:6" x14ac:dyDescent="0.25">
      <x:c r="F4550" s="11"/>
    </x:row>
    <x:row r="4551" spans="6:6" x14ac:dyDescent="0.25">
      <x:c r="F4551" s="11"/>
    </x:row>
    <x:row r="4552" spans="6:6" x14ac:dyDescent="0.25">
      <x:c r="F4552" s="11"/>
    </x:row>
    <x:row r="4553" spans="6:6" x14ac:dyDescent="0.25">
      <x:c r="F4553" s="11"/>
    </x:row>
    <x:row r="4554" spans="6:6" x14ac:dyDescent="0.25">
      <x:c r="F4554" s="11"/>
    </x:row>
    <x:row r="4555" spans="6:6" x14ac:dyDescent="0.25">
      <x:c r="F4555" s="11"/>
    </x:row>
    <x:row r="4556" spans="6:6" x14ac:dyDescent="0.25">
      <x:c r="F4556" s="11"/>
    </x:row>
    <x:row r="4557" spans="6:6" x14ac:dyDescent="0.25">
      <x:c r="F4557" s="11"/>
    </x:row>
    <x:row r="4558" spans="6:6" x14ac:dyDescent="0.25">
      <x:c r="F4558" s="11"/>
    </x:row>
    <x:row r="4559" spans="6:6" x14ac:dyDescent="0.25">
      <x:c r="F4559" s="11"/>
    </x:row>
    <x:row r="4560" spans="6:6" x14ac:dyDescent="0.25">
      <x:c r="F4560" s="11"/>
    </x:row>
    <x:row r="4561" spans="6:6" x14ac:dyDescent="0.25">
      <x:c r="F4561" s="11"/>
    </x:row>
    <x:row r="4562" spans="6:6" x14ac:dyDescent="0.25">
      <x:c r="F4562" s="11"/>
    </x:row>
    <x:row r="4563" spans="6:6" x14ac:dyDescent="0.25">
      <x:c r="F4563" s="11"/>
    </x:row>
    <x:row r="4564" spans="6:6" x14ac:dyDescent="0.25">
      <x:c r="F4564" s="11"/>
    </x:row>
    <x:row r="4565" spans="6:6" x14ac:dyDescent="0.25">
      <x:c r="F4565" s="11"/>
    </x:row>
    <x:row r="4566" spans="6:6" x14ac:dyDescent="0.25">
      <x:c r="F4566" s="11"/>
    </x:row>
    <x:row r="4567" spans="6:6" x14ac:dyDescent="0.25">
      <x:c r="F4567" s="11"/>
    </x:row>
    <x:row r="4568" spans="6:6" x14ac:dyDescent="0.25">
      <x:c r="F4568" s="11"/>
    </x:row>
    <x:row r="4569" spans="6:6" x14ac:dyDescent="0.25">
      <x:c r="F4569" s="11"/>
    </x:row>
    <x:row r="4570" spans="6:6" x14ac:dyDescent="0.25">
      <x:c r="F4570" s="11"/>
    </x:row>
    <x:row r="4571" spans="6:6" x14ac:dyDescent="0.25">
      <x:c r="F4571" s="11"/>
    </x:row>
    <x:row r="4572" spans="6:6" x14ac:dyDescent="0.25">
      <x:c r="F4572" s="11"/>
    </x:row>
    <x:row r="4573" spans="6:6" x14ac:dyDescent="0.25">
      <x:c r="F4573" s="11"/>
    </x:row>
    <x:row r="4574" spans="6:6" x14ac:dyDescent="0.25">
      <x:c r="F4574" s="11"/>
    </x:row>
    <x:row r="4575" spans="6:6" x14ac:dyDescent="0.25">
      <x:c r="F4575" s="11"/>
    </x:row>
    <x:row r="4576" spans="6:6" x14ac:dyDescent="0.25">
      <x:c r="F4576" s="11"/>
    </x:row>
    <x:row r="4577" spans="6:6" x14ac:dyDescent="0.25">
      <x:c r="F4577" s="11"/>
    </x:row>
    <x:row r="4578" spans="6:6" x14ac:dyDescent="0.25">
      <x:c r="F4578" s="11"/>
    </x:row>
    <x:row r="4579" spans="6:6" x14ac:dyDescent="0.25">
      <x:c r="F4579" s="11"/>
    </x:row>
    <x:row r="4580" spans="6:6" x14ac:dyDescent="0.25">
      <x:c r="F4580" s="11"/>
    </x:row>
    <x:row r="4581" spans="6:6" x14ac:dyDescent="0.25">
      <x:c r="F4581" s="11"/>
    </x:row>
    <x:row r="4582" spans="6:6" x14ac:dyDescent="0.25">
      <x:c r="F4582" s="11"/>
    </x:row>
    <x:row r="4583" spans="6:6" x14ac:dyDescent="0.25">
      <x:c r="F4583" s="11"/>
    </x:row>
    <x:row r="4584" spans="6:6" x14ac:dyDescent="0.25">
      <x:c r="F4584" s="11"/>
    </x:row>
    <x:row r="4585" spans="6:6" x14ac:dyDescent="0.25">
      <x:c r="F4585" s="11"/>
    </x:row>
    <x:row r="4586" spans="6:6" x14ac:dyDescent="0.25">
      <x:c r="F4586" s="11"/>
    </x:row>
    <x:row r="4587" spans="6:6" x14ac:dyDescent="0.25">
      <x:c r="F4587" s="11"/>
    </x:row>
    <x:row r="4588" spans="6:6" x14ac:dyDescent="0.25">
      <x:c r="F4588" s="11"/>
    </x:row>
    <x:row r="4589" spans="6:6" x14ac:dyDescent="0.25">
      <x:c r="F4589" s="11"/>
    </x:row>
    <x:row r="4590" spans="6:6" x14ac:dyDescent="0.25">
      <x:c r="F4590" s="11"/>
    </x:row>
    <x:row r="4591" spans="6:6" x14ac:dyDescent="0.25">
      <x:c r="F4591" s="11"/>
    </x:row>
    <x:row r="4592" spans="6:6" x14ac:dyDescent="0.25">
      <x:c r="F4592" s="11"/>
    </x:row>
    <x:row r="4593" spans="6:6" x14ac:dyDescent="0.25">
      <x:c r="F4593" s="11"/>
    </x:row>
    <x:row r="4594" spans="6:6" x14ac:dyDescent="0.25">
      <x:c r="F4594" s="11"/>
    </x:row>
    <x:row r="4595" spans="6:6" x14ac:dyDescent="0.25">
      <x:c r="F4595" s="11"/>
    </x:row>
    <x:row r="4596" spans="6:6" x14ac:dyDescent="0.25">
      <x:c r="F4596" s="11"/>
    </x:row>
    <x:row r="4597" spans="6:6" x14ac:dyDescent="0.25">
      <x:c r="F4597" s="11"/>
    </x:row>
    <x:row r="4598" spans="6:6" x14ac:dyDescent="0.25">
      <x:c r="F4598" s="11"/>
    </x:row>
    <x:row r="4599" spans="6:6" x14ac:dyDescent="0.25">
      <x:c r="F4599" s="11"/>
    </x:row>
    <x:row r="4600" spans="6:6" x14ac:dyDescent="0.25">
      <x:c r="F4600" s="11"/>
    </x:row>
    <x:row r="4601" spans="6:6" x14ac:dyDescent="0.25">
      <x:c r="F4601" s="11"/>
    </x:row>
    <x:row r="4602" spans="6:6" x14ac:dyDescent="0.25">
      <x:c r="F4602" s="11"/>
    </x:row>
    <x:row r="4603" spans="6:6" x14ac:dyDescent="0.25">
      <x:c r="F4603" s="11"/>
    </x:row>
    <x:row r="4604" spans="6:6" x14ac:dyDescent="0.25">
      <x:c r="F4604" s="11"/>
    </x:row>
    <x:row r="4605" spans="6:6" x14ac:dyDescent="0.25">
      <x:c r="F4605" s="11"/>
    </x:row>
    <x:row r="4606" spans="6:6" x14ac:dyDescent="0.25">
      <x:c r="F4606" s="11"/>
    </x:row>
    <x:row r="4607" spans="6:6" x14ac:dyDescent="0.25">
      <x:c r="F4607" s="11"/>
    </x:row>
    <x:row r="4608" spans="6:6" x14ac:dyDescent="0.25">
      <x:c r="F4608" s="11"/>
    </x:row>
    <x:row r="4609" spans="6:6" x14ac:dyDescent="0.25">
      <x:c r="F4609" s="11"/>
    </x:row>
    <x:row r="4610" spans="6:6" x14ac:dyDescent="0.25">
      <x:c r="F4610" s="11"/>
    </x:row>
    <x:row r="4611" spans="6:6" x14ac:dyDescent="0.25">
      <x:c r="F4611" s="11"/>
    </x:row>
    <x:row r="4612" spans="6:6" x14ac:dyDescent="0.25">
      <x:c r="F4612" s="11"/>
    </x:row>
    <x:row r="4613" spans="6:6" x14ac:dyDescent="0.25">
      <x:c r="F4613" s="11"/>
    </x:row>
    <x:row r="4614" spans="6:6" x14ac:dyDescent="0.25">
      <x:c r="F4614" s="11"/>
    </x:row>
    <x:row r="4615" spans="6:6" x14ac:dyDescent="0.25">
      <x:c r="F4615" s="11"/>
    </x:row>
    <x:row r="4616" spans="6:6" x14ac:dyDescent="0.25">
      <x:c r="F4616" s="11"/>
    </x:row>
    <x:row r="4617" spans="6:6" x14ac:dyDescent="0.25">
      <x:c r="F4617" s="11"/>
    </x:row>
    <x:row r="4618" spans="6:6" x14ac:dyDescent="0.25">
      <x:c r="F4618" s="11"/>
    </x:row>
    <x:row r="4619" spans="6:6" x14ac:dyDescent="0.25">
      <x:c r="F4619" s="11"/>
    </x:row>
    <x:row r="4620" spans="6:6" x14ac:dyDescent="0.25">
      <x:c r="F4620" s="11"/>
    </x:row>
    <x:row r="4621" spans="6:6" x14ac:dyDescent="0.25">
      <x:c r="F4621" s="11"/>
    </x:row>
    <x:row r="4622" spans="6:6" x14ac:dyDescent="0.25">
      <x:c r="F4622" s="11"/>
    </x:row>
    <x:row r="4623" spans="6:6" x14ac:dyDescent="0.25">
      <x:c r="F4623" s="11"/>
    </x:row>
    <x:row r="4624" spans="6:6" x14ac:dyDescent="0.25">
      <x:c r="F4624" s="11"/>
    </x:row>
    <x:row r="4625" spans="6:6" x14ac:dyDescent="0.25">
      <x:c r="F4625" s="11"/>
    </x:row>
    <x:row r="4626" spans="6:6" x14ac:dyDescent="0.25">
      <x:c r="F4626" s="11"/>
    </x:row>
    <x:row r="4627" spans="6:6" x14ac:dyDescent="0.25">
      <x:c r="F4627" s="11"/>
    </x:row>
    <x:row r="4628" spans="6:6" x14ac:dyDescent="0.25">
      <x:c r="F4628" s="11"/>
    </x:row>
    <x:row r="4629" spans="6:6" x14ac:dyDescent="0.25">
      <x:c r="F4629" s="11"/>
    </x:row>
    <x:row r="4630" spans="6:6" x14ac:dyDescent="0.25">
      <x:c r="F4630" s="11"/>
    </x:row>
    <x:row r="4631" spans="6:6" x14ac:dyDescent="0.25">
      <x:c r="F4631" s="11"/>
    </x:row>
    <x:row r="4632" spans="6:6" x14ac:dyDescent="0.25">
      <x:c r="F4632" s="11"/>
    </x:row>
    <x:row r="4633" spans="6:6" x14ac:dyDescent="0.25">
      <x:c r="F4633" s="11"/>
    </x:row>
    <x:row r="4634" spans="6:6" x14ac:dyDescent="0.25">
      <x:c r="F4634" s="11"/>
    </x:row>
    <x:row r="4635" spans="6:6" x14ac:dyDescent="0.25">
      <x:c r="F4635" s="11"/>
    </x:row>
    <x:row r="4636" spans="6:6" x14ac:dyDescent="0.25">
      <x:c r="F4636" s="11"/>
    </x:row>
    <x:row r="4637" spans="6:6" x14ac:dyDescent="0.25">
      <x:c r="F4637" s="11"/>
    </x:row>
    <x:row r="4638" spans="6:6" x14ac:dyDescent="0.25">
      <x:c r="F4638" s="11"/>
    </x:row>
    <x:row r="4639" spans="6:6" x14ac:dyDescent="0.25">
      <x:c r="F4639" s="11"/>
    </x:row>
    <x:row r="4640" spans="6:6" x14ac:dyDescent="0.25">
      <x:c r="F4640" s="11"/>
    </x:row>
    <x:row r="4641" spans="6:6" x14ac:dyDescent="0.25">
      <x:c r="F4641" s="11"/>
    </x:row>
    <x:row r="4642" spans="6:6" x14ac:dyDescent="0.25">
      <x:c r="F4642" s="11"/>
    </x:row>
    <x:row r="4643" spans="6:6" x14ac:dyDescent="0.25">
      <x:c r="F4643" s="11"/>
    </x:row>
    <x:row r="4644" spans="6:6" x14ac:dyDescent="0.25">
      <x:c r="F4644" s="11"/>
    </x:row>
    <x:row r="4645" spans="6:6" x14ac:dyDescent="0.25">
      <x:c r="F4645" s="11"/>
    </x:row>
    <x:row r="4646" spans="6:6" x14ac:dyDescent="0.25">
      <x:c r="F4646" s="11"/>
    </x:row>
    <x:row r="4647" spans="6:6" x14ac:dyDescent="0.25">
      <x:c r="F4647" s="11"/>
    </x:row>
    <x:row r="4648" spans="6:6" x14ac:dyDescent="0.25">
      <x:c r="F4648" s="11"/>
    </x:row>
    <x:row r="4649" spans="6:6" x14ac:dyDescent="0.25">
      <x:c r="F4649" s="11"/>
    </x:row>
    <x:row r="4650" spans="6:6" x14ac:dyDescent="0.25">
      <x:c r="F4650" s="11"/>
    </x:row>
    <x:row r="4651" spans="6:6" x14ac:dyDescent="0.25">
      <x:c r="F4651" s="11"/>
    </x:row>
    <x:row r="4652" spans="6:6" x14ac:dyDescent="0.25">
      <x:c r="F4652" s="11"/>
    </x:row>
    <x:row r="4653" spans="6:6" x14ac:dyDescent="0.25">
      <x:c r="F4653" s="11"/>
    </x:row>
    <x:row r="4654" spans="6:6" x14ac:dyDescent="0.25">
      <x:c r="F4654" s="11"/>
    </x:row>
    <x:row r="4655" spans="6:6" x14ac:dyDescent="0.25">
      <x:c r="F4655" s="11"/>
    </x:row>
    <x:row r="4656" spans="6:6" x14ac:dyDescent="0.25">
      <x:c r="F4656" s="11"/>
    </x:row>
    <x:row r="4657" spans="6:6" x14ac:dyDescent="0.25">
      <x:c r="F4657" s="11"/>
    </x:row>
    <x:row r="4658" spans="6:6" x14ac:dyDescent="0.25">
      <x:c r="F4658" s="11"/>
    </x:row>
    <x:row r="4659" spans="6:6" x14ac:dyDescent="0.25">
      <x:c r="F4659" s="11"/>
    </x:row>
    <x:row r="4660" spans="6:6" x14ac:dyDescent="0.25">
      <x:c r="F4660" s="11"/>
    </x:row>
    <x:row r="4661" spans="6:6" x14ac:dyDescent="0.25">
      <x:c r="F4661" s="11"/>
    </x:row>
    <x:row r="4662" spans="6:6" x14ac:dyDescent="0.25">
      <x:c r="F4662" s="11"/>
    </x:row>
    <x:row r="4663" spans="6:6" x14ac:dyDescent="0.25">
      <x:c r="F4663" s="11"/>
    </x:row>
    <x:row r="4664" spans="6:6" x14ac:dyDescent="0.25">
      <x:c r="F4664" s="11"/>
    </x:row>
    <x:row r="4665" spans="6:6" x14ac:dyDescent="0.25">
      <x:c r="F4665" s="11"/>
    </x:row>
    <x:row r="4666" spans="6:6" x14ac:dyDescent="0.25">
      <x:c r="F4666" s="11"/>
    </x:row>
    <x:row r="4667" spans="6:6" x14ac:dyDescent="0.25">
      <x:c r="F4667" s="11"/>
    </x:row>
    <x:row r="4668" spans="6:6" x14ac:dyDescent="0.25">
      <x:c r="F4668" s="11"/>
    </x:row>
    <x:row r="4669" spans="6:6" x14ac:dyDescent="0.25">
      <x:c r="F4669" s="11"/>
    </x:row>
    <x:row r="4670" spans="6:6" x14ac:dyDescent="0.25">
      <x:c r="F4670" s="11"/>
    </x:row>
    <x:row r="4671" spans="6:6" x14ac:dyDescent="0.25">
      <x:c r="F4671" s="11"/>
    </x:row>
    <x:row r="4672" spans="6:6" x14ac:dyDescent="0.25">
      <x:c r="F4672" s="11"/>
    </x:row>
    <x:row r="4673" spans="6:6" x14ac:dyDescent="0.25">
      <x:c r="F4673" s="11"/>
    </x:row>
    <x:row r="4674" spans="6:6" x14ac:dyDescent="0.25">
      <x:c r="F4674" s="11"/>
    </x:row>
    <x:row r="4675" spans="6:6" x14ac:dyDescent="0.25">
      <x:c r="F4675" s="11"/>
    </x:row>
    <x:row r="4676" spans="6:6" x14ac:dyDescent="0.25">
      <x:c r="F4676" s="11"/>
    </x:row>
    <x:row r="4677" spans="6:6" x14ac:dyDescent="0.25">
      <x:c r="F4677" s="11"/>
    </x:row>
    <x:row r="4678" spans="6:6" x14ac:dyDescent="0.25">
      <x:c r="F4678" s="11"/>
    </x:row>
    <x:row r="4679" spans="6:6" x14ac:dyDescent="0.25">
      <x:c r="F4679" s="11"/>
    </x:row>
    <x:row r="4680" spans="6:6" x14ac:dyDescent="0.25">
      <x:c r="F4680" s="11"/>
    </x:row>
    <x:row r="4681" spans="6:6" x14ac:dyDescent="0.25">
      <x:c r="F4681" s="11"/>
    </x:row>
    <x:row r="4682" spans="6:6" x14ac:dyDescent="0.25">
      <x:c r="F4682" s="11"/>
    </x:row>
    <x:row r="4683" spans="6:6" x14ac:dyDescent="0.25">
      <x:c r="F4683" s="11"/>
    </x:row>
    <x:row r="4684" spans="6:6" x14ac:dyDescent="0.25">
      <x:c r="F4684" s="11"/>
    </x:row>
    <x:row r="4685" spans="6:6" x14ac:dyDescent="0.25">
      <x:c r="F4685" s="11"/>
    </x:row>
    <x:row r="4686" spans="6:6" x14ac:dyDescent="0.25">
      <x:c r="F4686" s="11"/>
    </x:row>
    <x:row r="4687" spans="6:6" x14ac:dyDescent="0.25">
      <x:c r="F4687" s="11"/>
    </x:row>
    <x:row r="4688" spans="6:6" x14ac:dyDescent="0.25">
      <x:c r="F4688" s="11"/>
    </x:row>
    <x:row r="4689" spans="6:6" x14ac:dyDescent="0.25">
      <x:c r="F4689" s="11"/>
    </x:row>
    <x:row r="4690" spans="6:6" x14ac:dyDescent="0.25">
      <x:c r="F4690" s="11"/>
    </x:row>
    <x:row r="4691" spans="6:6" x14ac:dyDescent="0.25">
      <x:c r="F4691" s="11"/>
    </x:row>
    <x:row r="4692" spans="6:6" x14ac:dyDescent="0.25">
      <x:c r="F4692" s="11"/>
    </x:row>
    <x:row r="4693" spans="6:6" x14ac:dyDescent="0.25">
      <x:c r="F4693" s="11"/>
    </x:row>
    <x:row r="4694" spans="6:6" x14ac:dyDescent="0.25">
      <x:c r="F4694" s="11"/>
    </x:row>
    <x:row r="4695" spans="6:6" x14ac:dyDescent="0.25">
      <x:c r="F4695" s="11"/>
    </x:row>
    <x:row r="4696" spans="6:6" x14ac:dyDescent="0.25">
      <x:c r="F4696" s="11"/>
    </x:row>
    <x:row r="4697" spans="6:6" x14ac:dyDescent="0.25">
      <x:c r="F4697" s="11"/>
    </x:row>
    <x:row r="4698" spans="6:6" x14ac:dyDescent="0.25">
      <x:c r="F4698" s="11"/>
    </x:row>
    <x:row r="4699" spans="6:6" x14ac:dyDescent="0.25">
      <x:c r="F4699" s="11"/>
    </x:row>
    <x:row r="4700" spans="6:6" x14ac:dyDescent="0.25">
      <x:c r="F4700" s="11"/>
    </x:row>
    <x:row r="4701" spans="6:6" x14ac:dyDescent="0.25">
      <x:c r="F4701" s="11"/>
    </x:row>
    <x:row r="4702" spans="6:6" x14ac:dyDescent="0.25">
      <x:c r="F4702" s="11"/>
    </x:row>
    <x:row r="4703" spans="6:6" x14ac:dyDescent="0.25">
      <x:c r="F4703" s="11"/>
    </x:row>
    <x:row r="4704" spans="6:6" x14ac:dyDescent="0.25">
      <x:c r="F4704" s="11"/>
    </x:row>
    <x:row r="4705" spans="6:6" x14ac:dyDescent="0.25">
      <x:c r="F4705" s="11"/>
    </x:row>
    <x:row r="4706" spans="6:6" x14ac:dyDescent="0.25">
      <x:c r="F4706" s="11"/>
    </x:row>
    <x:row r="4707" spans="6:6" x14ac:dyDescent="0.25">
      <x:c r="F4707" s="11"/>
    </x:row>
    <x:row r="4708" spans="6:6" x14ac:dyDescent="0.25">
      <x:c r="F4708" s="11"/>
    </x:row>
    <x:row r="4709" spans="6:6" x14ac:dyDescent="0.25">
      <x:c r="F4709" s="11"/>
    </x:row>
    <x:row r="4710" spans="6:6" x14ac:dyDescent="0.25">
      <x:c r="F4710" s="11"/>
    </x:row>
    <x:row r="4711" spans="6:6" x14ac:dyDescent="0.25">
      <x:c r="F4711" s="11"/>
    </x:row>
    <x:row r="4712" spans="6:6" x14ac:dyDescent="0.25">
      <x:c r="F4712" s="11"/>
    </x:row>
    <x:row r="4713" spans="6:6" x14ac:dyDescent="0.25">
      <x:c r="F4713" s="11"/>
    </x:row>
    <x:row r="4714" spans="6:6" x14ac:dyDescent="0.25">
      <x:c r="F4714" s="11"/>
    </x:row>
    <x:row r="4715" spans="6:6" x14ac:dyDescent="0.25">
      <x:c r="F4715" s="11"/>
    </x:row>
    <x:row r="4716" spans="6:6" x14ac:dyDescent="0.25">
      <x:c r="F4716" s="11"/>
    </x:row>
    <x:row r="4717" spans="6:6" x14ac:dyDescent="0.25">
      <x:c r="F4717" s="11"/>
    </x:row>
    <x:row r="4718" spans="6:6" x14ac:dyDescent="0.25">
      <x:c r="F4718" s="11"/>
    </x:row>
    <x:row r="4719" spans="6:6" x14ac:dyDescent="0.25">
      <x:c r="F4719" s="11"/>
    </x:row>
    <x:row r="4720" spans="6:6" x14ac:dyDescent="0.25">
      <x:c r="F4720" s="11"/>
    </x:row>
    <x:row r="4721" spans="6:6" x14ac:dyDescent="0.25">
      <x:c r="F4721" s="11"/>
    </x:row>
    <x:row r="4722" spans="6:6" x14ac:dyDescent="0.25">
      <x:c r="F4722" s="11"/>
    </x:row>
    <x:row r="4723" spans="6:6" x14ac:dyDescent="0.25">
      <x:c r="F4723" s="11"/>
    </x:row>
    <x:row r="4724" spans="6:6" x14ac:dyDescent="0.25">
      <x:c r="F4724" s="11"/>
    </x:row>
    <x:row r="4725" spans="6:6" x14ac:dyDescent="0.25">
      <x:c r="F4725" s="11"/>
    </x:row>
    <x:row r="4726" spans="6:6" x14ac:dyDescent="0.25">
      <x:c r="F4726" s="11"/>
    </x:row>
    <x:row r="4727" spans="6:6" x14ac:dyDescent="0.25">
      <x:c r="F4727" s="11"/>
    </x:row>
    <x:row r="4728" spans="6:6" x14ac:dyDescent="0.25">
      <x:c r="F4728" s="11"/>
    </x:row>
    <x:row r="4729" spans="6:6" x14ac:dyDescent="0.25">
      <x:c r="F4729" s="11"/>
    </x:row>
    <x:row r="4730" spans="6:6" x14ac:dyDescent="0.25">
      <x:c r="F4730" s="11"/>
    </x:row>
    <x:row r="4731" spans="6:6" x14ac:dyDescent="0.25">
      <x:c r="F4731" s="11"/>
    </x:row>
    <x:row r="4732" spans="6:6" x14ac:dyDescent="0.25">
      <x:c r="F4732" s="11"/>
    </x:row>
    <x:row r="4733" spans="6:6" x14ac:dyDescent="0.25">
      <x:c r="F4733" s="11"/>
    </x:row>
    <x:row r="4734" spans="6:6" x14ac:dyDescent="0.25">
      <x:c r="F4734" s="11"/>
    </x:row>
    <x:row r="4735" spans="6:6" x14ac:dyDescent="0.25">
      <x:c r="F4735" s="11"/>
    </x:row>
    <x:row r="4736" spans="6:6" x14ac:dyDescent="0.25">
      <x:c r="F4736" s="11"/>
    </x:row>
    <x:row r="4737" spans="6:6" x14ac:dyDescent="0.25">
      <x:c r="F4737" s="11"/>
    </x:row>
    <x:row r="4738" spans="6:6" x14ac:dyDescent="0.25">
      <x:c r="F4738" s="11"/>
    </x:row>
    <x:row r="4739" spans="6:6" x14ac:dyDescent="0.25">
      <x:c r="F4739" s="11"/>
    </x:row>
    <x:row r="4740" spans="6:6" x14ac:dyDescent="0.25">
      <x:c r="F4740" s="11"/>
    </x:row>
    <x:row r="4741" spans="6:6" x14ac:dyDescent="0.25">
      <x:c r="F4741" s="11"/>
    </x:row>
    <x:row r="4742" spans="6:6" x14ac:dyDescent="0.25">
      <x:c r="F4742" s="11"/>
    </x:row>
    <x:row r="4743" spans="6:6" x14ac:dyDescent="0.25">
      <x:c r="F4743" s="11"/>
    </x:row>
    <x:row r="4744" spans="6:6" x14ac:dyDescent="0.25">
      <x:c r="F4744" s="11"/>
    </x:row>
    <x:row r="4745" spans="6:6" x14ac:dyDescent="0.25">
      <x:c r="F4745" s="11"/>
    </x:row>
    <x:row r="4746" spans="6:6" x14ac:dyDescent="0.25">
      <x:c r="F4746" s="11"/>
    </x:row>
    <x:row r="4747" spans="6:6" x14ac:dyDescent="0.25">
      <x:c r="F4747" s="11"/>
    </x:row>
    <x:row r="4748" spans="6:6" x14ac:dyDescent="0.25">
      <x:c r="F4748" s="11"/>
    </x:row>
    <x:row r="4749" spans="6:6" x14ac:dyDescent="0.25">
      <x:c r="F4749" s="11"/>
    </x:row>
    <x:row r="4750" spans="6:6" x14ac:dyDescent="0.25">
      <x:c r="F4750" s="11"/>
    </x:row>
    <x:row r="4751" spans="6:6" x14ac:dyDescent="0.25">
      <x:c r="F4751" s="11"/>
    </x:row>
    <x:row r="4752" spans="6:6" x14ac:dyDescent="0.25">
      <x:c r="F4752" s="11"/>
    </x:row>
    <x:row r="4753" spans="6:6" x14ac:dyDescent="0.25">
      <x:c r="F4753" s="11"/>
    </x:row>
    <x:row r="4754" spans="6:6" x14ac:dyDescent="0.25">
      <x:c r="F4754" s="11"/>
    </x:row>
    <x:row r="4755" spans="6:6" x14ac:dyDescent="0.25">
      <x:c r="F4755" s="11"/>
    </x:row>
    <x:row r="4756" spans="6:6" x14ac:dyDescent="0.25">
      <x:c r="F4756" s="11"/>
    </x:row>
    <x:row r="4757" spans="6:6" x14ac:dyDescent="0.25">
      <x:c r="F4757" s="11"/>
    </x:row>
    <x:row r="4758" spans="6:6" x14ac:dyDescent="0.25">
      <x:c r="F4758" s="11"/>
    </x:row>
    <x:row r="4759" spans="6:6" x14ac:dyDescent="0.25">
      <x:c r="F4759" s="11"/>
    </x:row>
    <x:row r="4760" spans="6:6" x14ac:dyDescent="0.25">
      <x:c r="F4760" s="11"/>
    </x:row>
    <x:row r="4761" spans="6:6" x14ac:dyDescent="0.25">
      <x:c r="F4761" s="11"/>
    </x:row>
    <x:row r="4762" spans="6:6" x14ac:dyDescent="0.25">
      <x:c r="F4762" s="11"/>
    </x:row>
    <x:row r="4763" spans="6:6" x14ac:dyDescent="0.25">
      <x:c r="F4763" s="11"/>
    </x:row>
    <x:row r="4764" spans="6:6" x14ac:dyDescent="0.25">
      <x:c r="F4764" s="11"/>
    </x:row>
    <x:row r="4765" spans="6:6" x14ac:dyDescent="0.25">
      <x:c r="F4765" s="11"/>
    </x:row>
    <x:row r="4766" spans="6:6" x14ac:dyDescent="0.25">
      <x:c r="F4766" s="11"/>
    </x:row>
    <x:row r="4767" spans="6:6" x14ac:dyDescent="0.25">
      <x:c r="F4767" s="11"/>
    </x:row>
    <x:row r="4768" spans="6:6" x14ac:dyDescent="0.25">
      <x:c r="F4768" s="11"/>
    </x:row>
    <x:row r="4769" spans="6:6" x14ac:dyDescent="0.25">
      <x:c r="F4769" s="11"/>
    </x:row>
    <x:row r="4770" spans="6:6" x14ac:dyDescent="0.25">
      <x:c r="F4770" s="11"/>
    </x:row>
    <x:row r="4771" spans="6:6" x14ac:dyDescent="0.25">
      <x:c r="F4771" s="11"/>
    </x:row>
    <x:row r="4772" spans="6:6" x14ac:dyDescent="0.25">
      <x:c r="F4772" s="11"/>
    </x:row>
    <x:row r="4773" spans="6:6" x14ac:dyDescent="0.25">
      <x:c r="F4773" s="11"/>
    </x:row>
    <x:row r="4774" spans="6:6" x14ac:dyDescent="0.25">
      <x:c r="F4774" s="11"/>
    </x:row>
    <x:row r="4775" spans="6:6" x14ac:dyDescent="0.25">
      <x:c r="F4775" s="11"/>
    </x:row>
    <x:row r="4776" spans="6:6" x14ac:dyDescent="0.25">
      <x:c r="F4776" s="11"/>
    </x:row>
    <x:row r="4777" spans="6:6" x14ac:dyDescent="0.25">
      <x:c r="F4777" s="11"/>
    </x:row>
    <x:row r="4778" spans="6:6" x14ac:dyDescent="0.25">
      <x:c r="F4778" s="11"/>
    </x:row>
    <x:row r="4779" spans="6:6" x14ac:dyDescent="0.25">
      <x:c r="F4779" s="11"/>
    </x:row>
    <x:row r="4780" spans="6:6" x14ac:dyDescent="0.25">
      <x:c r="F4780" s="11"/>
    </x:row>
    <x:row r="4781" spans="6:6" x14ac:dyDescent="0.25">
      <x:c r="F4781" s="11"/>
    </x:row>
    <x:row r="4782" spans="6:6" x14ac:dyDescent="0.25">
      <x:c r="F4782" s="11"/>
    </x:row>
    <x:row r="4783" spans="6:6" x14ac:dyDescent="0.25">
      <x:c r="F4783" s="11"/>
    </x:row>
    <x:row r="4784" spans="6:6" x14ac:dyDescent="0.25">
      <x:c r="F4784" s="11"/>
    </x:row>
    <x:row r="4785" spans="6:6" x14ac:dyDescent="0.25">
      <x:c r="F4785" s="11"/>
    </x:row>
    <x:row r="4786" spans="6:6" x14ac:dyDescent="0.25">
      <x:c r="F4786" s="11"/>
    </x:row>
    <x:row r="4787" spans="6:6" x14ac:dyDescent="0.25">
      <x:c r="F4787" s="11"/>
    </x:row>
    <x:row r="4788" spans="6:6" x14ac:dyDescent="0.25">
      <x:c r="F4788" s="11"/>
    </x:row>
    <x:row r="4789" spans="6:6" x14ac:dyDescent="0.25">
      <x:c r="F4789" s="11"/>
    </x:row>
    <x:row r="4790" spans="6:6" x14ac:dyDescent="0.25">
      <x:c r="F4790" s="11"/>
    </x:row>
    <x:row r="4791" spans="6:6" x14ac:dyDescent="0.25">
      <x:c r="F4791" s="11"/>
    </x:row>
    <x:row r="4792" spans="6:6" x14ac:dyDescent="0.25">
      <x:c r="F4792" s="11"/>
    </x:row>
    <x:row r="4793" spans="6:6" x14ac:dyDescent="0.25">
      <x:c r="F4793" s="11"/>
    </x:row>
    <x:row r="4794" spans="6:6" x14ac:dyDescent="0.25">
      <x:c r="F4794" s="11"/>
    </x:row>
    <x:row r="4795" spans="6:6" x14ac:dyDescent="0.25">
      <x:c r="F4795" s="11"/>
    </x:row>
    <x:row r="4796" spans="6:6" x14ac:dyDescent="0.25">
      <x:c r="F4796" s="11"/>
    </x:row>
    <x:row r="4797" spans="6:6" x14ac:dyDescent="0.25">
      <x:c r="F4797" s="11"/>
    </x:row>
    <x:row r="4798" spans="6:6" x14ac:dyDescent="0.25">
      <x:c r="F4798" s="11"/>
    </x:row>
    <x:row r="4799" spans="6:6" x14ac:dyDescent="0.25">
      <x:c r="F4799" s="11"/>
    </x:row>
    <x:row r="4800" spans="6:6" x14ac:dyDescent="0.25">
      <x:c r="F4800" s="11"/>
    </x:row>
    <x:row r="4801" spans="6:6" x14ac:dyDescent="0.25">
      <x:c r="F4801" s="11"/>
    </x:row>
    <x:row r="4802" spans="6:6" x14ac:dyDescent="0.25">
      <x:c r="F4802" s="11"/>
    </x:row>
    <x:row r="4803" spans="6:6" x14ac:dyDescent="0.25">
      <x:c r="F4803" s="11"/>
    </x:row>
    <x:row r="4804" spans="6:6" x14ac:dyDescent="0.25">
      <x:c r="F4804" s="11"/>
    </x:row>
    <x:row r="4805" spans="6:6" x14ac:dyDescent="0.25">
      <x:c r="F4805" s="11"/>
    </x:row>
    <x:row r="4806" spans="6:6" x14ac:dyDescent="0.25">
      <x:c r="F4806" s="11"/>
    </x:row>
    <x:row r="4807" spans="6:6" x14ac:dyDescent="0.25">
      <x:c r="F4807" s="11"/>
    </x:row>
    <x:row r="4808" spans="6:6" x14ac:dyDescent="0.25">
      <x:c r="F4808" s="11"/>
    </x:row>
    <x:row r="4809" spans="6:6" x14ac:dyDescent="0.25">
      <x:c r="F4809" s="11"/>
    </x:row>
    <x:row r="4810" spans="6:6" x14ac:dyDescent="0.25">
      <x:c r="F4810" s="11"/>
    </x:row>
    <x:row r="4811" spans="6:6" x14ac:dyDescent="0.25">
      <x:c r="F4811" s="11"/>
    </x:row>
    <x:row r="4812" spans="6:6" x14ac:dyDescent="0.25">
      <x:c r="F4812" s="11"/>
    </x:row>
    <x:row r="4813" spans="6:6" x14ac:dyDescent="0.25">
      <x:c r="F4813" s="11"/>
    </x:row>
    <x:row r="4814" spans="6:6" x14ac:dyDescent="0.25">
      <x:c r="F4814" s="11"/>
    </x:row>
    <x:row r="4815" spans="6:6" x14ac:dyDescent="0.25">
      <x:c r="F4815" s="11"/>
    </x:row>
    <x:row r="4816" spans="6:6" x14ac:dyDescent="0.25">
      <x:c r="F4816" s="11"/>
    </x:row>
    <x:row r="4817" spans="6:6" x14ac:dyDescent="0.25">
      <x:c r="F4817" s="11"/>
    </x:row>
    <x:row r="4818" spans="6:6" x14ac:dyDescent="0.25">
      <x:c r="F4818" s="11"/>
    </x:row>
    <x:row r="4819" spans="6:6" x14ac:dyDescent="0.25">
      <x:c r="F4819" s="11"/>
    </x:row>
    <x:row r="4820" spans="6:6" x14ac:dyDescent="0.25">
      <x:c r="F4820" s="11"/>
    </x:row>
    <x:row r="4821" spans="6:6" x14ac:dyDescent="0.25">
      <x:c r="F4821" s="11"/>
    </x:row>
    <x:row r="4822" spans="6:6" x14ac:dyDescent="0.25">
      <x:c r="F4822" s="11"/>
    </x:row>
    <x:row r="4823" spans="6:6" x14ac:dyDescent="0.25">
      <x:c r="F4823" s="11"/>
    </x:row>
    <x:row r="4824" spans="6:6" x14ac:dyDescent="0.25">
      <x:c r="F4824" s="11"/>
    </x:row>
    <x:row r="4825" spans="6:6" x14ac:dyDescent="0.25">
      <x:c r="F4825" s="11"/>
    </x:row>
    <x:row r="4826" spans="6:6" x14ac:dyDescent="0.25">
      <x:c r="F4826" s="11"/>
    </x:row>
    <x:row r="4827" spans="6:6" x14ac:dyDescent="0.25">
      <x:c r="F4827" s="11"/>
    </x:row>
    <x:row r="4828" spans="6:6" x14ac:dyDescent="0.25">
      <x:c r="F4828" s="11"/>
    </x:row>
    <x:row r="4829" spans="6:6" x14ac:dyDescent="0.25">
      <x:c r="F4829" s="11"/>
    </x:row>
    <x:row r="4830" spans="6:6" x14ac:dyDescent="0.25">
      <x:c r="F4830" s="11"/>
    </x:row>
    <x:row r="4831" spans="6:6" x14ac:dyDescent="0.25">
      <x:c r="F4831" s="11"/>
    </x:row>
    <x:row r="4832" spans="6:6" x14ac:dyDescent="0.25">
      <x:c r="F4832" s="11"/>
    </x:row>
    <x:row r="4833" spans="6:6" x14ac:dyDescent="0.25">
      <x:c r="F4833" s="11"/>
    </x:row>
    <x:row r="4834" spans="6:6" x14ac:dyDescent="0.25">
      <x:c r="F4834" s="11"/>
    </x:row>
    <x:row r="4835" spans="6:6" x14ac:dyDescent="0.25">
      <x:c r="F4835" s="11"/>
    </x:row>
    <x:row r="4836" spans="6:6" x14ac:dyDescent="0.25">
      <x:c r="F4836" s="11"/>
    </x:row>
    <x:row r="4837" spans="6:6" x14ac:dyDescent="0.25">
      <x:c r="F4837" s="11"/>
    </x:row>
    <x:row r="4838" spans="6:6" x14ac:dyDescent="0.25">
      <x:c r="F4838" s="11"/>
    </x:row>
    <x:row r="4839" spans="6:6" x14ac:dyDescent="0.25">
      <x:c r="F4839" s="11"/>
    </x:row>
    <x:row r="4840" spans="6:6" x14ac:dyDescent="0.25">
      <x:c r="F4840" s="11"/>
    </x:row>
    <x:row r="4841" spans="6:6" x14ac:dyDescent="0.25">
      <x:c r="F4841" s="11"/>
    </x:row>
    <x:row r="4842" spans="6:6" x14ac:dyDescent="0.25">
      <x:c r="F4842" s="11"/>
    </x:row>
    <x:row r="4843" spans="6:6" x14ac:dyDescent="0.25">
      <x:c r="F4843" s="11"/>
    </x:row>
    <x:row r="4844" spans="6:6" x14ac:dyDescent="0.25">
      <x:c r="F4844" s="11"/>
    </x:row>
    <x:row r="4845" spans="6:6" x14ac:dyDescent="0.25">
      <x:c r="F4845" s="11"/>
    </x:row>
    <x:row r="4846" spans="6:6" x14ac:dyDescent="0.25">
      <x:c r="F4846" s="11"/>
    </x:row>
    <x:row r="4847" spans="6:6" x14ac:dyDescent="0.25">
      <x:c r="F4847" s="11"/>
    </x:row>
    <x:row r="4848" spans="6:6" x14ac:dyDescent="0.25">
      <x:c r="F4848" s="11"/>
    </x:row>
    <x:row r="4849" spans="6:6" x14ac:dyDescent="0.25">
      <x:c r="F4849" s="11"/>
    </x:row>
    <x:row r="4850" spans="6:6" x14ac:dyDescent="0.25">
      <x:c r="F4850" s="11"/>
    </x:row>
    <x:row r="4851" spans="6:6" x14ac:dyDescent="0.25">
      <x:c r="F4851" s="11"/>
    </x:row>
    <x:row r="4852" spans="6:6" x14ac:dyDescent="0.25">
      <x:c r="F4852" s="11"/>
    </x:row>
    <x:row r="4853" spans="6:6" x14ac:dyDescent="0.25">
      <x:c r="F4853" s="11"/>
    </x:row>
    <x:row r="4854" spans="6:6" x14ac:dyDescent="0.25">
      <x:c r="F4854" s="11"/>
    </x:row>
    <x:row r="4855" spans="6:6" x14ac:dyDescent="0.25">
      <x:c r="F4855" s="11"/>
    </x:row>
    <x:row r="4856" spans="6:6" x14ac:dyDescent="0.25">
      <x:c r="F4856" s="11"/>
    </x:row>
    <x:row r="4857" spans="6:6" x14ac:dyDescent="0.25">
      <x:c r="F4857" s="11"/>
    </x:row>
    <x:row r="4858" spans="6:6" x14ac:dyDescent="0.25">
      <x:c r="F4858" s="11"/>
    </x:row>
    <x:row r="4859" spans="6:6" x14ac:dyDescent="0.25">
      <x:c r="F4859" s="11"/>
    </x:row>
    <x:row r="4860" spans="6:6" x14ac:dyDescent="0.25">
      <x:c r="F4860" s="11"/>
    </x:row>
    <x:row r="4861" spans="6:6" x14ac:dyDescent="0.25">
      <x:c r="F4861" s="11"/>
    </x:row>
    <x:row r="4862" spans="6:6" x14ac:dyDescent="0.25">
      <x:c r="F4862" s="11"/>
    </x:row>
    <x:row r="4863" spans="6:6" x14ac:dyDescent="0.25">
      <x:c r="F4863" s="11"/>
    </x:row>
    <x:row r="4864" spans="6:6" x14ac:dyDescent="0.25">
      <x:c r="F4864" s="11"/>
    </x:row>
    <x:row r="4865" spans="6:6" x14ac:dyDescent="0.25">
      <x:c r="F4865" s="11"/>
    </x:row>
    <x:row r="4866" spans="6:6" x14ac:dyDescent="0.25">
      <x:c r="F4866" s="11"/>
    </x:row>
    <x:row r="4867" spans="6:6" x14ac:dyDescent="0.25">
      <x:c r="F4867" s="11"/>
    </x:row>
    <x:row r="4868" spans="6:6" x14ac:dyDescent="0.25">
      <x:c r="F4868" s="11"/>
    </x:row>
    <x:row r="4869" spans="6:6" x14ac:dyDescent="0.25">
      <x:c r="F4869" s="11"/>
    </x:row>
    <x:row r="4870" spans="6:6" x14ac:dyDescent="0.25">
      <x:c r="F4870" s="11"/>
    </x:row>
    <x:row r="4871" spans="6:6" x14ac:dyDescent="0.25">
      <x:c r="F4871" s="11"/>
    </x:row>
    <x:row r="4872" spans="6:6" x14ac:dyDescent="0.25">
      <x:c r="F4872" s="11"/>
    </x:row>
    <x:row r="4873" spans="6:6" x14ac:dyDescent="0.25">
      <x:c r="F4873" s="11"/>
    </x:row>
    <x:row r="4874" spans="6:6" x14ac:dyDescent="0.25">
      <x:c r="F4874" s="11"/>
    </x:row>
    <x:row r="4875" spans="6:6" x14ac:dyDescent="0.25">
      <x:c r="F4875" s="11"/>
    </x:row>
    <x:row r="4876" spans="6:6" x14ac:dyDescent="0.25">
      <x:c r="F4876" s="11"/>
    </x:row>
    <x:row r="4877" spans="6:6" x14ac:dyDescent="0.25">
      <x:c r="F4877" s="11"/>
    </x:row>
    <x:row r="4878" spans="6:6" x14ac:dyDescent="0.25">
      <x:c r="F4878" s="11"/>
    </x:row>
    <x:row r="4879" spans="6:6" x14ac:dyDescent="0.25">
      <x:c r="F4879" s="11"/>
    </x:row>
    <x:row r="4880" spans="6:6" x14ac:dyDescent="0.25">
      <x:c r="F4880" s="11"/>
    </x:row>
    <x:row r="4881" spans="6:6" x14ac:dyDescent="0.25">
      <x:c r="F4881" s="11"/>
    </x:row>
    <x:row r="4882" spans="6:6" x14ac:dyDescent="0.25">
      <x:c r="F4882" s="11"/>
    </x:row>
    <x:row r="4883" spans="6:6" x14ac:dyDescent="0.25">
      <x:c r="F4883" s="11"/>
    </x:row>
    <x:row r="4884" spans="6:6" x14ac:dyDescent="0.25">
      <x:c r="F4884" s="11"/>
    </x:row>
    <x:row r="4885" spans="6:6" x14ac:dyDescent="0.25">
      <x:c r="F4885" s="11"/>
    </x:row>
    <x:row r="4886" spans="6:6" x14ac:dyDescent="0.25">
      <x:c r="F4886" s="11"/>
    </x:row>
    <x:row r="4887" spans="6:6" x14ac:dyDescent="0.25">
      <x:c r="F4887" s="11"/>
    </x:row>
    <x:row r="4888" spans="6:6" x14ac:dyDescent="0.25">
      <x:c r="F4888" s="11"/>
    </x:row>
    <x:row r="4889" spans="6:6" x14ac:dyDescent="0.25">
      <x:c r="F4889" s="11"/>
    </x:row>
    <x:row r="4890" spans="6:6" x14ac:dyDescent="0.25">
      <x:c r="F4890" s="11"/>
    </x:row>
    <x:row r="4891" spans="6:6" x14ac:dyDescent="0.25">
      <x:c r="F4891" s="11"/>
    </x:row>
    <x:row r="4892" spans="6:6" x14ac:dyDescent="0.25">
      <x:c r="F4892" s="11"/>
    </x:row>
    <x:row r="4893" spans="6:6" x14ac:dyDescent="0.25">
      <x:c r="F4893" s="11"/>
    </x:row>
    <x:row r="4894" spans="6:6" x14ac:dyDescent="0.25">
      <x:c r="F4894" s="11"/>
    </x:row>
    <x:row r="4895" spans="6:6" x14ac:dyDescent="0.25">
      <x:c r="F4895" s="11"/>
    </x:row>
    <x:row r="4896" spans="6:6" x14ac:dyDescent="0.25">
      <x:c r="F4896" s="11"/>
    </x:row>
    <x:row r="4897" spans="6:6" x14ac:dyDescent="0.25">
      <x:c r="F4897" s="11"/>
    </x:row>
    <x:row r="4898" spans="6:6" x14ac:dyDescent="0.25">
      <x:c r="F4898" s="11"/>
    </x:row>
    <x:row r="4899" spans="6:6" x14ac:dyDescent="0.25">
      <x:c r="F4899" s="11"/>
    </x:row>
    <x:row r="4900" spans="6:6" x14ac:dyDescent="0.25">
      <x:c r="F4900" s="11"/>
    </x:row>
    <x:row r="4901" spans="6:6" x14ac:dyDescent="0.25">
      <x:c r="F4901" s="11"/>
    </x:row>
    <x:row r="4902" spans="6:6" x14ac:dyDescent="0.25">
      <x:c r="F4902" s="11"/>
    </x:row>
    <x:row r="4903" spans="6:6" x14ac:dyDescent="0.25">
      <x:c r="F4903" s="11"/>
    </x:row>
    <x:row r="4904" spans="6:6" x14ac:dyDescent="0.25">
      <x:c r="F4904" s="11"/>
    </x:row>
    <x:row r="4905" spans="6:6" x14ac:dyDescent="0.25">
      <x:c r="F4905" s="11"/>
    </x:row>
    <x:row r="4906" spans="6:6" x14ac:dyDescent="0.25">
      <x:c r="F4906" s="11"/>
    </x:row>
    <x:row r="4907" spans="6:6" x14ac:dyDescent="0.25">
      <x:c r="F4907" s="11"/>
    </x:row>
    <x:row r="4908" spans="6:6" x14ac:dyDescent="0.25">
      <x:c r="F4908" s="11"/>
    </x:row>
    <x:row r="4909" spans="6:6" x14ac:dyDescent="0.25">
      <x:c r="F4909" s="11"/>
    </x:row>
    <x:row r="4910" spans="6:6" x14ac:dyDescent="0.25">
      <x:c r="F4910" s="11"/>
    </x:row>
    <x:row r="4911" spans="6:6" x14ac:dyDescent="0.25">
      <x:c r="F4911" s="11"/>
    </x:row>
    <x:row r="4912" spans="6:6" x14ac:dyDescent="0.25">
      <x:c r="F4912" s="11"/>
    </x:row>
    <x:row r="4913" spans="6:6" x14ac:dyDescent="0.25">
      <x:c r="F4913" s="11"/>
    </x:row>
    <x:row r="4914" spans="6:6" x14ac:dyDescent="0.25">
      <x:c r="F4914" s="11"/>
    </x:row>
    <x:row r="4915" spans="6:6" x14ac:dyDescent="0.25">
      <x:c r="F4915" s="11"/>
    </x:row>
    <x:row r="4916" spans="6:6" x14ac:dyDescent="0.25">
      <x:c r="F4916" s="11"/>
    </x:row>
    <x:row r="4917" spans="6:6" x14ac:dyDescent="0.25">
      <x:c r="F4917" s="11"/>
    </x:row>
    <x:row r="4918" spans="6:6" x14ac:dyDescent="0.25">
      <x:c r="F4918" s="11"/>
    </x:row>
    <x:row r="4919" spans="6:6" x14ac:dyDescent="0.25">
      <x:c r="F4919" s="11"/>
    </x:row>
    <x:row r="4920" spans="6:6" x14ac:dyDescent="0.25">
      <x:c r="F4920" s="11"/>
    </x:row>
    <x:row r="4921" spans="6:6" x14ac:dyDescent="0.25">
      <x:c r="F4921" s="11"/>
    </x:row>
    <x:row r="4922" spans="6:6" x14ac:dyDescent="0.25">
      <x:c r="F4922" s="11"/>
    </x:row>
    <x:row r="4923" spans="6:6" x14ac:dyDescent="0.25">
      <x:c r="F4923" s="11"/>
    </x:row>
    <x:row r="4924" spans="6:6" x14ac:dyDescent="0.25">
      <x:c r="F4924" s="11"/>
    </x:row>
    <x:row r="4925" spans="6:6" x14ac:dyDescent="0.25">
      <x:c r="F4925" s="11"/>
    </x:row>
    <x:row r="4926" spans="6:6" x14ac:dyDescent="0.25">
      <x:c r="F4926" s="11"/>
    </x:row>
    <x:row r="4927" spans="6:6" x14ac:dyDescent="0.25">
      <x:c r="F4927" s="11"/>
    </x:row>
    <x:row r="4928" spans="6:6" x14ac:dyDescent="0.25">
      <x:c r="F4928" s="11"/>
    </x:row>
    <x:row r="4929" spans="6:6" x14ac:dyDescent="0.25">
      <x:c r="F4929" s="11"/>
    </x:row>
    <x:row r="4930" spans="6:6" x14ac:dyDescent="0.25">
      <x:c r="F4930" s="11"/>
    </x:row>
    <x:row r="4931" spans="6:6" x14ac:dyDescent="0.25">
      <x:c r="F4931" s="11"/>
    </x:row>
    <x:row r="4932" spans="6:6" x14ac:dyDescent="0.25">
      <x:c r="F4932" s="11"/>
    </x:row>
    <x:row r="4933" spans="6:6" x14ac:dyDescent="0.25">
      <x:c r="F4933" s="11"/>
    </x:row>
    <x:row r="4934" spans="6:6" x14ac:dyDescent="0.25">
      <x:c r="F4934" s="11"/>
    </x:row>
    <x:row r="4935" spans="6:6" x14ac:dyDescent="0.25">
      <x:c r="F4935" s="11"/>
    </x:row>
    <x:row r="4936" spans="6:6" x14ac:dyDescent="0.25">
      <x:c r="F4936" s="11"/>
    </x:row>
    <x:row r="4937" spans="6:6" x14ac:dyDescent="0.25">
      <x:c r="F4937" s="11"/>
    </x:row>
    <x:row r="4938" spans="6:6" x14ac:dyDescent="0.25">
      <x:c r="F4938" s="11"/>
    </x:row>
    <x:row r="4939" spans="6:6" x14ac:dyDescent="0.25">
      <x:c r="F4939" s="11"/>
    </x:row>
    <x:row r="4940" spans="6:6" x14ac:dyDescent="0.25">
      <x:c r="F4940" s="11"/>
    </x:row>
    <x:row r="4941" spans="6:6" x14ac:dyDescent="0.25">
      <x:c r="F4941" s="11"/>
    </x:row>
    <x:row r="4942" spans="6:6" x14ac:dyDescent="0.25">
      <x:c r="F4942" s="11"/>
    </x:row>
    <x:row r="4943" spans="6:6" x14ac:dyDescent="0.25">
      <x:c r="F4943" s="11"/>
    </x:row>
    <x:row r="4944" spans="6:6" x14ac:dyDescent="0.25">
      <x:c r="F4944" s="11"/>
    </x:row>
    <x:row r="4945" spans="6:6" x14ac:dyDescent="0.25">
      <x:c r="F4945" s="11"/>
    </x:row>
    <x:row r="4946" spans="6:6" x14ac:dyDescent="0.25">
      <x:c r="F4946" s="11"/>
    </x:row>
    <x:row r="4947" spans="6:6" x14ac:dyDescent="0.25">
      <x:c r="F4947" s="11"/>
    </x:row>
    <x:row r="4948" spans="6:6" x14ac:dyDescent="0.25">
      <x:c r="F4948" s="11"/>
    </x:row>
    <x:row r="4949" spans="6:6" x14ac:dyDescent="0.25">
      <x:c r="F4949" s="11"/>
    </x:row>
    <x:row r="4950" spans="6:6" x14ac:dyDescent="0.25">
      <x:c r="F4950" s="11"/>
    </x:row>
    <x:row r="4951" spans="6:6" x14ac:dyDescent="0.25">
      <x:c r="F4951" s="11"/>
    </x:row>
    <x:row r="4952" spans="6:6" x14ac:dyDescent="0.25">
      <x:c r="F4952" s="11"/>
    </x:row>
    <x:row r="4953" spans="6:6" x14ac:dyDescent="0.25">
      <x:c r="F4953" s="11"/>
    </x:row>
    <x:row r="4954" spans="6:6" x14ac:dyDescent="0.25">
      <x:c r="F4954" s="11"/>
    </x:row>
    <x:row r="4955" spans="6:6" x14ac:dyDescent="0.25">
      <x:c r="F4955" s="11"/>
    </x:row>
    <x:row r="4956" spans="6:6" x14ac:dyDescent="0.25">
      <x:c r="F4956" s="11"/>
    </x:row>
    <x:row r="4957" spans="6:6" x14ac:dyDescent="0.25">
      <x:c r="F4957" s="11"/>
    </x:row>
    <x:row r="4958" spans="6:6" x14ac:dyDescent="0.25">
      <x:c r="F4958" s="11"/>
    </x:row>
    <x:row r="4959" spans="6:6" x14ac:dyDescent="0.25">
      <x:c r="F4959" s="11"/>
    </x:row>
    <x:row r="4960" spans="6:6" x14ac:dyDescent="0.25">
      <x:c r="F4960" s="11"/>
    </x:row>
    <x:row r="4961" spans="6:6" x14ac:dyDescent="0.25">
      <x:c r="F4961" s="11"/>
    </x:row>
    <x:row r="4962" spans="6:6" x14ac:dyDescent="0.25">
      <x:c r="F4962" s="11"/>
    </x:row>
    <x:row r="4963" spans="6:6" x14ac:dyDescent="0.25">
      <x:c r="F4963" s="11"/>
    </x:row>
    <x:row r="4964" spans="6:6" x14ac:dyDescent="0.25">
      <x:c r="F4964" s="11"/>
    </x:row>
    <x:row r="4965" spans="6:6" x14ac:dyDescent="0.25">
      <x:c r="F4965" s="11"/>
    </x:row>
    <x:row r="4966" spans="6:6" x14ac:dyDescent="0.25">
      <x:c r="F4966" s="11"/>
    </x:row>
    <x:row r="4967" spans="6:6" x14ac:dyDescent="0.25">
      <x:c r="F4967" s="11"/>
    </x:row>
    <x:row r="4968" spans="6:6" x14ac:dyDescent="0.25">
      <x:c r="F4968" s="11"/>
    </x:row>
    <x:row r="4969" spans="6:6" x14ac:dyDescent="0.25">
      <x:c r="F4969" s="11"/>
    </x:row>
    <x:row r="4970" spans="6:6" x14ac:dyDescent="0.25">
      <x:c r="F4970" s="11"/>
    </x:row>
    <x:row r="4971" spans="6:6" x14ac:dyDescent="0.25">
      <x:c r="F4971" s="11"/>
    </x:row>
    <x:row r="4972" spans="6:6" x14ac:dyDescent="0.25">
      <x:c r="F4972" s="11"/>
    </x:row>
    <x:row r="4973" spans="6:6" x14ac:dyDescent="0.25">
      <x:c r="F4973" s="11"/>
    </x:row>
    <x:row r="4974" spans="6:6" x14ac:dyDescent="0.25">
      <x:c r="F4974" s="11"/>
    </x:row>
    <x:row r="4975" spans="6:6" x14ac:dyDescent="0.25">
      <x:c r="F4975" s="11"/>
    </x:row>
    <x:row r="4976" spans="6:6" x14ac:dyDescent="0.25">
      <x:c r="F4976" s="11"/>
    </x:row>
    <x:row r="4977" spans="6:6" x14ac:dyDescent="0.25">
      <x:c r="F4977" s="11"/>
    </x:row>
    <x:row r="4978" spans="6:6" x14ac:dyDescent="0.25">
      <x:c r="F4978" s="11"/>
    </x:row>
    <x:row r="4979" spans="6:6" x14ac:dyDescent="0.25">
      <x:c r="F4979" s="11"/>
    </x:row>
    <x:row r="4980" spans="6:6" x14ac:dyDescent="0.25">
      <x:c r="F4980" s="11"/>
    </x:row>
    <x:row r="4981" spans="6:6" x14ac:dyDescent="0.25">
      <x:c r="F4981" s="11"/>
    </x:row>
    <x:row r="4982" spans="6:6" x14ac:dyDescent="0.25">
      <x:c r="F4982" s="11"/>
    </x:row>
    <x:row r="4983" spans="6:6" x14ac:dyDescent="0.25">
      <x:c r="F4983" s="11"/>
    </x:row>
    <x:row r="4984" spans="6:6" x14ac:dyDescent="0.25">
      <x:c r="F4984" s="11"/>
    </x:row>
    <x:row r="4985" spans="6:6" x14ac:dyDescent="0.25">
      <x:c r="F4985" s="11"/>
    </x:row>
    <x:row r="4986" spans="6:6" x14ac:dyDescent="0.25">
      <x:c r="F4986" s="11"/>
    </x:row>
    <x:row r="4987" spans="6:6" x14ac:dyDescent="0.25">
      <x:c r="F4987" s="11"/>
    </x:row>
    <x:row r="4988" spans="6:6" x14ac:dyDescent="0.25">
      <x:c r="F4988" s="11"/>
    </x:row>
    <x:row r="4989" spans="6:6" x14ac:dyDescent="0.25">
      <x:c r="F4989" s="11"/>
    </x:row>
    <x:row r="4990" spans="6:6" x14ac:dyDescent="0.25">
      <x:c r="F4990" s="11"/>
    </x:row>
    <x:row r="4991" spans="6:6" x14ac:dyDescent="0.25">
      <x:c r="F4991" s="11"/>
    </x:row>
    <x:row r="4992" spans="6:6" x14ac:dyDescent="0.25">
      <x:c r="F4992" s="11"/>
    </x:row>
    <x:row r="4993" spans="6:6" x14ac:dyDescent="0.25">
      <x:c r="F4993" s="11"/>
    </x:row>
    <x:row r="4994" spans="6:6" x14ac:dyDescent="0.25">
      <x:c r="F4994" s="11"/>
    </x:row>
    <x:row r="4995" spans="6:6" x14ac:dyDescent="0.25">
      <x:c r="F4995" s="11"/>
    </x:row>
    <x:row r="4996" spans="6:6" x14ac:dyDescent="0.25">
      <x:c r="F4996" s="11"/>
    </x:row>
    <x:row r="4997" spans="6:6" x14ac:dyDescent="0.25">
      <x:c r="F4997" s="11"/>
    </x:row>
    <x:row r="4998" spans="6:6" x14ac:dyDescent="0.25">
      <x:c r="F4998" s="11"/>
    </x:row>
    <x:row r="4999" spans="6:6" x14ac:dyDescent="0.25">
      <x:c r="F4999" s="11"/>
    </x:row>
    <x:row r="5000" spans="6:6" x14ac:dyDescent="0.25">
      <x:c r="F5000" s="11"/>
    </x:row>
    <x:row r="5001" spans="6:6" x14ac:dyDescent="0.25">
      <x:c r="F5001" s="11"/>
    </x:row>
    <x:row r="5002" spans="6:6" x14ac:dyDescent="0.25">
      <x:c r="F5002" s="11"/>
    </x:row>
    <x:row r="5003" spans="6:6" x14ac:dyDescent="0.25">
      <x:c r="F5003" s="11"/>
    </x:row>
    <x:row r="5004" spans="6:6" x14ac:dyDescent="0.25">
      <x:c r="F5004" s="11"/>
    </x:row>
    <x:row r="5005" spans="6:6" x14ac:dyDescent="0.25">
      <x:c r="F5005" s="11"/>
    </x:row>
    <x:row r="5006" spans="6:6" x14ac:dyDescent="0.25">
      <x:c r="F5006" s="11"/>
    </x:row>
    <x:row r="5007" spans="6:6" x14ac:dyDescent="0.25">
      <x:c r="F5007" s="11"/>
    </x:row>
    <x:row r="5008" spans="6:6" x14ac:dyDescent="0.25">
      <x:c r="F5008" s="11"/>
    </x:row>
    <x:row r="5009" spans="6:6" x14ac:dyDescent="0.25">
      <x:c r="F5009" s="11"/>
    </x:row>
    <x:row r="5010" spans="6:6" x14ac:dyDescent="0.25">
      <x:c r="F5010" s="11"/>
    </x:row>
    <x:row r="5011" spans="6:6" x14ac:dyDescent="0.25">
      <x:c r="F5011" s="11"/>
    </x:row>
    <x:row r="5012" spans="6:6" x14ac:dyDescent="0.25">
      <x:c r="F5012" s="11"/>
    </x:row>
    <x:row r="5013" spans="6:6" x14ac:dyDescent="0.25">
      <x:c r="F5013" s="11"/>
    </x:row>
    <x:row r="5014" spans="6:6" x14ac:dyDescent="0.25">
      <x:c r="F5014" s="11"/>
    </x:row>
    <x:row r="5015" spans="6:6" x14ac:dyDescent="0.25">
      <x:c r="F5015" s="11"/>
    </x:row>
    <x:row r="5016" spans="6:6" x14ac:dyDescent="0.25">
      <x:c r="F5016" s="11"/>
    </x:row>
    <x:row r="5017" spans="6:6" x14ac:dyDescent="0.25">
      <x:c r="F5017" s="11"/>
    </x:row>
    <x:row r="5018" spans="6:6" x14ac:dyDescent="0.25">
      <x:c r="F5018" s="11"/>
    </x:row>
    <x:row r="5019" spans="6:6" x14ac:dyDescent="0.25">
      <x:c r="F5019" s="11"/>
    </x:row>
    <x:row r="5020" spans="6:6" x14ac:dyDescent="0.25">
      <x:c r="F5020" s="11"/>
    </x:row>
    <x:row r="5021" spans="6:6" x14ac:dyDescent="0.25">
      <x:c r="F5021" s="11"/>
    </x:row>
    <x:row r="5022" spans="6:6" x14ac:dyDescent="0.25">
      <x:c r="F5022" s="11"/>
    </x:row>
    <x:row r="5023" spans="6:6" x14ac:dyDescent="0.25">
      <x:c r="F5023" s="11"/>
    </x:row>
    <x:row r="5024" spans="6:6" x14ac:dyDescent="0.25">
      <x:c r="F5024" s="11"/>
    </x:row>
    <x:row r="5025" spans="6:6" x14ac:dyDescent="0.25">
      <x:c r="F5025" s="11"/>
    </x:row>
    <x:row r="5026" spans="6:6" x14ac:dyDescent="0.25">
      <x:c r="F5026" s="11"/>
    </x:row>
    <x:row r="5027" spans="6:6" x14ac:dyDescent="0.25">
      <x:c r="F5027" s="11"/>
    </x:row>
    <x:row r="5028" spans="6:6" x14ac:dyDescent="0.25">
      <x:c r="F5028" s="11"/>
    </x:row>
    <x:row r="5029" spans="6:6" x14ac:dyDescent="0.25">
      <x:c r="F5029" s="11"/>
    </x:row>
    <x:row r="5030" spans="6:6" x14ac:dyDescent="0.25">
      <x:c r="F5030" s="11"/>
    </x:row>
    <x:row r="5031" spans="6:6" x14ac:dyDescent="0.25">
      <x:c r="F5031" s="11"/>
    </x:row>
    <x:row r="5032" spans="6:6" x14ac:dyDescent="0.25">
      <x:c r="F5032" s="11"/>
    </x:row>
    <x:row r="5033" spans="6:6" x14ac:dyDescent="0.25">
      <x:c r="F5033" s="11"/>
    </x:row>
    <x:row r="5034" spans="6:6" x14ac:dyDescent="0.25">
      <x:c r="F5034" s="11"/>
    </x:row>
    <x:row r="5035" spans="6:6" x14ac:dyDescent="0.25">
      <x:c r="F5035" s="11"/>
    </x:row>
    <x:row r="5036" spans="6:6" x14ac:dyDescent="0.25">
      <x:c r="F5036" s="11"/>
    </x:row>
    <x:row r="5037" spans="6:6" x14ac:dyDescent="0.25">
      <x:c r="F5037" s="11"/>
    </x:row>
    <x:row r="5038" spans="6:6" x14ac:dyDescent="0.25">
      <x:c r="F5038" s="11"/>
    </x:row>
    <x:row r="5039" spans="6:6" x14ac:dyDescent="0.25">
      <x:c r="F5039" s="11"/>
    </x:row>
    <x:row r="5040" spans="6:6" x14ac:dyDescent="0.25">
      <x:c r="F5040" s="11"/>
    </x:row>
    <x:row r="5041" spans="6:6" x14ac:dyDescent="0.25">
      <x:c r="F5041" s="11"/>
    </x:row>
    <x:row r="5042" spans="6:6" x14ac:dyDescent="0.25">
      <x:c r="F5042" s="11"/>
    </x:row>
    <x:row r="5043" spans="6:6" x14ac:dyDescent="0.25">
      <x:c r="F5043" s="11"/>
    </x:row>
    <x:row r="5044" spans="6:6" x14ac:dyDescent="0.25">
      <x:c r="F5044" s="11"/>
    </x:row>
    <x:row r="5045" spans="6:6" x14ac:dyDescent="0.25">
      <x:c r="F5045" s="11"/>
    </x:row>
    <x:row r="5046" spans="6:6" x14ac:dyDescent="0.25">
      <x:c r="F5046" s="11"/>
    </x:row>
    <x:row r="5047" spans="6:6" x14ac:dyDescent="0.25">
      <x:c r="F5047" s="11"/>
    </x:row>
    <x:row r="5048" spans="6:6" x14ac:dyDescent="0.25">
      <x:c r="F5048" s="11"/>
    </x:row>
    <x:row r="5049" spans="6:6" x14ac:dyDescent="0.25">
      <x:c r="F5049" s="11"/>
    </x:row>
    <x:row r="5050" spans="6:6" x14ac:dyDescent="0.25">
      <x:c r="F5050" s="11"/>
    </x:row>
    <x:row r="5051" spans="6:6" x14ac:dyDescent="0.25">
      <x:c r="F5051" s="11"/>
    </x:row>
    <x:row r="5052" spans="6:6" x14ac:dyDescent="0.25">
      <x:c r="F5052" s="11"/>
    </x:row>
    <x:row r="5053" spans="6:6" x14ac:dyDescent="0.25">
      <x:c r="F5053" s="11"/>
    </x:row>
    <x:row r="5054" spans="6:6" x14ac:dyDescent="0.25">
      <x:c r="F5054" s="11"/>
    </x:row>
    <x:row r="5055" spans="6:6" x14ac:dyDescent="0.25">
      <x:c r="F5055" s="11"/>
    </x:row>
    <x:row r="5056" spans="6:6" x14ac:dyDescent="0.25">
      <x:c r="F5056" s="11"/>
    </x:row>
    <x:row r="5057" spans="6:6" x14ac:dyDescent="0.25">
      <x:c r="F5057" s="11"/>
    </x:row>
    <x:row r="5058" spans="6:6" x14ac:dyDescent="0.25">
      <x:c r="F5058" s="11"/>
    </x:row>
    <x:row r="5059" spans="6:6" x14ac:dyDescent="0.25">
      <x:c r="F5059" s="11"/>
    </x:row>
    <x:row r="5060" spans="6:6" x14ac:dyDescent="0.25">
      <x:c r="F5060" s="11"/>
    </x:row>
    <x:row r="5061" spans="6:6" x14ac:dyDescent="0.25">
      <x:c r="F5061" s="11"/>
    </x:row>
    <x:row r="5062" spans="6:6" x14ac:dyDescent="0.25">
      <x:c r="F5062" s="11"/>
    </x:row>
    <x:row r="5063" spans="6:6" x14ac:dyDescent="0.25">
      <x:c r="F5063" s="11"/>
    </x:row>
    <x:row r="5064" spans="6:6" x14ac:dyDescent="0.25">
      <x:c r="F5064" s="11"/>
    </x:row>
    <x:row r="5065" spans="6:6" x14ac:dyDescent="0.25">
      <x:c r="F5065" s="11"/>
    </x:row>
    <x:row r="5066" spans="6:6" x14ac:dyDescent="0.25">
      <x:c r="F5066" s="11"/>
    </x:row>
    <x:row r="5067" spans="6:6" x14ac:dyDescent="0.25">
      <x:c r="F5067" s="11"/>
    </x:row>
    <x:row r="5068" spans="6:6" x14ac:dyDescent="0.25">
      <x:c r="F5068" s="11"/>
    </x:row>
    <x:row r="5069" spans="6:6" x14ac:dyDescent="0.25">
      <x:c r="F5069" s="11"/>
    </x:row>
    <x:row r="5070" spans="6:6" x14ac:dyDescent="0.25">
      <x:c r="F5070" s="11"/>
    </x:row>
    <x:row r="5071" spans="6:6" x14ac:dyDescent="0.25">
      <x:c r="F5071" s="11"/>
    </x:row>
    <x:row r="5072" spans="6:6" x14ac:dyDescent="0.25">
      <x:c r="F5072" s="11"/>
    </x:row>
    <x:row r="5073" spans="6:6" x14ac:dyDescent="0.25">
      <x:c r="F5073" s="11"/>
    </x:row>
    <x:row r="5074" spans="6:6" x14ac:dyDescent="0.25">
      <x:c r="F5074" s="11"/>
    </x:row>
    <x:row r="5075" spans="6:6" x14ac:dyDescent="0.25">
      <x:c r="F5075" s="11"/>
    </x:row>
    <x:row r="5076" spans="6:6" x14ac:dyDescent="0.25">
      <x:c r="F5076" s="11"/>
    </x:row>
    <x:row r="5077" spans="6:6" x14ac:dyDescent="0.25">
      <x:c r="F5077" s="11"/>
    </x:row>
    <x:row r="5078" spans="6:6" x14ac:dyDescent="0.25">
      <x:c r="F5078" s="11"/>
    </x:row>
    <x:row r="5079" spans="6:6" x14ac:dyDescent="0.25">
      <x:c r="F5079" s="11"/>
    </x:row>
    <x:row r="5080" spans="6:6" x14ac:dyDescent="0.25">
      <x:c r="F5080" s="11"/>
    </x:row>
    <x:row r="5081" spans="6:6" x14ac:dyDescent="0.25">
      <x:c r="F5081" s="11"/>
    </x:row>
    <x:row r="5082" spans="6:6" x14ac:dyDescent="0.25">
      <x:c r="F5082" s="11"/>
    </x:row>
    <x:row r="5083" spans="6:6" x14ac:dyDescent="0.25">
      <x:c r="F5083" s="11"/>
    </x:row>
    <x:row r="5084" spans="6:6" x14ac:dyDescent="0.25">
      <x:c r="F5084" s="11"/>
    </x:row>
    <x:row r="5085" spans="6:6" x14ac:dyDescent="0.25">
      <x:c r="F5085" s="11"/>
    </x:row>
    <x:row r="5086" spans="6:6" x14ac:dyDescent="0.25">
      <x:c r="F5086" s="11"/>
    </x:row>
    <x:row r="5087" spans="6:6" x14ac:dyDescent="0.25">
      <x:c r="F5087" s="11"/>
    </x:row>
    <x:row r="5088" spans="6:6" x14ac:dyDescent="0.25">
      <x:c r="F5088" s="11"/>
    </x:row>
    <x:row r="5089" spans="6:6" x14ac:dyDescent="0.25">
      <x:c r="F5089" s="11"/>
    </x:row>
    <x:row r="5090" spans="6:6" x14ac:dyDescent="0.25">
      <x:c r="F5090" s="11"/>
    </x:row>
    <x:row r="5091" spans="6:6" x14ac:dyDescent="0.25">
      <x:c r="F5091" s="11"/>
    </x:row>
    <x:row r="5092" spans="6:6" x14ac:dyDescent="0.25">
      <x:c r="F5092" s="11"/>
    </x:row>
    <x:row r="5093" spans="6:6" x14ac:dyDescent="0.25">
      <x:c r="F5093" s="11"/>
    </x:row>
    <x:row r="5094" spans="6:6" x14ac:dyDescent="0.25">
      <x:c r="F5094" s="11"/>
    </x:row>
    <x:row r="5095" spans="6:6" x14ac:dyDescent="0.25">
      <x:c r="F5095" s="11"/>
    </x:row>
    <x:row r="5096" spans="6:6" x14ac:dyDescent="0.25">
      <x:c r="F5096" s="11"/>
    </x:row>
    <x:row r="5097" spans="6:6" x14ac:dyDescent="0.25">
      <x:c r="F5097" s="11"/>
    </x:row>
    <x:row r="5098" spans="6:6" x14ac:dyDescent="0.25">
      <x:c r="F5098" s="11"/>
    </x:row>
    <x:row r="5099" spans="6:6" x14ac:dyDescent="0.25">
      <x:c r="F5099" s="11"/>
    </x:row>
    <x:row r="5100" spans="6:6" x14ac:dyDescent="0.25">
      <x:c r="F5100" s="11"/>
    </x:row>
    <x:row r="5101" spans="6:6" x14ac:dyDescent="0.25">
      <x:c r="F5101" s="11"/>
    </x:row>
    <x:row r="5102" spans="6:6" x14ac:dyDescent="0.25">
      <x:c r="F5102" s="11"/>
    </x:row>
    <x:row r="5103" spans="6:6" x14ac:dyDescent="0.25">
      <x:c r="F5103" s="11"/>
    </x:row>
    <x:row r="5104" spans="6:6" x14ac:dyDescent="0.25">
      <x:c r="F5104" s="11"/>
    </x:row>
    <x:row r="5105" spans="6:6" x14ac:dyDescent="0.25">
      <x:c r="F5105" s="11"/>
    </x:row>
    <x:row r="5106" spans="6:6" x14ac:dyDescent="0.25">
      <x:c r="F5106" s="11"/>
    </x:row>
    <x:row r="5107" spans="6:6" x14ac:dyDescent="0.25">
      <x:c r="F5107" s="11"/>
    </x:row>
    <x:row r="5108" spans="6:6" x14ac:dyDescent="0.25">
      <x:c r="F5108" s="11"/>
    </x:row>
    <x:row r="5109" spans="6:6" x14ac:dyDescent="0.25">
      <x:c r="F5109" s="11"/>
    </x:row>
    <x:row r="5110" spans="6:6" x14ac:dyDescent="0.25">
      <x:c r="F5110" s="11"/>
    </x:row>
    <x:row r="5111" spans="6:6" x14ac:dyDescent="0.25">
      <x:c r="F5111" s="11"/>
    </x:row>
    <x:row r="5112" spans="6:6" x14ac:dyDescent="0.25">
      <x:c r="F5112" s="11"/>
    </x:row>
    <x:row r="5113" spans="6:6" x14ac:dyDescent="0.25">
      <x:c r="F5113" s="11"/>
    </x:row>
    <x:row r="5114" spans="6:6" x14ac:dyDescent="0.25">
      <x:c r="F5114" s="11"/>
    </x:row>
    <x:row r="5115" spans="6:6" x14ac:dyDescent="0.25">
      <x:c r="F5115" s="11"/>
    </x:row>
    <x:row r="5116" spans="6:6" x14ac:dyDescent="0.25">
      <x:c r="F5116" s="11"/>
    </x:row>
    <x:row r="5117" spans="6:6" x14ac:dyDescent="0.25">
      <x:c r="F5117" s="11"/>
    </x:row>
    <x:row r="5118" spans="6:6" x14ac:dyDescent="0.25">
      <x:c r="F5118" s="11"/>
    </x:row>
    <x:row r="5119" spans="6:6" x14ac:dyDescent="0.25">
      <x:c r="F5119" s="11"/>
    </x:row>
    <x:row r="5120" spans="6:6" x14ac:dyDescent="0.25">
      <x:c r="F5120" s="11"/>
    </x:row>
    <x:row r="5121" spans="6:6" x14ac:dyDescent="0.25">
      <x:c r="F5121" s="11"/>
    </x:row>
    <x:row r="5122" spans="6:6" x14ac:dyDescent="0.25">
      <x:c r="F5122" s="11"/>
    </x:row>
    <x:row r="5123" spans="6:6" x14ac:dyDescent="0.25">
      <x:c r="F5123" s="11"/>
    </x:row>
    <x:row r="5124" spans="6:6" x14ac:dyDescent="0.25">
      <x:c r="F5124" s="11"/>
    </x:row>
    <x:row r="5125" spans="6:6" x14ac:dyDescent="0.25">
      <x:c r="F5125" s="11"/>
    </x:row>
    <x:row r="5126" spans="6:6" x14ac:dyDescent="0.25">
      <x:c r="F5126" s="11"/>
    </x:row>
    <x:row r="5127" spans="6:6" x14ac:dyDescent="0.25">
      <x:c r="F5127" s="11"/>
    </x:row>
    <x:row r="5128" spans="6:6" x14ac:dyDescent="0.25">
      <x:c r="F5128" s="11"/>
    </x:row>
    <x:row r="5129" spans="6:6" x14ac:dyDescent="0.25">
      <x:c r="F5129" s="11"/>
    </x:row>
    <x:row r="5130" spans="6:6" x14ac:dyDescent="0.25">
      <x:c r="F5130" s="11"/>
    </x:row>
    <x:row r="5131" spans="6:6" x14ac:dyDescent="0.25">
      <x:c r="F5131" s="11"/>
    </x:row>
    <x:row r="5132" spans="6:6" x14ac:dyDescent="0.25">
      <x:c r="F5132" s="11"/>
    </x:row>
    <x:row r="5133" spans="6:6" x14ac:dyDescent="0.25">
      <x:c r="F5133" s="11"/>
    </x:row>
    <x:row r="5134" spans="6:6" x14ac:dyDescent="0.25">
      <x:c r="F5134" s="11"/>
    </x:row>
    <x:row r="5135" spans="6:6" x14ac:dyDescent="0.25">
      <x:c r="F5135" s="11"/>
    </x:row>
    <x:row r="5136" spans="6:6" x14ac:dyDescent="0.25">
      <x:c r="F5136" s="11"/>
    </x:row>
    <x:row r="5137" spans="6:6" x14ac:dyDescent="0.25">
      <x:c r="F5137" s="11"/>
    </x:row>
    <x:row r="5138" spans="6:6" x14ac:dyDescent="0.25">
      <x:c r="F5138" s="11"/>
    </x:row>
    <x:row r="5139" spans="6:6" x14ac:dyDescent="0.25">
      <x:c r="F5139" s="11"/>
    </x:row>
    <x:row r="5140" spans="6:6" x14ac:dyDescent="0.25">
      <x:c r="F5140" s="11"/>
    </x:row>
    <x:row r="5141" spans="6:6" x14ac:dyDescent="0.25">
      <x:c r="F5141" s="11"/>
    </x:row>
    <x:row r="5142" spans="6:6" x14ac:dyDescent="0.25">
      <x:c r="F5142" s="11"/>
    </x:row>
    <x:row r="5143" spans="6:6" x14ac:dyDescent="0.25">
      <x:c r="F5143" s="11"/>
    </x:row>
    <x:row r="5144" spans="6:6" x14ac:dyDescent="0.25">
      <x:c r="F5144" s="11"/>
    </x:row>
    <x:row r="5145" spans="6:6" x14ac:dyDescent="0.25">
      <x:c r="F5145" s="11"/>
    </x:row>
    <x:row r="5146" spans="6:6" x14ac:dyDescent="0.25">
      <x:c r="F5146" s="11"/>
    </x:row>
    <x:row r="5147" spans="6:6" x14ac:dyDescent="0.25">
      <x:c r="F5147" s="11"/>
    </x:row>
    <x:row r="5148" spans="6:6" x14ac:dyDescent="0.25">
      <x:c r="F5148" s="11"/>
    </x:row>
    <x:row r="5149" spans="6:6" x14ac:dyDescent="0.25">
      <x:c r="F5149" s="11"/>
    </x:row>
    <x:row r="5150" spans="6:6" x14ac:dyDescent="0.25">
      <x:c r="F5150" s="11"/>
    </x:row>
    <x:row r="5151" spans="6:6" x14ac:dyDescent="0.25">
      <x:c r="F5151" s="11"/>
    </x:row>
    <x:row r="5152" spans="6:6" x14ac:dyDescent="0.25">
      <x:c r="F5152" s="11"/>
    </x:row>
    <x:row r="5153" spans="6:6" x14ac:dyDescent="0.25">
      <x:c r="F5153" s="11"/>
    </x:row>
    <x:row r="5154" spans="6:6" x14ac:dyDescent="0.25">
      <x:c r="F5154" s="11"/>
    </x:row>
    <x:row r="5155" spans="6:6" x14ac:dyDescent="0.25">
      <x:c r="F5155" s="11"/>
    </x:row>
    <x:row r="5156" spans="6:6" x14ac:dyDescent="0.25">
      <x:c r="F5156" s="11"/>
    </x:row>
    <x:row r="5157" spans="6:6" x14ac:dyDescent="0.25">
      <x:c r="F5157" s="11"/>
    </x:row>
    <x:row r="5158" spans="6:6" x14ac:dyDescent="0.25">
      <x:c r="F5158" s="11"/>
    </x:row>
    <x:row r="5159" spans="6:6" x14ac:dyDescent="0.25">
      <x:c r="F5159" s="11"/>
    </x:row>
    <x:row r="5160" spans="6:6" x14ac:dyDescent="0.25">
      <x:c r="F5160" s="11"/>
    </x:row>
    <x:row r="5161" spans="6:6" x14ac:dyDescent="0.25">
      <x:c r="F5161" s="11"/>
    </x:row>
    <x:row r="5162" spans="6:6" x14ac:dyDescent="0.25">
      <x:c r="F5162" s="11"/>
    </x:row>
    <x:row r="5163" spans="6:6" x14ac:dyDescent="0.25">
      <x:c r="F5163" s="11"/>
    </x:row>
    <x:row r="5164" spans="6:6" x14ac:dyDescent="0.25">
      <x:c r="F5164" s="11"/>
    </x:row>
    <x:row r="5165" spans="6:6" x14ac:dyDescent="0.25">
      <x:c r="F5165" s="11"/>
    </x:row>
    <x:row r="5166" spans="6:6" x14ac:dyDescent="0.25">
      <x:c r="F5166" s="11"/>
    </x:row>
    <x:row r="5167" spans="6:6" x14ac:dyDescent="0.25">
      <x:c r="F5167" s="11"/>
    </x:row>
    <x:row r="5168" spans="6:6" x14ac:dyDescent="0.25">
      <x:c r="F5168" s="11"/>
    </x:row>
    <x:row r="5169" spans="6:6" x14ac:dyDescent="0.25">
      <x:c r="F5169" s="11"/>
    </x:row>
    <x:row r="5170" spans="6:6" x14ac:dyDescent="0.25">
      <x:c r="F5170" s="11"/>
    </x:row>
    <x:row r="5171" spans="6:6" x14ac:dyDescent="0.25">
      <x:c r="F5171" s="11"/>
    </x:row>
    <x:row r="5172" spans="6:6" x14ac:dyDescent="0.25">
      <x:c r="F5172" s="11"/>
    </x:row>
    <x:row r="5173" spans="6:6" x14ac:dyDescent="0.25">
      <x:c r="F5173" s="11"/>
    </x:row>
    <x:row r="5174" spans="6:6" x14ac:dyDescent="0.25">
      <x:c r="F5174" s="11"/>
    </x:row>
    <x:row r="5175" spans="6:6" x14ac:dyDescent="0.25">
      <x:c r="F5175" s="11"/>
    </x:row>
    <x:row r="5176" spans="6:6" x14ac:dyDescent="0.25">
      <x:c r="F5176" s="11"/>
    </x:row>
    <x:row r="5177" spans="6:6" x14ac:dyDescent="0.25">
      <x:c r="F5177" s="11"/>
    </x:row>
    <x:row r="5178" spans="6:6" x14ac:dyDescent="0.25">
      <x:c r="F5178" s="11"/>
    </x:row>
    <x:row r="5179" spans="6:6" x14ac:dyDescent="0.25">
      <x:c r="F5179" s="11"/>
    </x:row>
    <x:row r="5180" spans="6:6" x14ac:dyDescent="0.25">
      <x:c r="F5180" s="11"/>
    </x:row>
    <x:row r="5181" spans="6:6" x14ac:dyDescent="0.25">
      <x:c r="F5181" s="11"/>
    </x:row>
    <x:row r="5182" spans="6:6" x14ac:dyDescent="0.25">
      <x:c r="F5182" s="11"/>
    </x:row>
    <x:row r="5183" spans="6:6" x14ac:dyDescent="0.25">
      <x:c r="F5183" s="11"/>
    </x:row>
    <x:row r="5184" spans="6:6" x14ac:dyDescent="0.25">
      <x:c r="F5184" s="11"/>
    </x:row>
    <x:row r="5185" spans="6:6" x14ac:dyDescent="0.25">
      <x:c r="F5185" s="11"/>
    </x:row>
    <x:row r="5186" spans="6:6" x14ac:dyDescent="0.25">
      <x:c r="F5186" s="11"/>
    </x:row>
    <x:row r="5187" spans="6:6" x14ac:dyDescent="0.25">
      <x:c r="F5187" s="11"/>
    </x:row>
    <x:row r="5188" spans="6:6" x14ac:dyDescent="0.25">
      <x:c r="F5188" s="11"/>
    </x:row>
    <x:row r="5189" spans="6:6" x14ac:dyDescent="0.25">
      <x:c r="F5189" s="11"/>
    </x:row>
    <x:row r="5190" spans="6:6" x14ac:dyDescent="0.25">
      <x:c r="F5190" s="11"/>
    </x:row>
    <x:row r="5191" spans="6:6" x14ac:dyDescent="0.25">
      <x:c r="F5191" s="11"/>
    </x:row>
    <x:row r="5192" spans="6:6" x14ac:dyDescent="0.25">
      <x:c r="F5192" s="11"/>
    </x:row>
    <x:row r="5193" spans="6:6" x14ac:dyDescent="0.25">
      <x:c r="F5193" s="11"/>
    </x:row>
    <x:row r="5194" spans="6:6" x14ac:dyDescent="0.25">
      <x:c r="F5194" s="11"/>
    </x:row>
    <x:row r="5195" spans="6:6" x14ac:dyDescent="0.25">
      <x:c r="F5195" s="11"/>
    </x:row>
    <x:row r="5196" spans="6:6" x14ac:dyDescent="0.25">
      <x:c r="F5196" s="11"/>
    </x:row>
    <x:row r="5197" spans="6:6" x14ac:dyDescent="0.25">
      <x:c r="F5197" s="11"/>
    </x:row>
    <x:row r="5198" spans="6:6" x14ac:dyDescent="0.25">
      <x:c r="F5198" s="11"/>
    </x:row>
    <x:row r="5199" spans="6:6" x14ac:dyDescent="0.25">
      <x:c r="F5199" s="11"/>
    </x:row>
    <x:row r="5200" spans="6:6" x14ac:dyDescent="0.25">
      <x:c r="F5200" s="11"/>
    </x:row>
    <x:row r="5201" spans="6:6" x14ac:dyDescent="0.25">
      <x:c r="F5201" s="11"/>
    </x:row>
    <x:row r="5202" spans="6:6" x14ac:dyDescent="0.25">
      <x:c r="F5202" s="11"/>
    </x:row>
    <x:row r="5203" spans="6:6" x14ac:dyDescent="0.25">
      <x:c r="F5203" s="11"/>
    </x:row>
    <x:row r="5204" spans="6:6" x14ac:dyDescent="0.25">
      <x:c r="F5204" s="11"/>
    </x:row>
    <x:row r="5205" spans="6:6" x14ac:dyDescent="0.25">
      <x:c r="F5205" s="11"/>
    </x:row>
    <x:row r="5206" spans="6:6" x14ac:dyDescent="0.25">
      <x:c r="F5206" s="11"/>
    </x:row>
    <x:row r="5207" spans="6:6" x14ac:dyDescent="0.25">
      <x:c r="F5207" s="11"/>
    </x:row>
    <x:row r="5208" spans="6:6" x14ac:dyDescent="0.25">
      <x:c r="F5208" s="11"/>
    </x:row>
    <x:row r="5209" spans="6:6" x14ac:dyDescent="0.25">
      <x:c r="F5209" s="11"/>
    </x:row>
    <x:row r="5210" spans="6:6" x14ac:dyDescent="0.25">
      <x:c r="F5210" s="11"/>
    </x:row>
    <x:row r="5211" spans="6:6" x14ac:dyDescent="0.25">
      <x:c r="F5211" s="11"/>
    </x:row>
    <x:row r="5212" spans="6:6" x14ac:dyDescent="0.25">
      <x:c r="F5212" s="11"/>
    </x:row>
    <x:row r="5213" spans="6:6" x14ac:dyDescent="0.25">
      <x:c r="F5213" s="11"/>
    </x:row>
    <x:row r="5214" spans="6:6" x14ac:dyDescent="0.25">
      <x:c r="F5214" s="11"/>
    </x:row>
    <x:row r="5215" spans="6:6" x14ac:dyDescent="0.25">
      <x:c r="F5215" s="11"/>
    </x:row>
    <x:row r="5216" spans="6:6" x14ac:dyDescent="0.25">
      <x:c r="F5216" s="11"/>
    </x:row>
    <x:row r="5217" spans="6:6" x14ac:dyDescent="0.25">
      <x:c r="F5217" s="11"/>
    </x:row>
    <x:row r="5218" spans="6:6" x14ac:dyDescent="0.25">
      <x:c r="F5218" s="11"/>
    </x:row>
    <x:row r="5219" spans="6:6" x14ac:dyDescent="0.25">
      <x:c r="F5219" s="11"/>
    </x:row>
    <x:row r="5220" spans="6:6" x14ac:dyDescent="0.25">
      <x:c r="F5220" s="11"/>
    </x:row>
    <x:row r="5221" spans="6:6" x14ac:dyDescent="0.25">
      <x:c r="F5221" s="11"/>
    </x:row>
    <x:row r="5222" spans="6:6" x14ac:dyDescent="0.25">
      <x:c r="F5222" s="11"/>
    </x:row>
    <x:row r="5223" spans="6:6" x14ac:dyDescent="0.25">
      <x:c r="F5223" s="11"/>
    </x:row>
    <x:row r="5224" spans="6:6" x14ac:dyDescent="0.25">
      <x:c r="F5224" s="11"/>
    </x:row>
    <x:row r="5225" spans="6:6" x14ac:dyDescent="0.25">
      <x:c r="F5225" s="11"/>
    </x:row>
    <x:row r="5226" spans="6:6" x14ac:dyDescent="0.25">
      <x:c r="F5226" s="11"/>
    </x:row>
    <x:row r="5227" spans="6:6" x14ac:dyDescent="0.25">
      <x:c r="F5227" s="11"/>
    </x:row>
    <x:row r="5228" spans="6:6" x14ac:dyDescent="0.25">
      <x:c r="F5228" s="11"/>
    </x:row>
    <x:row r="5229" spans="6:6" x14ac:dyDescent="0.25">
      <x:c r="F5229" s="11"/>
    </x:row>
    <x:row r="5230" spans="6:6" x14ac:dyDescent="0.25">
      <x:c r="F5230" s="11"/>
    </x:row>
    <x:row r="5231" spans="6:6" x14ac:dyDescent="0.25">
      <x:c r="F5231" s="11"/>
    </x:row>
    <x:row r="5232" spans="6:6" x14ac:dyDescent="0.25">
      <x:c r="F5232" s="11"/>
    </x:row>
    <x:row r="5233" spans="6:6" x14ac:dyDescent="0.25">
      <x:c r="F5233" s="11"/>
    </x:row>
    <x:row r="5234" spans="6:6" x14ac:dyDescent="0.25">
      <x:c r="F5234" s="11"/>
    </x:row>
    <x:row r="5235" spans="6:6" x14ac:dyDescent="0.25">
      <x:c r="F5235" s="11"/>
    </x:row>
    <x:row r="5236" spans="6:6" x14ac:dyDescent="0.25">
      <x:c r="F5236" s="11"/>
    </x:row>
    <x:row r="5237" spans="6:6" x14ac:dyDescent="0.25">
      <x:c r="F5237" s="11"/>
    </x:row>
    <x:row r="5238" spans="6:6" x14ac:dyDescent="0.25">
      <x:c r="F5238" s="11"/>
    </x:row>
    <x:row r="5239" spans="6:6" x14ac:dyDescent="0.25">
      <x:c r="F5239" s="11"/>
    </x:row>
    <x:row r="5240" spans="6:6" x14ac:dyDescent="0.25">
      <x:c r="F5240" s="11"/>
    </x:row>
    <x:row r="5241" spans="6:6" x14ac:dyDescent="0.25">
      <x:c r="F5241" s="11"/>
    </x:row>
    <x:row r="5242" spans="6:6" x14ac:dyDescent="0.25">
      <x:c r="F5242" s="11"/>
    </x:row>
    <x:row r="5243" spans="6:6" x14ac:dyDescent="0.25">
      <x:c r="F5243" s="11"/>
    </x:row>
    <x:row r="5244" spans="6:6" x14ac:dyDescent="0.25">
      <x:c r="F5244" s="11"/>
    </x:row>
    <x:row r="5245" spans="6:6" x14ac:dyDescent="0.25">
      <x:c r="F5245" s="11"/>
    </x:row>
    <x:row r="5246" spans="6:6" x14ac:dyDescent="0.25">
      <x:c r="F5246" s="11"/>
    </x:row>
    <x:row r="5247" spans="6:6" x14ac:dyDescent="0.25">
      <x:c r="F5247" s="11"/>
    </x:row>
    <x:row r="5248" spans="6:6" x14ac:dyDescent="0.25">
      <x:c r="F5248" s="11"/>
    </x:row>
    <x:row r="5249" spans="6:6" x14ac:dyDescent="0.25">
      <x:c r="F5249" s="11"/>
    </x:row>
    <x:row r="5250" spans="6:6" x14ac:dyDescent="0.25">
      <x:c r="F5250" s="11"/>
    </x:row>
    <x:row r="5251" spans="6:6" x14ac:dyDescent="0.25">
      <x:c r="F5251" s="11"/>
    </x:row>
    <x:row r="5252" spans="6:6" x14ac:dyDescent="0.25">
      <x:c r="F5252" s="11"/>
    </x:row>
    <x:row r="5253" spans="6:6" x14ac:dyDescent="0.25">
      <x:c r="F5253" s="11"/>
    </x:row>
    <x:row r="5254" spans="6:6" x14ac:dyDescent="0.25">
      <x:c r="F5254" s="11"/>
    </x:row>
    <x:row r="5255" spans="6:6" x14ac:dyDescent="0.25">
      <x:c r="F5255" s="11"/>
    </x:row>
    <x:row r="5256" spans="6:6" x14ac:dyDescent="0.25">
      <x:c r="F5256" s="11"/>
    </x:row>
    <x:row r="5257" spans="6:6" x14ac:dyDescent="0.25">
      <x:c r="F5257" s="11"/>
    </x:row>
    <x:row r="5258" spans="6:6" x14ac:dyDescent="0.25">
      <x:c r="F5258" s="11"/>
    </x:row>
    <x:row r="5259" spans="6:6" x14ac:dyDescent="0.25">
      <x:c r="F5259" s="11"/>
    </x:row>
    <x:row r="5260" spans="6:6" x14ac:dyDescent="0.25">
      <x:c r="F5260" s="11"/>
    </x:row>
    <x:row r="5261" spans="6:6" x14ac:dyDescent="0.25">
      <x:c r="F5261" s="11"/>
    </x:row>
    <x:row r="5262" spans="6:6" x14ac:dyDescent="0.25">
      <x:c r="F5262" s="11"/>
    </x:row>
    <x:row r="5263" spans="6:6" x14ac:dyDescent="0.25">
      <x:c r="F5263" s="11"/>
    </x:row>
    <x:row r="5264" spans="6:6" x14ac:dyDescent="0.25">
      <x:c r="F5264" s="11"/>
    </x:row>
    <x:row r="5265" spans="6:6" x14ac:dyDescent="0.25">
      <x:c r="F5265" s="11"/>
    </x:row>
    <x:row r="5266" spans="6:6" x14ac:dyDescent="0.25">
      <x:c r="F5266" s="11"/>
    </x:row>
    <x:row r="5267" spans="6:6" x14ac:dyDescent="0.25">
      <x:c r="F5267" s="11"/>
    </x:row>
    <x:row r="5268" spans="6:6" x14ac:dyDescent="0.25">
      <x:c r="F5268" s="11"/>
    </x:row>
    <x:row r="5269" spans="6:6" x14ac:dyDescent="0.25">
      <x:c r="F5269" s="11"/>
    </x:row>
    <x:row r="5270" spans="6:6" x14ac:dyDescent="0.25">
      <x:c r="F5270" s="11"/>
    </x:row>
    <x:row r="5271" spans="6:6" x14ac:dyDescent="0.25">
      <x:c r="F5271" s="11"/>
    </x:row>
    <x:row r="5272" spans="6:6" x14ac:dyDescent="0.25">
      <x:c r="F5272" s="11"/>
    </x:row>
    <x:row r="5273" spans="6:6" x14ac:dyDescent="0.25">
      <x:c r="F5273" s="11"/>
    </x:row>
    <x:row r="5274" spans="6:6" x14ac:dyDescent="0.25">
      <x:c r="F5274" s="11"/>
    </x:row>
    <x:row r="5275" spans="6:6" x14ac:dyDescent="0.25">
      <x:c r="F5275" s="11"/>
    </x:row>
    <x:row r="5276" spans="6:6" x14ac:dyDescent="0.25">
      <x:c r="F5276" s="11"/>
    </x:row>
    <x:row r="5277" spans="6:6" x14ac:dyDescent="0.25">
      <x:c r="F5277" s="11"/>
    </x:row>
    <x:row r="5278" spans="6:6" x14ac:dyDescent="0.25">
      <x:c r="F5278" s="11"/>
    </x:row>
    <x:row r="5279" spans="6:6" x14ac:dyDescent="0.25">
      <x:c r="F5279" s="11"/>
    </x:row>
    <x:row r="5280" spans="6:6" x14ac:dyDescent="0.25">
      <x:c r="F5280" s="11"/>
    </x:row>
    <x:row r="5281" spans="6:6" x14ac:dyDescent="0.25">
      <x:c r="F5281" s="11"/>
    </x:row>
    <x:row r="5282" spans="6:6" x14ac:dyDescent="0.25">
      <x:c r="F5282" s="11"/>
    </x:row>
    <x:row r="5283" spans="6:6" x14ac:dyDescent="0.25">
      <x:c r="F5283" s="11"/>
    </x:row>
    <x:row r="5284" spans="6:6" x14ac:dyDescent="0.25">
      <x:c r="F5284" s="11"/>
    </x:row>
    <x:row r="5285" spans="6:6" x14ac:dyDescent="0.25">
      <x:c r="F5285" s="11"/>
    </x:row>
    <x:row r="5286" spans="6:6" x14ac:dyDescent="0.25">
      <x:c r="F5286" s="11"/>
    </x:row>
    <x:row r="5287" spans="6:6" x14ac:dyDescent="0.25">
      <x:c r="F5287" s="11"/>
    </x:row>
    <x:row r="5288" spans="6:6" x14ac:dyDescent="0.25">
      <x:c r="F5288" s="11"/>
    </x:row>
    <x:row r="5289" spans="6:6" x14ac:dyDescent="0.25">
      <x:c r="F5289" s="11"/>
    </x:row>
    <x:row r="5290" spans="6:6" x14ac:dyDescent="0.25">
      <x:c r="F5290" s="11"/>
    </x:row>
    <x:row r="5291" spans="6:6" x14ac:dyDescent="0.25">
      <x:c r="F5291" s="11"/>
    </x:row>
    <x:row r="5292" spans="6:6" x14ac:dyDescent="0.25">
      <x:c r="F5292" s="11"/>
    </x:row>
    <x:row r="5293" spans="6:6" x14ac:dyDescent="0.25">
      <x:c r="F5293" s="11"/>
    </x:row>
    <x:row r="5294" spans="6:6" x14ac:dyDescent="0.25">
      <x:c r="F5294" s="11"/>
    </x:row>
    <x:row r="5295" spans="6:6" x14ac:dyDescent="0.25">
      <x:c r="F5295" s="11"/>
    </x:row>
    <x:row r="5296" spans="6:6" x14ac:dyDescent="0.25">
      <x:c r="F5296" s="11"/>
    </x:row>
    <x:row r="5297" spans="6:6" x14ac:dyDescent="0.25">
      <x:c r="F5297" s="11"/>
    </x:row>
    <x:row r="5298" spans="6:6" x14ac:dyDescent="0.25">
      <x:c r="F5298" s="11"/>
    </x:row>
    <x:row r="5299" spans="6:6" x14ac:dyDescent="0.25">
      <x:c r="F5299" s="11"/>
    </x:row>
    <x:row r="5300" spans="6:6" x14ac:dyDescent="0.25">
      <x:c r="F5300" s="11"/>
    </x:row>
    <x:row r="5301" spans="6:6" x14ac:dyDescent="0.25">
      <x:c r="F5301" s="11"/>
    </x:row>
    <x:row r="5302" spans="6:6" x14ac:dyDescent="0.25">
      <x:c r="F5302" s="11"/>
    </x:row>
    <x:row r="5303" spans="6:6" x14ac:dyDescent="0.25">
      <x:c r="F5303" s="11"/>
    </x:row>
    <x:row r="5304" spans="6:6" x14ac:dyDescent="0.25">
      <x:c r="F5304" s="11"/>
    </x:row>
    <x:row r="5305" spans="6:6" x14ac:dyDescent="0.25">
      <x:c r="F5305" s="11"/>
    </x:row>
    <x:row r="5306" spans="6:6" x14ac:dyDescent="0.25">
      <x:c r="F5306" s="11"/>
    </x:row>
    <x:row r="5307" spans="6:6" x14ac:dyDescent="0.25">
      <x:c r="F5307" s="11"/>
    </x:row>
    <x:row r="5308" spans="6:6" x14ac:dyDescent="0.25">
      <x:c r="F5308" s="11"/>
    </x:row>
    <x:row r="5309" spans="6:6" x14ac:dyDescent="0.25">
      <x:c r="F5309" s="11"/>
    </x:row>
    <x:row r="5310" spans="6:6" x14ac:dyDescent="0.25">
      <x:c r="F5310" s="11"/>
    </x:row>
    <x:row r="5311" spans="6:6" x14ac:dyDescent="0.25">
      <x:c r="F5311" s="11"/>
    </x:row>
    <x:row r="5312" spans="6:6" x14ac:dyDescent="0.25">
      <x:c r="F5312" s="11"/>
    </x:row>
    <x:row r="5313" spans="6:6" x14ac:dyDescent="0.25">
      <x:c r="F5313" s="11"/>
    </x:row>
    <x:row r="5314" spans="6:6" x14ac:dyDescent="0.25">
      <x:c r="F5314" s="11"/>
    </x:row>
    <x:row r="5315" spans="6:6" x14ac:dyDescent="0.25">
      <x:c r="F5315" s="11"/>
    </x:row>
    <x:row r="5316" spans="6:6" x14ac:dyDescent="0.25">
      <x:c r="F5316" s="11"/>
    </x:row>
    <x:row r="5317" spans="6:6" x14ac:dyDescent="0.25">
      <x:c r="F5317" s="11"/>
    </x:row>
    <x:row r="5318" spans="6:6" x14ac:dyDescent="0.25">
      <x:c r="F5318" s="11"/>
    </x:row>
    <x:row r="5319" spans="6:6" x14ac:dyDescent="0.25">
      <x:c r="F5319" s="11"/>
    </x:row>
    <x:row r="5320" spans="6:6" x14ac:dyDescent="0.25">
      <x:c r="F5320" s="11"/>
    </x:row>
    <x:row r="5321" spans="6:6" x14ac:dyDescent="0.25">
      <x:c r="F5321" s="11"/>
    </x:row>
    <x:row r="5322" spans="6:6" x14ac:dyDescent="0.25">
      <x:c r="F5322" s="11"/>
    </x:row>
    <x:row r="5323" spans="6:6" x14ac:dyDescent="0.25">
      <x:c r="F5323" s="11"/>
    </x:row>
    <x:row r="5324" spans="6:6" x14ac:dyDescent="0.25">
      <x:c r="F5324" s="11"/>
    </x:row>
    <x:row r="5325" spans="6:6" x14ac:dyDescent="0.25">
      <x:c r="F5325" s="11"/>
    </x:row>
    <x:row r="5326" spans="6:6" x14ac:dyDescent="0.25">
      <x:c r="F5326" s="11"/>
    </x:row>
    <x:row r="5327" spans="6:6" x14ac:dyDescent="0.25">
      <x:c r="F5327" s="11"/>
    </x:row>
    <x:row r="5328" spans="6:6" x14ac:dyDescent="0.25">
      <x:c r="F5328" s="11"/>
    </x:row>
    <x:row r="5329" spans="6:6" x14ac:dyDescent="0.25">
      <x:c r="F5329" s="11"/>
    </x:row>
    <x:row r="5330" spans="6:6" x14ac:dyDescent="0.25">
      <x:c r="F5330" s="11"/>
    </x:row>
    <x:row r="5331" spans="6:6" x14ac:dyDescent="0.25">
      <x:c r="F5331" s="11"/>
    </x:row>
    <x:row r="5332" spans="6:6" x14ac:dyDescent="0.25">
      <x:c r="F5332" s="11"/>
    </x:row>
    <x:row r="5333" spans="6:6" x14ac:dyDescent="0.25">
      <x:c r="F5333" s="11"/>
    </x:row>
    <x:row r="5334" spans="6:6" x14ac:dyDescent="0.25">
      <x:c r="F5334" s="11"/>
    </x:row>
    <x:row r="5335" spans="6:6" x14ac:dyDescent="0.25">
      <x:c r="F5335" s="11"/>
    </x:row>
    <x:row r="5336" spans="6:6" x14ac:dyDescent="0.25">
      <x:c r="F5336" s="11"/>
    </x:row>
    <x:row r="5337" spans="6:6" x14ac:dyDescent="0.25">
      <x:c r="F5337" s="11"/>
    </x:row>
    <x:row r="5338" spans="6:6" x14ac:dyDescent="0.25">
      <x:c r="F5338" s="11"/>
    </x:row>
    <x:row r="5339" spans="6:6" x14ac:dyDescent="0.25">
      <x:c r="F5339" s="11"/>
    </x:row>
    <x:row r="5340" spans="6:6" x14ac:dyDescent="0.25">
      <x:c r="F5340" s="11"/>
    </x:row>
    <x:row r="5341" spans="6:6" x14ac:dyDescent="0.25">
      <x:c r="F5341" s="11"/>
    </x:row>
    <x:row r="5342" spans="6:6" x14ac:dyDescent="0.25">
      <x:c r="F5342" s="11"/>
    </x:row>
    <x:row r="5343" spans="6:6" x14ac:dyDescent="0.25">
      <x:c r="F5343" s="11"/>
    </x:row>
    <x:row r="5344" spans="6:6" x14ac:dyDescent="0.25">
      <x:c r="F5344" s="11"/>
    </x:row>
    <x:row r="5345" spans="6:6" x14ac:dyDescent="0.25">
      <x:c r="F5345" s="11"/>
    </x:row>
    <x:row r="5346" spans="6:6" x14ac:dyDescent="0.25">
      <x:c r="F5346" s="11"/>
    </x:row>
    <x:row r="5347" spans="6:6" x14ac:dyDescent="0.25">
      <x:c r="F5347" s="11"/>
    </x:row>
    <x:row r="5348" spans="6:6" x14ac:dyDescent="0.25">
      <x:c r="F5348" s="11"/>
    </x:row>
    <x:row r="5349" spans="6:6" x14ac:dyDescent="0.25">
      <x:c r="F5349" s="11"/>
    </x:row>
    <x:row r="5350" spans="6:6" x14ac:dyDescent="0.25">
      <x:c r="F5350" s="11"/>
    </x:row>
    <x:row r="5351" spans="6:6" x14ac:dyDescent="0.25">
      <x:c r="F5351" s="11"/>
    </x:row>
    <x:row r="5352" spans="6:6" x14ac:dyDescent="0.25">
      <x:c r="F5352" s="11"/>
    </x:row>
    <x:row r="5353" spans="6:6" x14ac:dyDescent="0.25">
      <x:c r="F5353" s="11"/>
    </x:row>
    <x:row r="5354" spans="6:6" x14ac:dyDescent="0.25">
      <x:c r="F5354" s="11"/>
    </x:row>
    <x:row r="5355" spans="6:6" x14ac:dyDescent="0.25">
      <x:c r="F5355" s="11"/>
    </x:row>
    <x:row r="5356" spans="6:6" x14ac:dyDescent="0.25">
      <x:c r="F5356" s="11"/>
    </x:row>
    <x:row r="5357" spans="6:6" x14ac:dyDescent="0.25">
      <x:c r="F5357" s="11"/>
    </x:row>
    <x:row r="5358" spans="6:6" x14ac:dyDescent="0.25">
      <x:c r="F5358" s="11"/>
    </x:row>
    <x:row r="5359" spans="6:6" x14ac:dyDescent="0.25">
      <x:c r="F5359" s="11"/>
    </x:row>
    <x:row r="5360" spans="6:6" x14ac:dyDescent="0.25">
      <x:c r="F5360" s="11"/>
    </x:row>
    <x:row r="5361" spans="6:6" x14ac:dyDescent="0.25">
      <x:c r="F5361" s="11"/>
    </x:row>
    <x:row r="5362" spans="6:6" x14ac:dyDescent="0.25">
      <x:c r="F5362" s="11"/>
    </x:row>
    <x:row r="5363" spans="6:6" x14ac:dyDescent="0.25">
      <x:c r="F5363" s="11"/>
    </x:row>
    <x:row r="5364" spans="6:6" x14ac:dyDescent="0.25">
      <x:c r="F5364" s="11"/>
    </x:row>
    <x:row r="5365" spans="6:6" x14ac:dyDescent="0.25">
      <x:c r="F5365" s="11"/>
    </x:row>
    <x:row r="5366" spans="6:6" x14ac:dyDescent="0.25">
      <x:c r="F5366" s="11"/>
    </x:row>
    <x:row r="5367" spans="6:6" x14ac:dyDescent="0.25">
      <x:c r="F5367" s="11"/>
    </x:row>
    <x:row r="5368" spans="6:6" x14ac:dyDescent="0.25">
      <x:c r="F5368" s="11"/>
    </x:row>
    <x:row r="5369" spans="6:6" x14ac:dyDescent="0.25">
      <x:c r="F5369" s="11"/>
    </x:row>
    <x:row r="5370" spans="6:6" x14ac:dyDescent="0.25">
      <x:c r="F5370" s="11"/>
    </x:row>
    <x:row r="5371" spans="6:6" x14ac:dyDescent="0.25">
      <x:c r="F5371" s="11"/>
    </x:row>
    <x:row r="5372" spans="6:6" x14ac:dyDescent="0.25">
      <x:c r="F5372" s="11"/>
    </x:row>
    <x:row r="5373" spans="6:6" x14ac:dyDescent="0.25">
      <x:c r="F5373" s="11"/>
    </x:row>
    <x:row r="5374" spans="6:6" x14ac:dyDescent="0.25">
      <x:c r="F5374" s="11"/>
    </x:row>
    <x:row r="5375" spans="6:6" x14ac:dyDescent="0.25">
      <x:c r="F5375" s="11"/>
    </x:row>
    <x:row r="5376" spans="6:6" x14ac:dyDescent="0.25">
      <x:c r="F5376" s="11"/>
    </x:row>
    <x:row r="5377" spans="6:6" x14ac:dyDescent="0.25">
      <x:c r="F5377" s="11"/>
    </x:row>
    <x:row r="5378" spans="6:6" x14ac:dyDescent="0.25">
      <x:c r="F5378" s="11"/>
    </x:row>
    <x:row r="5379" spans="6:6" x14ac:dyDescent="0.25">
      <x:c r="F5379" s="11"/>
    </x:row>
    <x:row r="5380" spans="6:6" x14ac:dyDescent="0.25">
      <x:c r="F5380" s="11"/>
    </x:row>
    <x:row r="5381" spans="6:6" x14ac:dyDescent="0.25">
      <x:c r="F5381" s="11"/>
    </x:row>
    <x:row r="5382" spans="6:6" x14ac:dyDescent="0.25">
      <x:c r="F5382" s="11"/>
    </x:row>
    <x:row r="5383" spans="6:6" x14ac:dyDescent="0.25">
      <x:c r="F5383" s="11"/>
    </x:row>
    <x:row r="5384" spans="6:6" x14ac:dyDescent="0.25">
      <x:c r="F5384" s="11"/>
    </x:row>
    <x:row r="5385" spans="6:6" x14ac:dyDescent="0.25">
      <x:c r="F5385" s="11"/>
    </x:row>
    <x:row r="5386" spans="6:6" x14ac:dyDescent="0.25">
      <x:c r="F5386" s="11"/>
    </x:row>
    <x:row r="5387" spans="6:6" x14ac:dyDescent="0.25">
      <x:c r="F5387" s="11"/>
    </x:row>
    <x:row r="5388" spans="6:6" x14ac:dyDescent="0.25">
      <x:c r="F5388" s="11"/>
    </x:row>
    <x:row r="5389" spans="6:6" x14ac:dyDescent="0.25">
      <x:c r="F5389" s="11"/>
    </x:row>
    <x:row r="5390" spans="6:6" x14ac:dyDescent="0.25">
      <x:c r="F5390" s="11"/>
    </x:row>
    <x:row r="5391" spans="6:6" x14ac:dyDescent="0.25">
      <x:c r="F5391" s="11"/>
    </x:row>
    <x:row r="5392" spans="6:6" x14ac:dyDescent="0.25">
      <x:c r="F5392" s="11"/>
    </x:row>
    <x:row r="5393" spans="6:6" x14ac:dyDescent="0.25">
      <x:c r="F5393" s="11"/>
    </x:row>
    <x:row r="5394" spans="6:6" x14ac:dyDescent="0.25">
      <x:c r="F5394" s="11"/>
    </x:row>
    <x:row r="5395" spans="6:6" x14ac:dyDescent="0.25">
      <x:c r="F5395" s="11"/>
    </x:row>
    <x:row r="5396" spans="6:6" x14ac:dyDescent="0.25">
      <x:c r="F5396" s="11"/>
    </x:row>
    <x:row r="5397" spans="6:6" x14ac:dyDescent="0.25">
      <x:c r="F5397" s="11"/>
    </x:row>
    <x:row r="5398" spans="6:6" x14ac:dyDescent="0.25">
      <x:c r="F5398" s="11"/>
    </x:row>
    <x:row r="5399" spans="6:6" x14ac:dyDescent="0.25">
      <x:c r="F5399" s="11"/>
    </x:row>
    <x:row r="5400" spans="6:6" x14ac:dyDescent="0.25">
      <x:c r="F5400" s="11"/>
    </x:row>
    <x:row r="5401" spans="6:6" x14ac:dyDescent="0.25">
      <x:c r="F5401" s="11"/>
    </x:row>
    <x:row r="5402" spans="6:6" x14ac:dyDescent="0.25">
      <x:c r="F5402" s="11"/>
    </x:row>
    <x:row r="5403" spans="6:6" x14ac:dyDescent="0.25">
      <x:c r="F5403" s="11"/>
    </x:row>
    <x:row r="5404" spans="6:6" x14ac:dyDescent="0.25">
      <x:c r="F5404" s="11"/>
    </x:row>
    <x:row r="5405" spans="6:6" x14ac:dyDescent="0.25">
      <x:c r="F5405" s="11"/>
    </x:row>
    <x:row r="5406" spans="6:6" x14ac:dyDescent="0.25">
      <x:c r="F5406" s="11"/>
    </x:row>
    <x:row r="5407" spans="6:6" x14ac:dyDescent="0.25">
      <x:c r="F5407" s="11"/>
    </x:row>
    <x:row r="5408" spans="6:6" x14ac:dyDescent="0.25">
      <x:c r="F5408" s="11"/>
    </x:row>
    <x:row r="5409" spans="6:6" x14ac:dyDescent="0.25">
      <x:c r="F5409" s="11"/>
    </x:row>
    <x:row r="5410" spans="6:6" x14ac:dyDescent="0.25">
      <x:c r="F5410" s="11"/>
    </x:row>
    <x:row r="5411" spans="6:6" x14ac:dyDescent="0.25">
      <x:c r="F5411" s="11"/>
    </x:row>
    <x:row r="5412" spans="6:6" x14ac:dyDescent="0.25">
      <x:c r="F5412" s="11"/>
    </x:row>
    <x:row r="5413" spans="6:6" x14ac:dyDescent="0.25">
      <x:c r="F5413" s="11"/>
    </x:row>
    <x:row r="5414" spans="6:6" x14ac:dyDescent="0.25">
      <x:c r="F5414" s="11"/>
    </x:row>
    <x:row r="5415" spans="6:6" x14ac:dyDescent="0.25">
      <x:c r="F5415" s="11"/>
    </x:row>
    <x:row r="5416" spans="6:6" x14ac:dyDescent="0.25">
      <x:c r="F5416" s="11"/>
    </x:row>
    <x:row r="5417" spans="6:6" x14ac:dyDescent="0.25">
      <x:c r="F5417" s="11"/>
    </x:row>
    <x:row r="5418" spans="6:6" x14ac:dyDescent="0.25">
      <x:c r="F5418" s="11"/>
    </x:row>
    <x:row r="5419" spans="6:6" x14ac:dyDescent="0.25">
      <x:c r="F5419" s="11"/>
    </x:row>
    <x:row r="5420" spans="6:6" x14ac:dyDescent="0.25">
      <x:c r="F5420" s="11"/>
    </x:row>
    <x:row r="5421" spans="6:6" x14ac:dyDescent="0.25">
      <x:c r="F5421" s="11"/>
    </x:row>
    <x:row r="5422" spans="6:6" x14ac:dyDescent="0.25">
      <x:c r="F5422" s="11"/>
    </x:row>
    <x:row r="5423" spans="6:6" x14ac:dyDescent="0.25">
      <x:c r="F5423" s="11"/>
    </x:row>
    <x:row r="5424" spans="6:6" x14ac:dyDescent="0.25">
      <x:c r="F5424" s="11"/>
    </x:row>
    <x:row r="5425" spans="6:6" x14ac:dyDescent="0.25">
      <x:c r="F5425" s="11"/>
    </x:row>
    <x:row r="5426" spans="6:6" x14ac:dyDescent="0.25">
      <x:c r="F5426" s="11"/>
    </x:row>
    <x:row r="5427" spans="6:6" x14ac:dyDescent="0.25">
      <x:c r="F5427" s="11"/>
    </x:row>
    <x:row r="5428" spans="6:6" x14ac:dyDescent="0.25">
      <x:c r="F5428" s="11"/>
    </x:row>
    <x:row r="5429" spans="6:6" x14ac:dyDescent="0.25">
      <x:c r="F5429" s="11"/>
    </x:row>
    <x:row r="5430" spans="6:6" x14ac:dyDescent="0.25">
      <x:c r="F5430" s="11"/>
    </x:row>
    <x:row r="5431" spans="6:6" x14ac:dyDescent="0.25">
      <x:c r="F5431" s="11"/>
    </x:row>
    <x:row r="5432" spans="6:6" x14ac:dyDescent="0.25">
      <x:c r="F5432" s="11"/>
    </x:row>
    <x:row r="5433" spans="6:6" x14ac:dyDescent="0.25">
      <x:c r="F5433" s="11"/>
    </x:row>
    <x:row r="5434" spans="6:6" x14ac:dyDescent="0.25">
      <x:c r="F5434" s="11"/>
    </x:row>
    <x:row r="5435" spans="6:6" x14ac:dyDescent="0.25">
      <x:c r="F5435" s="11"/>
    </x:row>
    <x:row r="5436" spans="6:6" x14ac:dyDescent="0.25">
      <x:c r="F5436" s="11"/>
    </x:row>
    <x:row r="5437" spans="6:6" x14ac:dyDescent="0.25">
      <x:c r="F5437" s="11"/>
    </x:row>
    <x:row r="5438" spans="6:6" x14ac:dyDescent="0.25">
      <x:c r="F5438" s="11"/>
    </x:row>
    <x:row r="5439" spans="6:6" x14ac:dyDescent="0.25">
      <x:c r="F5439" s="11"/>
    </x:row>
    <x:row r="5440" spans="6:6" x14ac:dyDescent="0.25">
      <x:c r="F5440" s="11"/>
    </x:row>
    <x:row r="5441" spans="6:6" x14ac:dyDescent="0.25">
      <x:c r="F5441" s="11"/>
    </x:row>
    <x:row r="5442" spans="6:6" x14ac:dyDescent="0.25">
      <x:c r="F5442" s="11"/>
    </x:row>
    <x:row r="5443" spans="6:6" x14ac:dyDescent="0.25">
      <x:c r="F5443" s="11"/>
    </x:row>
    <x:row r="5444" spans="6:6" x14ac:dyDescent="0.25">
      <x:c r="F5444" s="11"/>
    </x:row>
    <x:row r="5445" spans="6:6" x14ac:dyDescent="0.25">
      <x:c r="F5445" s="11"/>
    </x:row>
    <x:row r="5446" spans="6:6" x14ac:dyDescent="0.25">
      <x:c r="F5446" s="11"/>
    </x:row>
    <x:row r="5447" spans="6:6" x14ac:dyDescent="0.25">
      <x:c r="F5447" s="11"/>
    </x:row>
    <x:row r="5448" spans="6:6" x14ac:dyDescent="0.25">
      <x:c r="F5448" s="11"/>
    </x:row>
    <x:row r="5449" spans="6:6" x14ac:dyDescent="0.25">
      <x:c r="F5449" s="11"/>
    </x:row>
    <x:row r="5450" spans="6:6" x14ac:dyDescent="0.25">
      <x:c r="F5450" s="11"/>
    </x:row>
    <x:row r="5451" spans="6:6" x14ac:dyDescent="0.25">
      <x:c r="F5451" s="11"/>
    </x:row>
    <x:row r="5452" spans="6:6" x14ac:dyDescent="0.25">
      <x:c r="F5452" s="11"/>
    </x:row>
    <x:row r="5453" spans="6:6" x14ac:dyDescent="0.25">
      <x:c r="F5453" s="11"/>
    </x:row>
    <x:row r="5454" spans="6:6" x14ac:dyDescent="0.25">
      <x:c r="F5454" s="11"/>
    </x:row>
    <x:row r="5455" spans="6:6" x14ac:dyDescent="0.25">
      <x:c r="F5455" s="11"/>
    </x:row>
    <x:row r="5456" spans="6:6" x14ac:dyDescent="0.25">
      <x:c r="F5456" s="11"/>
    </x:row>
    <x:row r="5457" spans="6:6" x14ac:dyDescent="0.25">
      <x:c r="F5457" s="11"/>
    </x:row>
    <x:row r="5458" spans="6:6" x14ac:dyDescent="0.25">
      <x:c r="F5458" s="11"/>
    </x:row>
    <x:row r="5459" spans="6:6" x14ac:dyDescent="0.25">
      <x:c r="F5459" s="11"/>
    </x:row>
    <x:row r="5460" spans="6:6" x14ac:dyDescent="0.25">
      <x:c r="F5460" s="11"/>
    </x:row>
    <x:row r="5461" spans="6:6" x14ac:dyDescent="0.25">
      <x:c r="F5461" s="11"/>
    </x:row>
    <x:row r="5462" spans="6:6" x14ac:dyDescent="0.25">
      <x:c r="F5462" s="11"/>
    </x:row>
    <x:row r="5463" spans="6:6" x14ac:dyDescent="0.25">
      <x:c r="F5463" s="11"/>
    </x:row>
    <x:row r="5464" spans="6:6" x14ac:dyDescent="0.25">
      <x:c r="F5464" s="11"/>
    </x:row>
    <x:row r="5465" spans="6:6" x14ac:dyDescent="0.25">
      <x:c r="F5465" s="11"/>
    </x:row>
    <x:row r="5466" spans="6:6" x14ac:dyDescent="0.25">
      <x:c r="F5466" s="11"/>
    </x:row>
    <x:row r="5467" spans="6:6" x14ac:dyDescent="0.25">
      <x:c r="F5467" s="11"/>
    </x:row>
    <x:row r="5468" spans="6:6" x14ac:dyDescent="0.25">
      <x:c r="F5468" s="11"/>
    </x:row>
    <x:row r="5469" spans="6:6" x14ac:dyDescent="0.25">
      <x:c r="F5469" s="11"/>
    </x:row>
    <x:row r="5470" spans="6:6" x14ac:dyDescent="0.25">
      <x:c r="F5470" s="11"/>
    </x:row>
    <x:row r="5471" spans="6:6" x14ac:dyDescent="0.25">
      <x:c r="F5471" s="11"/>
    </x:row>
    <x:row r="5472" spans="6:6" x14ac:dyDescent="0.25">
      <x:c r="F5472" s="11"/>
    </x:row>
    <x:row r="5473" spans="6:6" x14ac:dyDescent="0.25">
      <x:c r="F5473" s="11"/>
    </x:row>
    <x:row r="5474" spans="6:6" x14ac:dyDescent="0.25">
      <x:c r="F5474" s="11"/>
    </x:row>
    <x:row r="5475" spans="6:6" x14ac:dyDescent="0.25">
      <x:c r="F5475" s="11"/>
    </x:row>
    <x:row r="5476" spans="6:6" x14ac:dyDescent="0.25">
      <x:c r="F5476" s="11"/>
    </x:row>
    <x:row r="5477" spans="6:6" x14ac:dyDescent="0.25">
      <x:c r="F5477" s="11"/>
    </x:row>
    <x:row r="5478" spans="6:6" x14ac:dyDescent="0.25">
      <x:c r="F5478" s="11"/>
    </x:row>
    <x:row r="5479" spans="6:6" x14ac:dyDescent="0.25">
      <x:c r="F5479" s="11"/>
    </x:row>
    <x:row r="5480" spans="6:6" x14ac:dyDescent="0.25">
      <x:c r="F5480" s="11"/>
    </x:row>
    <x:row r="5481" spans="6:6" x14ac:dyDescent="0.25">
      <x:c r="F5481" s="11"/>
    </x:row>
    <x:row r="5482" spans="6:6" x14ac:dyDescent="0.25">
      <x:c r="F5482" s="11"/>
    </x:row>
    <x:row r="5483" spans="6:6" x14ac:dyDescent="0.25">
      <x:c r="F5483" s="11"/>
    </x:row>
    <x:row r="5484" spans="6:6" x14ac:dyDescent="0.25">
      <x:c r="F5484" s="11"/>
    </x:row>
    <x:row r="5485" spans="6:6" x14ac:dyDescent="0.25">
      <x:c r="F5485" s="11"/>
    </x:row>
    <x:row r="5486" spans="6:6" x14ac:dyDescent="0.25">
      <x:c r="F5486" s="11"/>
    </x:row>
    <x:row r="5487" spans="6:6" x14ac:dyDescent="0.25">
      <x:c r="F5487" s="11"/>
    </x:row>
    <x:row r="5488" spans="6:6" x14ac:dyDescent="0.25">
      <x:c r="F5488" s="11"/>
    </x:row>
    <x:row r="5489" spans="6:6" x14ac:dyDescent="0.25">
      <x:c r="F5489" s="11"/>
    </x:row>
    <x:row r="5490" spans="6:6" x14ac:dyDescent="0.25">
      <x:c r="F5490" s="11"/>
    </x:row>
    <x:row r="5491" spans="6:6" x14ac:dyDescent="0.25">
      <x:c r="F5491" s="11"/>
    </x:row>
    <x:row r="5492" spans="6:6" x14ac:dyDescent="0.25">
      <x:c r="F5492" s="11"/>
    </x:row>
    <x:row r="5493" spans="6:6" x14ac:dyDescent="0.25">
      <x:c r="F5493" s="11"/>
    </x:row>
    <x:row r="5494" spans="6:6" x14ac:dyDescent="0.25">
      <x:c r="F5494" s="11"/>
    </x:row>
    <x:row r="5495" spans="6:6" x14ac:dyDescent="0.25">
      <x:c r="F5495" s="11"/>
    </x:row>
    <x:row r="5496" spans="6:6" x14ac:dyDescent="0.25">
      <x:c r="F5496" s="11"/>
    </x:row>
    <x:row r="5497" spans="6:6" x14ac:dyDescent="0.25">
      <x:c r="F5497" s="11"/>
    </x:row>
    <x:row r="5498" spans="6:6" x14ac:dyDescent="0.25">
      <x:c r="F5498" s="11"/>
    </x:row>
    <x:row r="5499" spans="6:6" x14ac:dyDescent="0.25">
      <x:c r="F5499" s="11"/>
    </x:row>
    <x:row r="5500" spans="6:6" x14ac:dyDescent="0.25">
      <x:c r="F5500" s="11"/>
    </x:row>
    <x:row r="5501" spans="6:6" x14ac:dyDescent="0.25">
      <x:c r="F5501" s="11"/>
    </x:row>
    <x:row r="5502" spans="6:6" x14ac:dyDescent="0.25">
      <x:c r="F5502" s="11"/>
    </x:row>
    <x:row r="5503" spans="6:6" x14ac:dyDescent="0.25">
      <x:c r="F5503" s="11"/>
    </x:row>
    <x:row r="5504" spans="6:6" x14ac:dyDescent="0.25">
      <x:c r="F5504" s="11"/>
    </x:row>
    <x:row r="5505" spans="6:6" x14ac:dyDescent="0.25">
      <x:c r="F5505" s="11"/>
    </x:row>
    <x:row r="5506" spans="6:6" x14ac:dyDescent="0.25">
      <x:c r="F5506" s="11"/>
    </x:row>
    <x:row r="5507" spans="6:6" x14ac:dyDescent="0.25">
      <x:c r="F5507" s="11"/>
    </x:row>
    <x:row r="5508" spans="6:6" x14ac:dyDescent="0.25">
      <x:c r="F5508" s="11"/>
    </x:row>
    <x:row r="5509" spans="6:6" x14ac:dyDescent="0.25">
      <x:c r="F5509" s="11"/>
    </x:row>
    <x:row r="5510" spans="6:6" x14ac:dyDescent="0.25">
      <x:c r="F5510" s="11"/>
    </x:row>
    <x:row r="5511" spans="6:6" x14ac:dyDescent="0.25">
      <x:c r="F5511" s="11"/>
    </x:row>
    <x:row r="5512" spans="6:6" x14ac:dyDescent="0.25">
      <x:c r="F5512" s="11"/>
    </x:row>
    <x:row r="5513" spans="6:6" x14ac:dyDescent="0.25">
      <x:c r="F5513" s="11"/>
    </x:row>
    <x:row r="5514" spans="6:6" x14ac:dyDescent="0.25">
      <x:c r="F5514" s="11"/>
    </x:row>
    <x:row r="5515" spans="6:6" x14ac:dyDescent="0.25">
      <x:c r="F5515" s="11"/>
    </x:row>
    <x:row r="5516" spans="6:6" x14ac:dyDescent="0.25">
      <x:c r="F5516" s="11"/>
    </x:row>
    <x:row r="5517" spans="6:6" x14ac:dyDescent="0.25">
      <x:c r="F5517" s="11"/>
    </x:row>
    <x:row r="5518" spans="6:6" x14ac:dyDescent="0.25">
      <x:c r="F5518" s="11"/>
    </x:row>
    <x:row r="5519" spans="6:6" x14ac:dyDescent="0.25">
      <x:c r="F5519" s="11"/>
    </x:row>
    <x:row r="5520" spans="6:6" x14ac:dyDescent="0.25">
      <x:c r="F5520" s="11"/>
    </x:row>
    <x:row r="5521" spans="6:6" x14ac:dyDescent="0.25">
      <x:c r="F5521" s="11"/>
    </x:row>
    <x:row r="5522" spans="6:6" x14ac:dyDescent="0.25">
      <x:c r="F5522" s="11"/>
    </x:row>
    <x:row r="5523" spans="6:6" x14ac:dyDescent="0.25">
      <x:c r="F5523" s="11"/>
    </x:row>
    <x:row r="5524" spans="6:6" x14ac:dyDescent="0.25">
      <x:c r="F5524" s="11"/>
    </x:row>
    <x:row r="5525" spans="6:6" x14ac:dyDescent="0.25">
      <x:c r="F5525" s="11"/>
    </x:row>
    <x:row r="5526" spans="6:6" x14ac:dyDescent="0.25">
      <x:c r="F5526" s="11"/>
    </x:row>
    <x:row r="5527" spans="6:6" x14ac:dyDescent="0.25">
      <x:c r="F5527" s="11"/>
    </x:row>
    <x:row r="5528" spans="6:6" x14ac:dyDescent="0.25">
      <x:c r="F5528" s="11"/>
    </x:row>
    <x:row r="5529" spans="6:6" x14ac:dyDescent="0.25">
      <x:c r="F5529" s="11"/>
    </x:row>
    <x:row r="5530" spans="6:6" x14ac:dyDescent="0.25">
      <x:c r="F5530" s="11"/>
    </x:row>
    <x:row r="5531" spans="6:6" x14ac:dyDescent="0.25">
      <x:c r="F5531" s="11"/>
    </x:row>
    <x:row r="5532" spans="6:6" x14ac:dyDescent="0.25">
      <x:c r="F5532" s="11"/>
    </x:row>
    <x:row r="5533" spans="6:6" x14ac:dyDescent="0.25">
      <x:c r="F5533" s="11"/>
    </x:row>
    <x:row r="5534" spans="6:6" x14ac:dyDescent="0.25">
      <x:c r="F5534" s="11"/>
    </x:row>
    <x:row r="5535" spans="6:6" x14ac:dyDescent="0.25">
      <x:c r="F5535" s="11"/>
    </x:row>
    <x:row r="5536" spans="6:6" x14ac:dyDescent="0.25">
      <x:c r="F5536" s="11"/>
    </x:row>
    <x:row r="5537" spans="6:6" x14ac:dyDescent="0.25">
      <x:c r="F5537" s="11"/>
    </x:row>
    <x:row r="5538" spans="6:6" x14ac:dyDescent="0.25">
      <x:c r="F5538" s="11"/>
    </x:row>
    <x:row r="5539" spans="6:6" x14ac:dyDescent="0.25">
      <x:c r="F5539" s="11"/>
    </x:row>
    <x:row r="5540" spans="6:6" x14ac:dyDescent="0.25">
      <x:c r="F5540" s="11"/>
    </x:row>
    <x:row r="5541" spans="6:6" x14ac:dyDescent="0.25">
      <x:c r="F5541" s="11"/>
    </x:row>
    <x:row r="5542" spans="6:6" x14ac:dyDescent="0.25">
      <x:c r="F5542" s="11"/>
    </x:row>
    <x:row r="5543" spans="6:6" x14ac:dyDescent="0.25">
      <x:c r="F5543" s="11"/>
    </x:row>
    <x:row r="5544" spans="6:6" x14ac:dyDescent="0.25">
      <x:c r="F5544" s="11"/>
    </x:row>
    <x:row r="5545" spans="6:6" x14ac:dyDescent="0.25">
      <x:c r="F5545" s="11"/>
    </x:row>
    <x:row r="5546" spans="6:6" x14ac:dyDescent="0.25">
      <x:c r="F5546" s="11"/>
    </x:row>
    <x:row r="5547" spans="6:6" x14ac:dyDescent="0.25">
      <x:c r="F5547" s="11"/>
    </x:row>
    <x:row r="5548" spans="6:6" x14ac:dyDescent="0.25">
      <x:c r="F5548" s="11"/>
    </x:row>
    <x:row r="5549" spans="6:6" x14ac:dyDescent="0.25">
      <x:c r="F5549" s="11"/>
    </x:row>
    <x:row r="5550" spans="6:6" x14ac:dyDescent="0.25">
      <x:c r="F5550" s="11"/>
    </x:row>
    <x:row r="5551" spans="6:6" x14ac:dyDescent="0.25">
      <x:c r="F5551" s="11"/>
    </x:row>
    <x:row r="5552" spans="6:6" x14ac:dyDescent="0.25">
      <x:c r="F5552" s="11"/>
    </x:row>
    <x:row r="5553" spans="6:6" x14ac:dyDescent="0.25">
      <x:c r="F5553" s="11"/>
    </x:row>
    <x:row r="5554" spans="6:6" x14ac:dyDescent="0.25">
      <x:c r="F5554" s="11"/>
    </x:row>
    <x:row r="5555" spans="6:6" x14ac:dyDescent="0.25">
      <x:c r="F5555" s="11"/>
    </x:row>
    <x:row r="5556" spans="6:6" x14ac:dyDescent="0.25">
      <x:c r="F5556" s="11"/>
    </x:row>
    <x:row r="5557" spans="6:6" x14ac:dyDescent="0.25">
      <x:c r="F5557" s="11"/>
    </x:row>
    <x:row r="5558" spans="6:6" x14ac:dyDescent="0.25">
      <x:c r="F5558" s="11"/>
    </x:row>
    <x:row r="5559" spans="6:6" x14ac:dyDescent="0.25">
      <x:c r="F5559" s="11"/>
    </x:row>
    <x:row r="5560" spans="6:6" x14ac:dyDescent="0.25">
      <x:c r="F5560" s="11"/>
    </x:row>
    <x:row r="5561" spans="6:6" x14ac:dyDescent="0.25">
      <x:c r="F5561" s="11"/>
    </x:row>
    <x:row r="5562" spans="6:6" x14ac:dyDescent="0.25">
      <x:c r="F5562" s="11"/>
    </x:row>
    <x:row r="5563" spans="6:6" x14ac:dyDescent="0.25">
      <x:c r="F5563" s="11"/>
    </x:row>
    <x:row r="5564" spans="6:6" x14ac:dyDescent="0.25">
      <x:c r="F5564" s="11"/>
    </x:row>
    <x:row r="5565" spans="6:6" x14ac:dyDescent="0.25">
      <x:c r="F5565" s="11"/>
    </x:row>
    <x:row r="5566" spans="6:6" x14ac:dyDescent="0.25">
      <x:c r="F5566" s="11"/>
    </x:row>
    <x:row r="5567" spans="6:6" x14ac:dyDescent="0.25">
      <x:c r="F5567" s="11"/>
    </x:row>
    <x:row r="5568" spans="6:6" x14ac:dyDescent="0.25">
      <x:c r="F5568" s="11"/>
    </x:row>
    <x:row r="5569" spans="6:6" x14ac:dyDescent="0.25">
      <x:c r="F5569" s="11"/>
    </x:row>
    <x:row r="5570" spans="6:6" x14ac:dyDescent="0.25">
      <x:c r="F5570" s="11"/>
    </x:row>
    <x:row r="5571" spans="6:6" x14ac:dyDescent="0.25">
      <x:c r="F5571" s="11"/>
    </x:row>
    <x:row r="5572" spans="6:6" x14ac:dyDescent="0.25">
      <x:c r="F5572" s="11"/>
    </x:row>
    <x:row r="5573" spans="6:6" x14ac:dyDescent="0.25">
      <x:c r="F5573" s="11"/>
    </x:row>
    <x:row r="5574" spans="6:6" x14ac:dyDescent="0.25">
      <x:c r="F5574" s="11"/>
    </x:row>
    <x:row r="5575" spans="6:6" x14ac:dyDescent="0.25">
      <x:c r="F5575" s="11"/>
    </x:row>
    <x:row r="5576" spans="6:6" x14ac:dyDescent="0.25">
      <x:c r="F5576" s="11"/>
    </x:row>
    <x:row r="5577" spans="6:6" x14ac:dyDescent="0.25">
      <x:c r="F5577" s="11"/>
    </x:row>
    <x:row r="5578" spans="6:6" x14ac:dyDescent="0.25">
      <x:c r="F5578" s="11"/>
    </x:row>
    <x:row r="5579" spans="6:6" x14ac:dyDescent="0.25">
      <x:c r="F5579" s="11"/>
    </x:row>
    <x:row r="5580" spans="6:6" x14ac:dyDescent="0.25">
      <x:c r="F5580" s="11"/>
    </x:row>
    <x:row r="5581" spans="6:6" x14ac:dyDescent="0.25">
      <x:c r="F5581" s="11"/>
    </x:row>
    <x:row r="5582" spans="6:6" x14ac:dyDescent="0.25">
      <x:c r="F5582" s="11"/>
    </x:row>
    <x:row r="5583" spans="6:6" x14ac:dyDescent="0.25">
      <x:c r="F5583" s="11"/>
    </x:row>
    <x:row r="5584" spans="6:6" x14ac:dyDescent="0.25">
      <x:c r="F5584" s="11"/>
    </x:row>
    <x:row r="5585" spans="6:6" x14ac:dyDescent="0.25">
      <x:c r="F5585" s="11"/>
    </x:row>
    <x:row r="5586" spans="6:6" x14ac:dyDescent="0.25">
      <x:c r="F5586" s="11"/>
    </x:row>
    <x:row r="5587" spans="6:6" x14ac:dyDescent="0.25">
      <x:c r="F5587" s="11"/>
    </x:row>
    <x:row r="5588" spans="6:6" x14ac:dyDescent="0.25">
      <x:c r="F5588" s="11"/>
    </x:row>
    <x:row r="5589" spans="6:6" x14ac:dyDescent="0.25">
      <x:c r="F5589" s="11"/>
    </x:row>
    <x:row r="5590" spans="6:6" x14ac:dyDescent="0.25">
      <x:c r="F5590" s="11"/>
    </x:row>
    <x:row r="5591" spans="6:6" x14ac:dyDescent="0.25">
      <x:c r="F5591" s="11"/>
    </x:row>
    <x:row r="5592" spans="6:6" x14ac:dyDescent="0.25">
      <x:c r="F5592" s="11"/>
    </x:row>
    <x:row r="5593" spans="6:6" x14ac:dyDescent="0.25">
      <x:c r="F5593" s="11"/>
    </x:row>
    <x:row r="5594" spans="6:6" x14ac:dyDescent="0.25">
      <x:c r="F5594" s="11"/>
    </x:row>
    <x:row r="5595" spans="6:6" x14ac:dyDescent="0.25">
      <x:c r="F5595" s="11"/>
    </x:row>
    <x:row r="5596" spans="6:6" x14ac:dyDescent="0.25">
      <x:c r="F5596" s="11"/>
    </x:row>
    <x:row r="5597" spans="6:6" x14ac:dyDescent="0.25">
      <x:c r="F5597" s="11"/>
    </x:row>
    <x:row r="5598" spans="6:6" x14ac:dyDescent="0.25">
      <x:c r="F5598" s="11"/>
    </x:row>
    <x:row r="5599" spans="6:6" x14ac:dyDescent="0.25">
      <x:c r="F5599" s="11"/>
    </x:row>
    <x:row r="5600" spans="6:6" x14ac:dyDescent="0.25">
      <x:c r="F5600" s="11"/>
    </x:row>
    <x:row r="5601" spans="6:6" x14ac:dyDescent="0.25">
      <x:c r="F5601" s="11"/>
    </x:row>
    <x:row r="5602" spans="6:6" x14ac:dyDescent="0.25">
      <x:c r="F5602" s="11"/>
    </x:row>
    <x:row r="5603" spans="6:6" x14ac:dyDescent="0.25">
      <x:c r="F5603" s="11"/>
    </x:row>
    <x:row r="5604" spans="6:6" x14ac:dyDescent="0.25">
      <x:c r="F5604" s="11"/>
    </x:row>
    <x:row r="5605" spans="6:6" x14ac:dyDescent="0.25">
      <x:c r="F5605" s="11"/>
    </x:row>
    <x:row r="5606" spans="6:6" x14ac:dyDescent="0.25">
      <x:c r="F5606" s="11"/>
    </x:row>
    <x:row r="5607" spans="6:6" x14ac:dyDescent="0.25">
      <x:c r="F5607" s="11"/>
    </x:row>
    <x:row r="5608" spans="6:6" x14ac:dyDescent="0.25">
      <x:c r="F5608" s="11"/>
    </x:row>
    <x:row r="5609" spans="6:6" x14ac:dyDescent="0.25">
      <x:c r="F5609" s="11"/>
    </x:row>
    <x:row r="5610" spans="6:6" x14ac:dyDescent="0.25">
      <x:c r="F5610" s="11"/>
    </x:row>
    <x:row r="5611" spans="6:6" x14ac:dyDescent="0.25">
      <x:c r="F5611" s="11"/>
    </x:row>
    <x:row r="5612" spans="6:6" x14ac:dyDescent="0.25">
      <x:c r="F5612" s="11"/>
    </x:row>
    <x:row r="5613" spans="6:6" x14ac:dyDescent="0.25">
      <x:c r="F5613" s="11"/>
    </x:row>
    <x:row r="5614" spans="6:6" x14ac:dyDescent="0.25">
      <x:c r="F5614" s="11"/>
    </x:row>
    <x:row r="5615" spans="6:6" x14ac:dyDescent="0.25">
      <x:c r="F5615" s="11"/>
    </x:row>
    <x:row r="5616" spans="6:6" x14ac:dyDescent="0.25">
      <x:c r="F5616" s="11"/>
    </x:row>
    <x:row r="5617" spans="6:6" x14ac:dyDescent="0.25">
      <x:c r="F5617" s="11"/>
    </x:row>
    <x:row r="5618" spans="6:6" x14ac:dyDescent="0.25">
      <x:c r="F5618" s="11"/>
    </x:row>
    <x:row r="5619" spans="6:6" x14ac:dyDescent="0.25">
      <x:c r="F5619" s="11"/>
    </x:row>
    <x:row r="5620" spans="6:6" x14ac:dyDescent="0.25">
      <x:c r="F5620" s="11"/>
    </x:row>
    <x:row r="5621" spans="6:6" x14ac:dyDescent="0.25">
      <x:c r="F5621" s="11"/>
    </x:row>
    <x:row r="5622" spans="6:6" x14ac:dyDescent="0.25">
      <x:c r="F5622" s="11"/>
    </x:row>
    <x:row r="5623" spans="6:6" x14ac:dyDescent="0.25">
      <x:c r="F5623" s="11"/>
    </x:row>
    <x:row r="5624" spans="6:6" x14ac:dyDescent="0.25">
      <x:c r="F5624" s="11"/>
    </x:row>
    <x:row r="5625" spans="6:6" x14ac:dyDescent="0.25">
      <x:c r="F5625" s="11"/>
    </x:row>
    <x:row r="5626" spans="6:6" x14ac:dyDescent="0.25">
      <x:c r="F5626" s="11"/>
    </x:row>
    <x:row r="5627" spans="6:6" x14ac:dyDescent="0.25">
      <x:c r="F5627" s="11"/>
    </x:row>
    <x:row r="5628" spans="6:6" x14ac:dyDescent="0.25">
      <x:c r="F5628" s="11"/>
    </x:row>
    <x:row r="5629" spans="6:6" x14ac:dyDescent="0.25">
      <x:c r="F5629" s="11"/>
    </x:row>
    <x:row r="5630" spans="6:6" x14ac:dyDescent="0.25">
      <x:c r="F5630" s="11"/>
    </x:row>
    <x:row r="5631" spans="6:6" x14ac:dyDescent="0.25">
      <x:c r="F5631" s="11"/>
    </x:row>
    <x:row r="5632" spans="6:6" x14ac:dyDescent="0.25">
      <x:c r="F5632" s="11"/>
    </x:row>
    <x:row r="5633" spans="6:6" x14ac:dyDescent="0.25">
      <x:c r="F5633" s="11"/>
    </x:row>
    <x:row r="5634" spans="6:6" x14ac:dyDescent="0.25">
      <x:c r="F5634" s="11"/>
    </x:row>
    <x:row r="5635" spans="6:6" x14ac:dyDescent="0.25">
      <x:c r="F5635" s="11"/>
    </x:row>
    <x:row r="5636" spans="6:6" x14ac:dyDescent="0.25">
      <x:c r="F5636" s="11"/>
    </x:row>
    <x:row r="5637" spans="6:6" x14ac:dyDescent="0.25">
      <x:c r="F5637" s="11"/>
    </x:row>
    <x:row r="5638" spans="6:6" x14ac:dyDescent="0.25">
      <x:c r="F5638" s="11"/>
    </x:row>
    <x:row r="5639" spans="6:6" x14ac:dyDescent="0.25">
      <x:c r="F5639" s="11"/>
    </x:row>
    <x:row r="5640" spans="6:6" x14ac:dyDescent="0.25">
      <x:c r="F5640" s="11"/>
    </x:row>
    <x:row r="5641" spans="6:6" x14ac:dyDescent="0.25">
      <x:c r="F5641" s="11"/>
    </x:row>
    <x:row r="5642" spans="6:6" x14ac:dyDescent="0.25">
      <x:c r="F5642" s="11"/>
    </x:row>
    <x:row r="5643" spans="6:6" x14ac:dyDescent="0.25">
      <x:c r="F5643" s="11"/>
    </x:row>
    <x:row r="5644" spans="6:6" x14ac:dyDescent="0.25">
      <x:c r="F5644" s="11"/>
    </x:row>
    <x:row r="5645" spans="6:6" x14ac:dyDescent="0.25">
      <x:c r="F5645" s="11"/>
    </x:row>
    <x:row r="5646" spans="6:6" x14ac:dyDescent="0.25">
      <x:c r="F5646" s="11"/>
    </x:row>
    <x:row r="5647" spans="6:6" x14ac:dyDescent="0.25">
      <x:c r="F5647" s="11"/>
    </x:row>
    <x:row r="5648" spans="6:6" x14ac:dyDescent="0.25">
      <x:c r="F5648" s="11"/>
    </x:row>
    <x:row r="5649" spans="6:6" x14ac:dyDescent="0.25">
      <x:c r="F5649" s="11"/>
    </x:row>
    <x:row r="5650" spans="6:6" x14ac:dyDescent="0.25">
      <x:c r="F5650" s="11"/>
    </x:row>
    <x:row r="5651" spans="6:6" x14ac:dyDescent="0.25">
      <x:c r="F5651" s="11"/>
    </x:row>
    <x:row r="5652" spans="6:6" x14ac:dyDescent="0.25">
      <x:c r="F5652" s="11"/>
    </x:row>
    <x:row r="5653" spans="6:6" x14ac:dyDescent="0.25">
      <x:c r="F5653" s="11"/>
    </x:row>
    <x:row r="5654" spans="6:6" x14ac:dyDescent="0.25">
      <x:c r="F5654" s="11"/>
    </x:row>
    <x:row r="5655" spans="6:6" x14ac:dyDescent="0.25">
      <x:c r="F5655" s="11"/>
    </x:row>
    <x:row r="5656" spans="6:6" x14ac:dyDescent="0.25">
      <x:c r="F5656" s="11"/>
    </x:row>
    <x:row r="5657" spans="6:6" x14ac:dyDescent="0.25">
      <x:c r="F5657" s="11"/>
    </x:row>
    <x:row r="5658" spans="6:6" x14ac:dyDescent="0.25">
      <x:c r="F5658" s="11"/>
    </x:row>
    <x:row r="5659" spans="6:6" x14ac:dyDescent="0.25">
      <x:c r="F5659" s="11"/>
    </x:row>
    <x:row r="5660" spans="6:6" x14ac:dyDescent="0.25">
      <x:c r="F5660" s="11"/>
    </x:row>
    <x:row r="5661" spans="6:6" x14ac:dyDescent="0.25">
      <x:c r="F5661" s="11"/>
    </x:row>
    <x:row r="5662" spans="6:6" x14ac:dyDescent="0.25">
      <x:c r="F5662" s="11"/>
    </x:row>
    <x:row r="5663" spans="6:6" x14ac:dyDescent="0.25">
      <x:c r="F5663" s="11"/>
    </x:row>
    <x:row r="5664" spans="6:6" x14ac:dyDescent="0.25">
      <x:c r="F5664" s="11"/>
    </x:row>
    <x:row r="5665" spans="6:6" x14ac:dyDescent="0.25">
      <x:c r="F5665" s="11"/>
    </x:row>
    <x:row r="5666" spans="6:6" x14ac:dyDescent="0.25">
      <x:c r="F5666" s="11"/>
    </x:row>
    <x:row r="5667" spans="6:6" x14ac:dyDescent="0.25">
      <x:c r="F5667" s="11"/>
    </x:row>
    <x:row r="5668" spans="6:6" x14ac:dyDescent="0.25">
      <x:c r="F5668" s="11"/>
    </x:row>
    <x:row r="5669" spans="6:6" x14ac:dyDescent="0.25">
      <x:c r="F5669" s="11"/>
    </x:row>
    <x:row r="5670" spans="6:6" x14ac:dyDescent="0.25">
      <x:c r="F5670" s="11"/>
    </x:row>
    <x:row r="5671" spans="6:6" x14ac:dyDescent="0.25">
      <x:c r="F5671" s="11"/>
    </x:row>
    <x:row r="5672" spans="6:6" x14ac:dyDescent="0.25">
      <x:c r="F5672" s="11"/>
    </x:row>
    <x:row r="5673" spans="6:6" x14ac:dyDescent="0.25">
      <x:c r="F5673" s="11"/>
    </x:row>
    <x:row r="5674" spans="6:6" x14ac:dyDescent="0.25">
      <x:c r="F5674" s="11"/>
    </x:row>
    <x:row r="5675" spans="6:6" x14ac:dyDescent="0.25">
      <x:c r="F5675" s="11"/>
    </x:row>
    <x:row r="5676" spans="6:6" x14ac:dyDescent="0.25">
      <x:c r="F5676" s="11"/>
    </x:row>
    <x:row r="5677" spans="6:6" x14ac:dyDescent="0.25">
      <x:c r="F5677" s="11"/>
    </x:row>
    <x:row r="5678" spans="6:6" x14ac:dyDescent="0.25">
      <x:c r="F5678" s="11"/>
    </x:row>
    <x:row r="5679" spans="6:6" x14ac:dyDescent="0.25">
      <x:c r="F5679" s="11"/>
    </x:row>
    <x:row r="5680" spans="6:6" x14ac:dyDescent="0.25">
      <x:c r="F5680" s="11"/>
    </x:row>
    <x:row r="5681" spans="6:6" x14ac:dyDescent="0.25">
      <x:c r="F5681" s="11"/>
    </x:row>
    <x:row r="5682" spans="6:6" x14ac:dyDescent="0.25">
      <x:c r="F5682" s="11"/>
    </x:row>
    <x:row r="5683" spans="6:6" x14ac:dyDescent="0.25">
      <x:c r="F5683" s="11"/>
    </x:row>
    <x:row r="5684" spans="6:6" x14ac:dyDescent="0.25">
      <x:c r="F5684" s="11"/>
    </x:row>
    <x:row r="5685" spans="6:6" x14ac:dyDescent="0.25">
      <x:c r="F5685" s="11"/>
    </x:row>
    <x:row r="5686" spans="6:6" x14ac:dyDescent="0.25">
      <x:c r="F5686" s="11"/>
    </x:row>
    <x:row r="5687" spans="6:6" x14ac:dyDescent="0.25">
      <x:c r="F5687" s="11"/>
    </x:row>
    <x:row r="5688" spans="6:6" x14ac:dyDescent="0.25">
      <x:c r="F5688" s="11"/>
    </x:row>
    <x:row r="5689" spans="6:6" x14ac:dyDescent="0.25">
      <x:c r="F5689" s="11"/>
    </x:row>
    <x:row r="5690" spans="6:6" x14ac:dyDescent="0.25">
      <x:c r="F5690" s="11"/>
    </x:row>
    <x:row r="5691" spans="6:6" x14ac:dyDescent="0.25">
      <x:c r="F5691" s="11"/>
    </x:row>
    <x:row r="5692" spans="6:6" x14ac:dyDescent="0.25">
      <x:c r="F5692" s="11"/>
    </x:row>
    <x:row r="5693" spans="6:6" x14ac:dyDescent="0.25">
      <x:c r="F5693" s="11"/>
    </x:row>
    <x:row r="5694" spans="6:6" x14ac:dyDescent="0.25">
      <x:c r="F5694" s="11"/>
    </x:row>
    <x:row r="5695" spans="6:6" x14ac:dyDescent="0.25">
      <x:c r="F5695" s="11"/>
    </x:row>
    <x:row r="5696" spans="6:6" x14ac:dyDescent="0.25">
      <x:c r="F5696" s="11"/>
    </x:row>
    <x:row r="5697" spans="6:6" x14ac:dyDescent="0.25">
      <x:c r="F5697" s="11"/>
    </x:row>
    <x:row r="5698" spans="6:6" x14ac:dyDescent="0.25">
      <x:c r="F5698" s="11"/>
    </x:row>
    <x:row r="5699" spans="6:6" x14ac:dyDescent="0.25">
      <x:c r="F5699" s="11"/>
    </x:row>
    <x:row r="5700" spans="6:6" x14ac:dyDescent="0.25">
      <x:c r="F5700" s="11"/>
    </x:row>
    <x:row r="5701" spans="6:6" x14ac:dyDescent="0.25">
      <x:c r="F5701" s="11"/>
    </x:row>
    <x:row r="5702" spans="6:6" x14ac:dyDescent="0.25">
      <x:c r="F5702" s="11"/>
    </x:row>
    <x:row r="5703" spans="6:6" x14ac:dyDescent="0.25">
      <x:c r="F5703" s="11"/>
    </x:row>
    <x:row r="5704" spans="6:6" x14ac:dyDescent="0.25">
      <x:c r="F5704" s="11"/>
    </x:row>
    <x:row r="5705" spans="6:6" x14ac:dyDescent="0.25">
      <x:c r="F5705" s="11"/>
    </x:row>
    <x:row r="5706" spans="6:6" x14ac:dyDescent="0.25">
      <x:c r="F5706" s="11"/>
    </x:row>
    <x:row r="5707" spans="6:6" x14ac:dyDescent="0.25">
      <x:c r="F5707" s="11"/>
    </x:row>
    <x:row r="5708" spans="6:6" x14ac:dyDescent="0.25">
      <x:c r="F5708" s="11"/>
    </x:row>
    <x:row r="5709" spans="6:6" x14ac:dyDescent="0.25">
      <x:c r="F5709" s="11"/>
    </x:row>
    <x:row r="5710" spans="6:6" x14ac:dyDescent="0.25">
      <x:c r="F5710" s="11"/>
    </x:row>
    <x:row r="5711" spans="6:6" x14ac:dyDescent="0.25">
      <x:c r="F5711" s="11"/>
    </x:row>
    <x:row r="5712" spans="6:6" x14ac:dyDescent="0.25">
      <x:c r="F5712" s="11"/>
    </x:row>
    <x:row r="5713" spans="6:6" x14ac:dyDescent="0.25">
      <x:c r="F5713" s="11"/>
    </x:row>
    <x:row r="5714" spans="6:6" x14ac:dyDescent="0.25">
      <x:c r="F5714" s="11"/>
    </x:row>
    <x:row r="5715" spans="6:6" x14ac:dyDescent="0.25">
      <x:c r="F5715" s="11"/>
    </x:row>
    <x:row r="5716" spans="6:6" x14ac:dyDescent="0.25">
      <x:c r="F5716" s="11"/>
    </x:row>
    <x:row r="5717" spans="6:6" x14ac:dyDescent="0.25">
      <x:c r="F5717" s="11"/>
    </x:row>
    <x:row r="5718" spans="6:6" x14ac:dyDescent="0.25">
      <x:c r="F5718" s="11"/>
    </x:row>
    <x:row r="5719" spans="6:6" x14ac:dyDescent="0.25">
      <x:c r="F5719" s="11"/>
    </x:row>
    <x:row r="5720" spans="6:6" x14ac:dyDescent="0.25">
      <x:c r="F5720" s="11"/>
    </x:row>
    <x:row r="5721" spans="6:6" x14ac:dyDescent="0.25">
      <x:c r="F5721" s="11"/>
    </x:row>
    <x:row r="5722" spans="6:6" x14ac:dyDescent="0.25">
      <x:c r="F5722" s="11"/>
    </x:row>
    <x:row r="5723" spans="6:6" x14ac:dyDescent="0.25">
      <x:c r="F5723" s="11"/>
    </x:row>
    <x:row r="5724" spans="6:6" x14ac:dyDescent="0.25">
      <x:c r="F5724" s="11"/>
    </x:row>
    <x:row r="5725" spans="6:6" x14ac:dyDescent="0.25">
      <x:c r="F5725" s="11"/>
    </x:row>
    <x:row r="5726" spans="6:6" x14ac:dyDescent="0.25">
      <x:c r="F5726" s="11"/>
    </x:row>
    <x:row r="5727" spans="6:6" x14ac:dyDescent="0.25">
      <x:c r="F5727" s="11"/>
    </x:row>
    <x:row r="5728" spans="6:6" x14ac:dyDescent="0.25">
      <x:c r="F5728" s="11"/>
    </x:row>
    <x:row r="5729" spans="6:6" x14ac:dyDescent="0.25">
      <x:c r="F5729" s="11"/>
    </x:row>
    <x:row r="5730" spans="6:6" x14ac:dyDescent="0.25">
      <x:c r="F5730" s="11"/>
    </x:row>
    <x:row r="5731" spans="6:6" x14ac:dyDescent="0.25">
      <x:c r="F5731" s="11"/>
    </x:row>
    <x:row r="5732" spans="6:6" x14ac:dyDescent="0.25">
      <x:c r="F5732" s="11"/>
    </x:row>
    <x:row r="5733" spans="6:6" x14ac:dyDescent="0.25">
      <x:c r="F5733" s="11"/>
    </x:row>
    <x:row r="5734" spans="6:6" x14ac:dyDescent="0.25">
      <x:c r="F5734" s="11"/>
    </x:row>
    <x:row r="5735" spans="6:6" x14ac:dyDescent="0.25">
      <x:c r="F5735" s="11"/>
    </x:row>
    <x:row r="5736" spans="6:6" x14ac:dyDescent="0.25">
      <x:c r="F5736" s="11"/>
    </x:row>
    <x:row r="5737" spans="6:6" x14ac:dyDescent="0.25">
      <x:c r="F5737" s="11"/>
    </x:row>
    <x:row r="5738" spans="6:6" x14ac:dyDescent="0.25">
      <x:c r="F5738" s="11"/>
    </x:row>
    <x:row r="5739" spans="6:6" x14ac:dyDescent="0.25">
      <x:c r="F5739" s="11"/>
    </x:row>
    <x:row r="5740" spans="6:6" x14ac:dyDescent="0.25">
      <x:c r="F5740" s="11"/>
    </x:row>
    <x:row r="5741" spans="6:6" x14ac:dyDescent="0.25">
      <x:c r="F5741" s="11"/>
    </x:row>
    <x:row r="5742" spans="6:6" x14ac:dyDescent="0.25">
      <x:c r="F5742" s="11"/>
    </x:row>
    <x:row r="5743" spans="6:6" x14ac:dyDescent="0.25">
      <x:c r="F5743" s="11"/>
    </x:row>
    <x:row r="5744" spans="6:6" x14ac:dyDescent="0.25">
      <x:c r="F5744" s="11"/>
    </x:row>
    <x:row r="5745" spans="6:6" x14ac:dyDescent="0.25">
      <x:c r="F5745" s="11"/>
    </x:row>
    <x:row r="5746" spans="6:6" x14ac:dyDescent="0.25">
      <x:c r="F5746" s="11"/>
    </x:row>
    <x:row r="5747" spans="6:6" x14ac:dyDescent="0.25">
      <x:c r="F5747" s="11"/>
    </x:row>
    <x:row r="5748" spans="6:6" x14ac:dyDescent="0.25">
      <x:c r="F5748" s="11"/>
    </x:row>
    <x:row r="5749" spans="6:6" x14ac:dyDescent="0.25">
      <x:c r="F5749" s="11"/>
    </x:row>
    <x:row r="5750" spans="6:6" x14ac:dyDescent="0.25">
      <x:c r="F5750" s="11"/>
    </x:row>
    <x:row r="5751" spans="6:6" x14ac:dyDescent="0.25">
      <x:c r="F5751" s="11"/>
    </x:row>
    <x:row r="5752" spans="6:6" x14ac:dyDescent="0.25">
      <x:c r="F5752" s="11"/>
    </x:row>
    <x:row r="5753" spans="6:6" x14ac:dyDescent="0.25">
      <x:c r="F5753" s="11"/>
    </x:row>
    <x:row r="5754" spans="6:6" x14ac:dyDescent="0.25">
      <x:c r="F5754" s="11"/>
    </x:row>
    <x:row r="5755" spans="6:6" x14ac:dyDescent="0.25">
      <x:c r="F5755" s="11"/>
    </x:row>
    <x:row r="5756" spans="6:6" x14ac:dyDescent="0.25">
      <x:c r="F5756" s="11"/>
    </x:row>
    <x:row r="5757" spans="6:6" x14ac:dyDescent="0.25">
      <x:c r="F5757" s="11"/>
    </x:row>
    <x:row r="5758" spans="6:6" x14ac:dyDescent="0.25">
      <x:c r="F5758" s="11"/>
    </x:row>
    <x:row r="5759" spans="6:6" x14ac:dyDescent="0.25">
      <x:c r="F5759" s="11"/>
    </x:row>
    <x:row r="5760" spans="6:6" x14ac:dyDescent="0.25">
      <x:c r="F5760" s="11"/>
    </x:row>
    <x:row r="5761" spans="6:6" x14ac:dyDescent="0.25">
      <x:c r="F5761" s="11"/>
    </x:row>
    <x:row r="5762" spans="6:6" x14ac:dyDescent="0.25">
      <x:c r="F5762" s="11"/>
    </x:row>
    <x:row r="5763" spans="6:6" x14ac:dyDescent="0.25">
      <x:c r="F5763" s="11"/>
    </x:row>
    <x:row r="5764" spans="6:6" x14ac:dyDescent="0.25">
      <x:c r="F5764" s="11"/>
    </x:row>
    <x:row r="5765" spans="6:6" x14ac:dyDescent="0.25">
      <x:c r="F5765" s="11"/>
    </x:row>
    <x:row r="5766" spans="6:6" x14ac:dyDescent="0.25">
      <x:c r="F5766" s="11"/>
    </x:row>
    <x:row r="5767" spans="6:6" x14ac:dyDescent="0.25">
      <x:c r="F5767" s="11"/>
    </x:row>
    <x:row r="5768" spans="6:6" x14ac:dyDescent="0.25">
      <x:c r="F5768" s="11"/>
    </x:row>
    <x:row r="5769" spans="6:6" x14ac:dyDescent="0.25">
      <x:c r="F5769" s="11"/>
    </x:row>
    <x:row r="5770" spans="6:6" x14ac:dyDescent="0.25">
      <x:c r="F5770" s="11"/>
    </x:row>
    <x:row r="5771" spans="6:6" x14ac:dyDescent="0.25">
      <x:c r="F5771" s="11"/>
    </x:row>
    <x:row r="5772" spans="6:6" x14ac:dyDescent="0.25">
      <x:c r="F5772" s="11"/>
    </x:row>
    <x:row r="5773" spans="6:6" x14ac:dyDescent="0.25">
      <x:c r="F5773" s="11"/>
    </x:row>
    <x:row r="5774" spans="6:6" x14ac:dyDescent="0.25">
      <x:c r="F5774" s="11"/>
    </x:row>
    <x:row r="5775" spans="6:6" x14ac:dyDescent="0.25">
      <x:c r="F5775" s="11"/>
    </x:row>
    <x:row r="5776" spans="6:6" x14ac:dyDescent="0.25">
      <x:c r="F5776" s="11"/>
    </x:row>
    <x:row r="5777" spans="6:6" x14ac:dyDescent="0.25">
      <x:c r="F5777" s="11"/>
    </x:row>
    <x:row r="5778" spans="6:6" x14ac:dyDescent="0.25">
      <x:c r="F5778" s="11"/>
    </x:row>
    <x:row r="5779" spans="6:6" x14ac:dyDescent="0.25">
      <x:c r="F5779" s="11"/>
    </x:row>
    <x:row r="5780" spans="6:6" x14ac:dyDescent="0.25">
      <x:c r="F5780" s="11"/>
    </x:row>
    <x:row r="5781" spans="6:6" x14ac:dyDescent="0.25">
      <x:c r="F5781" s="11"/>
    </x:row>
    <x:row r="5782" spans="6:6" x14ac:dyDescent="0.25">
      <x:c r="F5782" s="11"/>
    </x:row>
    <x:row r="5783" spans="6:6" x14ac:dyDescent="0.25">
      <x:c r="F5783" s="11"/>
    </x:row>
    <x:row r="5784" spans="6:6" x14ac:dyDescent="0.25">
      <x:c r="F5784" s="11"/>
    </x:row>
    <x:row r="5785" spans="6:6" x14ac:dyDescent="0.25">
      <x:c r="F5785" s="11"/>
    </x:row>
    <x:row r="5786" spans="6:6" x14ac:dyDescent="0.25">
      <x:c r="F5786" s="11"/>
    </x:row>
    <x:row r="5787" spans="6:6" x14ac:dyDescent="0.25">
      <x:c r="F5787" s="11"/>
    </x:row>
    <x:row r="5788" spans="6:6" x14ac:dyDescent="0.25">
      <x:c r="F5788" s="11"/>
    </x:row>
    <x:row r="5789" spans="6:6" x14ac:dyDescent="0.25">
      <x:c r="F5789" s="11"/>
    </x:row>
    <x:row r="5790" spans="6:6" x14ac:dyDescent="0.25">
      <x:c r="F5790" s="11"/>
    </x:row>
    <x:row r="5791" spans="6:6" x14ac:dyDescent="0.25">
      <x:c r="F5791" s="11"/>
    </x:row>
    <x:row r="5792" spans="6:6" x14ac:dyDescent="0.25">
      <x:c r="F5792" s="11"/>
    </x:row>
    <x:row r="5793" spans="6:6" x14ac:dyDescent="0.25">
      <x:c r="F5793" s="11"/>
    </x:row>
    <x:row r="5794" spans="6:6" x14ac:dyDescent="0.25">
      <x:c r="F5794" s="11"/>
    </x:row>
    <x:row r="5795" spans="6:6" x14ac:dyDescent="0.25">
      <x:c r="F5795" s="11"/>
    </x:row>
    <x:row r="5796" spans="6:6" x14ac:dyDescent="0.25">
      <x:c r="F5796" s="11"/>
    </x:row>
    <x:row r="5797" spans="6:6" x14ac:dyDescent="0.25">
      <x:c r="F5797" s="11"/>
    </x:row>
    <x:row r="5798" spans="6:6" x14ac:dyDescent="0.25">
      <x:c r="F5798" s="11"/>
    </x:row>
    <x:row r="5799" spans="6:6" x14ac:dyDescent="0.25">
      <x:c r="F5799" s="11"/>
    </x:row>
    <x:row r="5800" spans="6:6" x14ac:dyDescent="0.25">
      <x:c r="F5800" s="11"/>
    </x:row>
    <x:row r="5801" spans="6:6" x14ac:dyDescent="0.25">
      <x:c r="F5801" s="11"/>
    </x:row>
    <x:row r="5802" spans="6:6" x14ac:dyDescent="0.25">
      <x:c r="F5802" s="11"/>
    </x:row>
    <x:row r="5803" spans="6:6" x14ac:dyDescent="0.25">
      <x:c r="F5803" s="11"/>
    </x:row>
    <x:row r="5804" spans="6:6" x14ac:dyDescent="0.25">
      <x:c r="F5804" s="11"/>
    </x:row>
    <x:row r="5805" spans="6:6" x14ac:dyDescent="0.25">
      <x:c r="F5805" s="11"/>
    </x:row>
    <x:row r="5806" spans="6:6" x14ac:dyDescent="0.25">
      <x:c r="F5806" s="11"/>
    </x:row>
    <x:row r="5807" spans="6:6" x14ac:dyDescent="0.25">
      <x:c r="F5807" s="11"/>
    </x:row>
    <x:row r="5808" spans="6:6" x14ac:dyDescent="0.25">
      <x:c r="F5808" s="11"/>
    </x:row>
    <x:row r="5809" spans="6:6" x14ac:dyDescent="0.25">
      <x:c r="F5809" s="11"/>
    </x:row>
    <x:row r="5810" spans="6:6" x14ac:dyDescent="0.25">
      <x:c r="F5810" s="11"/>
    </x:row>
    <x:row r="5811" spans="6:6" x14ac:dyDescent="0.25">
      <x:c r="F5811" s="11"/>
    </x:row>
    <x:row r="5812" spans="6:6" x14ac:dyDescent="0.25">
      <x:c r="F5812" s="11"/>
    </x:row>
    <x:row r="5813" spans="6:6" x14ac:dyDescent="0.25">
      <x:c r="F5813" s="11"/>
    </x:row>
    <x:row r="5814" spans="6:6" x14ac:dyDescent="0.25">
      <x:c r="F5814" s="11"/>
    </x:row>
    <x:row r="5815" spans="6:6" x14ac:dyDescent="0.25">
      <x:c r="F5815" s="11"/>
    </x:row>
    <x:row r="5816" spans="6:6" x14ac:dyDescent="0.25">
      <x:c r="F5816" s="11"/>
    </x:row>
    <x:row r="5817" spans="6:6" x14ac:dyDescent="0.25">
      <x:c r="F5817" s="11"/>
    </x:row>
    <x:row r="5818" spans="6:6" x14ac:dyDescent="0.25">
      <x:c r="F5818" s="11"/>
    </x:row>
    <x:row r="5819" spans="6:6" x14ac:dyDescent="0.25">
      <x:c r="F5819" s="11"/>
    </x:row>
    <x:row r="5820" spans="6:6" x14ac:dyDescent="0.25">
      <x:c r="F5820" s="11"/>
    </x:row>
    <x:row r="5821" spans="6:6" x14ac:dyDescent="0.25">
      <x:c r="F5821" s="11"/>
    </x:row>
    <x:row r="5822" spans="6:6" x14ac:dyDescent="0.25">
      <x:c r="F5822" s="11"/>
    </x:row>
    <x:row r="5823" spans="6:6" x14ac:dyDescent="0.25">
      <x:c r="F5823" s="11"/>
    </x:row>
    <x:row r="5824" spans="6:6" x14ac:dyDescent="0.25">
      <x:c r="F5824" s="11"/>
    </x:row>
    <x:row r="5825" spans="6:6" x14ac:dyDescent="0.25">
      <x:c r="F5825" s="11"/>
    </x:row>
    <x:row r="5826" spans="6:6" x14ac:dyDescent="0.25">
      <x:c r="F5826" s="11"/>
    </x:row>
    <x:row r="5827" spans="6:6" x14ac:dyDescent="0.25">
      <x:c r="F5827" s="11"/>
    </x:row>
    <x:row r="5828" spans="6:6" x14ac:dyDescent="0.25">
      <x:c r="F5828" s="11"/>
    </x:row>
    <x:row r="5829" spans="6:6" x14ac:dyDescent="0.25">
      <x:c r="F5829" s="11"/>
    </x:row>
    <x:row r="5830" spans="6:6" x14ac:dyDescent="0.25">
      <x:c r="F5830" s="11"/>
    </x:row>
    <x:row r="5831" spans="6:6" x14ac:dyDescent="0.25">
      <x:c r="F5831" s="11"/>
    </x:row>
    <x:row r="5832" spans="6:6" x14ac:dyDescent="0.25">
      <x:c r="F5832" s="11"/>
    </x:row>
    <x:row r="5833" spans="6:6" x14ac:dyDescent="0.25">
      <x:c r="F5833" s="11"/>
    </x:row>
    <x:row r="5834" spans="6:6" x14ac:dyDescent="0.25">
      <x:c r="F5834" s="11"/>
    </x:row>
    <x:row r="5835" spans="6:6" x14ac:dyDescent="0.25">
      <x:c r="F5835" s="11"/>
    </x:row>
    <x:row r="5836" spans="6:6" x14ac:dyDescent="0.25">
      <x:c r="F5836" s="11"/>
    </x:row>
    <x:row r="5837" spans="6:6" x14ac:dyDescent="0.25">
      <x:c r="F5837" s="11"/>
    </x:row>
    <x:row r="5838" spans="6:6" x14ac:dyDescent="0.25">
      <x:c r="F5838" s="11"/>
    </x:row>
    <x:row r="5839" spans="6:6" x14ac:dyDescent="0.25">
      <x:c r="F5839" s="11"/>
    </x:row>
    <x:row r="5840" spans="6:6" x14ac:dyDescent="0.25">
      <x:c r="F5840" s="11"/>
    </x:row>
    <x:row r="5841" spans="6:6" x14ac:dyDescent="0.25">
      <x:c r="F5841" s="11"/>
    </x:row>
    <x:row r="5842" spans="6:6" x14ac:dyDescent="0.25">
      <x:c r="F5842" s="11"/>
    </x:row>
    <x:row r="5843" spans="6:6" x14ac:dyDescent="0.25">
      <x:c r="F5843" s="11"/>
    </x:row>
    <x:row r="5844" spans="6:6" x14ac:dyDescent="0.25">
      <x:c r="F5844" s="11"/>
    </x:row>
    <x:row r="5845" spans="6:6" x14ac:dyDescent="0.25">
      <x:c r="F5845" s="11"/>
    </x:row>
    <x:row r="5846" spans="6:6" x14ac:dyDescent="0.25">
      <x:c r="F5846" s="11"/>
    </x:row>
    <x:row r="5847" spans="6:6" x14ac:dyDescent="0.25">
      <x:c r="F5847" s="11"/>
    </x:row>
    <x:row r="5848" spans="6:6" x14ac:dyDescent="0.25">
      <x:c r="F5848" s="11"/>
    </x:row>
    <x:row r="5849" spans="6:6" x14ac:dyDescent="0.25">
      <x:c r="F5849" s="11"/>
    </x:row>
    <x:row r="5850" spans="6:6" x14ac:dyDescent="0.25">
      <x:c r="F5850" s="11"/>
    </x:row>
    <x:row r="5851" spans="6:6" x14ac:dyDescent="0.25">
      <x:c r="F5851" s="11"/>
    </x:row>
    <x:row r="5852" spans="6:6" x14ac:dyDescent="0.25">
      <x:c r="F5852" s="11"/>
    </x:row>
    <x:row r="5853" spans="6:6" x14ac:dyDescent="0.25">
      <x:c r="F5853" s="11"/>
    </x:row>
    <x:row r="5854" spans="6:6" x14ac:dyDescent="0.25">
      <x:c r="F5854" s="11"/>
    </x:row>
    <x:row r="5855" spans="6:6" x14ac:dyDescent="0.25">
      <x:c r="F5855" s="11"/>
    </x:row>
    <x:row r="5856" spans="6:6" x14ac:dyDescent="0.25">
      <x:c r="F5856" s="11"/>
    </x:row>
    <x:row r="5857" spans="6:6" x14ac:dyDescent="0.25">
      <x:c r="F5857" s="11"/>
    </x:row>
    <x:row r="5858" spans="6:6" x14ac:dyDescent="0.25">
      <x:c r="F5858" s="11"/>
    </x:row>
    <x:row r="5859" spans="6:6" x14ac:dyDescent="0.25">
      <x:c r="F5859" s="11"/>
    </x:row>
    <x:row r="5860" spans="6:6" x14ac:dyDescent="0.25">
      <x:c r="F5860" s="11"/>
    </x:row>
    <x:row r="5861" spans="6:6" x14ac:dyDescent="0.25">
      <x:c r="F5861" s="11"/>
    </x:row>
    <x:row r="5862" spans="6:6" x14ac:dyDescent="0.25">
      <x:c r="F5862" s="11"/>
    </x:row>
    <x:row r="5863" spans="6:6" x14ac:dyDescent="0.25">
      <x:c r="F5863" s="11"/>
    </x:row>
    <x:row r="5864" spans="6:6" x14ac:dyDescent="0.25">
      <x:c r="F5864" s="11"/>
    </x:row>
    <x:row r="5865" spans="6:6" x14ac:dyDescent="0.25">
      <x:c r="F5865" s="11"/>
    </x:row>
    <x:row r="5866" spans="6:6" x14ac:dyDescent="0.25">
      <x:c r="F5866" s="11"/>
    </x:row>
    <x:row r="5867" spans="6:6" x14ac:dyDescent="0.25">
      <x:c r="F5867" s="11"/>
    </x:row>
    <x:row r="5868" spans="6:6" x14ac:dyDescent="0.25">
      <x:c r="F5868" s="11"/>
    </x:row>
    <x:row r="5869" spans="6:6" x14ac:dyDescent="0.25">
      <x:c r="F5869" s="11"/>
    </x:row>
    <x:row r="5870" spans="6:6" x14ac:dyDescent="0.25">
      <x:c r="F5870" s="11"/>
    </x:row>
    <x:row r="5871" spans="6:6" x14ac:dyDescent="0.25">
      <x:c r="F5871" s="11"/>
    </x:row>
    <x:row r="5872" spans="6:6" x14ac:dyDescent="0.25">
      <x:c r="F5872" s="11"/>
    </x:row>
    <x:row r="5873" spans="6:6" x14ac:dyDescent="0.25">
      <x:c r="F5873" s="11"/>
    </x:row>
    <x:row r="5874" spans="6:6" x14ac:dyDescent="0.25">
      <x:c r="F5874" s="11"/>
    </x:row>
    <x:row r="5875" spans="6:6" x14ac:dyDescent="0.25">
      <x:c r="F5875" s="11"/>
    </x:row>
    <x:row r="5876" spans="6:6" x14ac:dyDescent="0.25">
      <x:c r="F5876" s="11"/>
    </x:row>
    <x:row r="5877" spans="6:6" x14ac:dyDescent="0.25">
      <x:c r="F5877" s="11"/>
    </x:row>
    <x:row r="5878" spans="6:6" x14ac:dyDescent="0.25">
      <x:c r="F5878" s="11"/>
    </x:row>
    <x:row r="5879" spans="6:6" x14ac:dyDescent="0.25">
      <x:c r="F5879" s="11"/>
    </x:row>
    <x:row r="5880" spans="6:6" x14ac:dyDescent="0.25">
      <x:c r="F5880" s="11"/>
    </x:row>
    <x:row r="5881" spans="6:6" x14ac:dyDescent="0.25">
      <x:c r="F5881" s="11"/>
    </x:row>
    <x:row r="5882" spans="6:6" x14ac:dyDescent="0.25">
      <x:c r="F5882" s="11"/>
    </x:row>
    <x:row r="5883" spans="6:6" x14ac:dyDescent="0.25">
      <x:c r="F5883" s="11"/>
    </x:row>
    <x:row r="5884" spans="6:6" x14ac:dyDescent="0.25">
      <x:c r="F5884" s="11"/>
    </x:row>
    <x:row r="5885" spans="6:6" x14ac:dyDescent="0.25">
      <x:c r="F5885" s="11"/>
    </x:row>
    <x:row r="5886" spans="6:6" x14ac:dyDescent="0.25">
      <x:c r="F5886" s="11"/>
    </x:row>
    <x:row r="5887" spans="6:6" x14ac:dyDescent="0.25">
      <x:c r="F5887" s="11"/>
    </x:row>
    <x:row r="5888" spans="6:6" x14ac:dyDescent="0.25">
      <x:c r="F5888" s="11"/>
    </x:row>
    <x:row r="5889" spans="6:6" x14ac:dyDescent="0.25">
      <x:c r="F5889" s="11"/>
    </x:row>
    <x:row r="5890" spans="6:6" x14ac:dyDescent="0.25">
      <x:c r="F5890" s="11"/>
    </x:row>
    <x:row r="5891" spans="6:6" x14ac:dyDescent="0.25">
      <x:c r="F5891" s="11"/>
    </x:row>
    <x:row r="5892" spans="6:6" x14ac:dyDescent="0.25">
      <x:c r="F5892" s="11"/>
    </x:row>
    <x:row r="5893" spans="6:6" x14ac:dyDescent="0.25">
      <x:c r="F5893" s="11"/>
    </x:row>
    <x:row r="5894" spans="6:6" x14ac:dyDescent="0.25">
      <x:c r="F5894" s="11"/>
    </x:row>
    <x:row r="5895" spans="6:6" x14ac:dyDescent="0.25">
      <x:c r="F5895" s="11"/>
    </x:row>
    <x:row r="5896" spans="6:6" x14ac:dyDescent="0.25">
      <x:c r="F5896" s="11"/>
    </x:row>
    <x:row r="5897" spans="6:6" x14ac:dyDescent="0.25">
      <x:c r="F5897" s="11"/>
    </x:row>
    <x:row r="5898" spans="6:6" x14ac:dyDescent="0.25">
      <x:c r="F5898" s="11"/>
    </x:row>
    <x:row r="5899" spans="6:6" x14ac:dyDescent="0.25">
      <x:c r="F5899" s="11"/>
    </x:row>
    <x:row r="5900" spans="6:6" x14ac:dyDescent="0.25">
      <x:c r="F5900" s="11"/>
    </x:row>
    <x:row r="5901" spans="6:6" x14ac:dyDescent="0.25">
      <x:c r="F5901" s="11"/>
    </x:row>
    <x:row r="5902" spans="6:6" x14ac:dyDescent="0.25">
      <x:c r="F5902" s="11"/>
    </x:row>
    <x:row r="5903" spans="6:6" x14ac:dyDescent="0.25">
      <x:c r="F5903" s="11"/>
    </x:row>
    <x:row r="5904" spans="6:6" x14ac:dyDescent="0.25">
      <x:c r="F5904" s="11"/>
    </x:row>
    <x:row r="5905" spans="6:6" x14ac:dyDescent="0.25">
      <x:c r="F5905" s="11"/>
    </x:row>
    <x:row r="5906" spans="6:6" x14ac:dyDescent="0.25">
      <x:c r="F5906" s="11"/>
    </x:row>
    <x:row r="5907" spans="6:6" x14ac:dyDescent="0.25">
      <x:c r="F5907" s="11"/>
    </x:row>
    <x:row r="5908" spans="6:6" x14ac:dyDescent="0.25">
      <x:c r="F5908" s="11"/>
    </x:row>
    <x:row r="5909" spans="6:6" x14ac:dyDescent="0.25">
      <x:c r="F5909" s="11"/>
    </x:row>
    <x:row r="5910" spans="6:6" x14ac:dyDescent="0.25">
      <x:c r="F5910" s="11"/>
    </x:row>
    <x:row r="5911" spans="6:6" x14ac:dyDescent="0.25">
      <x:c r="F5911" s="11"/>
    </x:row>
    <x:row r="5912" spans="6:6" x14ac:dyDescent="0.25">
      <x:c r="F5912" s="11"/>
    </x:row>
    <x:row r="5913" spans="6:6" x14ac:dyDescent="0.25">
      <x:c r="F5913" s="11"/>
    </x:row>
    <x:row r="5914" spans="6:6" x14ac:dyDescent="0.25">
      <x:c r="F5914" s="11"/>
    </x:row>
    <x:row r="5915" spans="6:6" x14ac:dyDescent="0.25">
      <x:c r="F5915" s="11"/>
    </x:row>
    <x:row r="5916" spans="6:6" x14ac:dyDescent="0.25">
      <x:c r="F5916" s="11"/>
    </x:row>
    <x:row r="5917" spans="6:6" x14ac:dyDescent="0.25">
      <x:c r="F5917" s="11"/>
    </x:row>
    <x:row r="5918" spans="6:6" x14ac:dyDescent="0.25">
      <x:c r="F5918" s="11"/>
    </x:row>
    <x:row r="5919" spans="6:6" x14ac:dyDescent="0.25">
      <x:c r="F5919" s="11"/>
    </x:row>
    <x:row r="5920" spans="6:6" x14ac:dyDescent="0.25">
      <x:c r="F5920" s="11"/>
    </x:row>
    <x:row r="5921" spans="6:6" x14ac:dyDescent="0.25">
      <x:c r="F5921" s="11"/>
    </x:row>
    <x:row r="5922" spans="6:6" x14ac:dyDescent="0.25">
      <x:c r="F5922" s="11"/>
    </x:row>
    <x:row r="5923" spans="6:6" x14ac:dyDescent="0.25">
      <x:c r="F5923" s="11"/>
    </x:row>
    <x:row r="5924" spans="6:6" x14ac:dyDescent="0.25">
      <x:c r="F5924" s="11"/>
    </x:row>
    <x:row r="5925" spans="6:6" x14ac:dyDescent="0.25">
      <x:c r="F5925" s="11"/>
    </x:row>
    <x:row r="5926" spans="6:6" x14ac:dyDescent="0.25">
      <x:c r="F5926" s="11"/>
    </x:row>
    <x:row r="5927" spans="6:6" x14ac:dyDescent="0.25">
      <x:c r="F5927" s="11"/>
    </x:row>
    <x:row r="5928" spans="6:6" x14ac:dyDescent="0.25">
      <x:c r="F5928" s="11"/>
    </x:row>
    <x:row r="5929" spans="6:6" x14ac:dyDescent="0.25">
      <x:c r="F5929" s="11"/>
    </x:row>
    <x:row r="5930" spans="6:6" x14ac:dyDescent="0.25">
      <x:c r="F5930" s="11"/>
    </x:row>
    <x:row r="5931" spans="6:6" x14ac:dyDescent="0.25">
      <x:c r="F5931" s="11"/>
    </x:row>
    <x:row r="5932" spans="6:6" x14ac:dyDescent="0.25">
      <x:c r="F5932" s="11"/>
    </x:row>
    <x:row r="5933" spans="6:6" x14ac:dyDescent="0.25">
      <x:c r="F5933" s="11"/>
    </x:row>
    <x:row r="5934" spans="6:6" x14ac:dyDescent="0.25">
      <x:c r="F5934" s="11"/>
    </x:row>
    <x:row r="5935" spans="6:6" x14ac:dyDescent="0.25">
      <x:c r="F5935" s="11"/>
    </x:row>
    <x:row r="5936" spans="6:6" x14ac:dyDescent="0.25">
      <x:c r="F5936" s="11"/>
    </x:row>
    <x:row r="5937" spans="6:6" x14ac:dyDescent="0.25">
      <x:c r="F5937" s="11"/>
    </x:row>
    <x:row r="5938" spans="6:6" x14ac:dyDescent="0.25">
      <x:c r="F5938" s="11"/>
    </x:row>
    <x:row r="5939" spans="6:6" x14ac:dyDescent="0.25">
      <x:c r="F5939" s="11"/>
    </x:row>
    <x:row r="5940" spans="6:6" x14ac:dyDescent="0.25">
      <x:c r="F5940" s="11"/>
    </x:row>
    <x:row r="5941" spans="6:6" x14ac:dyDescent="0.25">
      <x:c r="F5941" s="11"/>
    </x:row>
    <x:row r="5942" spans="6:6" x14ac:dyDescent="0.25">
      <x:c r="F5942" s="11"/>
    </x:row>
    <x:row r="5943" spans="6:6" x14ac:dyDescent="0.25">
      <x:c r="F5943" s="11"/>
    </x:row>
    <x:row r="5944" spans="6:6" x14ac:dyDescent="0.25">
      <x:c r="F5944" s="11"/>
    </x:row>
    <x:row r="5945" spans="6:6" x14ac:dyDescent="0.25">
      <x:c r="F5945" s="11"/>
    </x:row>
    <x:row r="5946" spans="6:6" x14ac:dyDescent="0.25">
      <x:c r="F5946" s="11"/>
    </x:row>
    <x:row r="5947" spans="6:6" x14ac:dyDescent="0.25">
      <x:c r="F5947" s="11"/>
    </x:row>
    <x:row r="5948" spans="6:6" x14ac:dyDescent="0.25">
      <x:c r="F5948" s="11"/>
    </x:row>
    <x:row r="5949" spans="6:6" x14ac:dyDescent="0.25">
      <x:c r="F5949" s="11"/>
    </x:row>
    <x:row r="5950" spans="6:6" x14ac:dyDescent="0.25">
      <x:c r="F5950" s="11"/>
    </x:row>
    <x:row r="5951" spans="6:6" x14ac:dyDescent="0.25">
      <x:c r="F5951" s="11"/>
    </x:row>
    <x:row r="5952" spans="6:6" x14ac:dyDescent="0.25">
      <x:c r="F5952" s="11"/>
    </x:row>
    <x:row r="5953" spans="6:6" x14ac:dyDescent="0.25">
      <x:c r="F5953" s="11"/>
    </x:row>
    <x:row r="5954" spans="6:6" x14ac:dyDescent="0.25">
      <x:c r="F5954" s="11"/>
    </x:row>
    <x:row r="5955" spans="6:6" x14ac:dyDescent="0.25">
      <x:c r="F5955" s="11"/>
    </x:row>
    <x:row r="5956" spans="6:6" x14ac:dyDescent="0.25">
      <x:c r="F5956" s="11"/>
    </x:row>
    <x:row r="5957" spans="6:6" x14ac:dyDescent="0.25">
      <x:c r="F5957" s="11"/>
    </x:row>
    <x:row r="5958" spans="6:6" x14ac:dyDescent="0.25">
      <x:c r="F5958" s="11"/>
    </x:row>
    <x:row r="5959" spans="6:6" x14ac:dyDescent="0.25">
      <x:c r="F5959" s="11"/>
    </x:row>
    <x:row r="5960" spans="6:6" x14ac:dyDescent="0.25">
      <x:c r="F5960" s="11"/>
    </x:row>
    <x:row r="5961" spans="6:6" x14ac:dyDescent="0.25">
      <x:c r="F5961" s="11"/>
    </x:row>
    <x:row r="5962" spans="6:6" x14ac:dyDescent="0.25">
      <x:c r="F5962" s="11"/>
    </x:row>
    <x:row r="5963" spans="6:6" x14ac:dyDescent="0.25">
      <x:c r="F5963" s="11"/>
    </x:row>
    <x:row r="5964" spans="6:6" x14ac:dyDescent="0.25">
      <x:c r="F5964" s="11"/>
    </x:row>
    <x:row r="5965" spans="6:6" x14ac:dyDescent="0.25">
      <x:c r="F5965" s="11"/>
    </x:row>
    <x:row r="5966" spans="6:6" x14ac:dyDescent="0.25">
      <x:c r="F5966" s="11"/>
    </x:row>
    <x:row r="5967" spans="6:6" x14ac:dyDescent="0.25">
      <x:c r="F5967" s="11"/>
    </x:row>
    <x:row r="5968" spans="6:6" x14ac:dyDescent="0.25">
      <x:c r="F5968" s="11"/>
    </x:row>
    <x:row r="5969" spans="6:6" x14ac:dyDescent="0.25">
      <x:c r="F5969" s="11"/>
    </x:row>
    <x:row r="5970" spans="6:6" x14ac:dyDescent="0.25">
      <x:c r="F5970" s="11"/>
    </x:row>
    <x:row r="5971" spans="6:6" x14ac:dyDescent="0.25">
      <x:c r="F5971" s="11"/>
    </x:row>
    <x:row r="5972" spans="6:6" x14ac:dyDescent="0.25">
      <x:c r="F5972" s="11"/>
    </x:row>
    <x:row r="5973" spans="6:6" x14ac:dyDescent="0.25">
      <x:c r="F5973" s="11"/>
    </x:row>
    <x:row r="5974" spans="6:6" x14ac:dyDescent="0.25">
      <x:c r="F5974" s="11"/>
    </x:row>
    <x:row r="5975" spans="6:6" x14ac:dyDescent="0.25">
      <x:c r="F5975" s="11"/>
    </x:row>
    <x:row r="5976" spans="6:6" x14ac:dyDescent="0.25">
      <x:c r="F5976" s="11"/>
    </x:row>
    <x:row r="5977" spans="6:6" x14ac:dyDescent="0.25">
      <x:c r="F5977" s="11"/>
    </x:row>
    <x:row r="5978" spans="6:6" x14ac:dyDescent="0.25">
      <x:c r="F5978" s="11"/>
    </x:row>
    <x:row r="5979" spans="6:6" x14ac:dyDescent="0.25">
      <x:c r="F5979" s="11"/>
    </x:row>
    <x:row r="5980" spans="6:6" x14ac:dyDescent="0.25">
      <x:c r="F5980" s="11"/>
    </x:row>
    <x:row r="5981" spans="6:6" x14ac:dyDescent="0.25">
      <x:c r="F5981" s="11"/>
    </x:row>
    <x:row r="5982" spans="6:6" x14ac:dyDescent="0.25">
      <x:c r="F5982" s="11"/>
    </x:row>
    <x:row r="5983" spans="6:6" x14ac:dyDescent="0.25">
      <x:c r="F5983" s="11"/>
    </x:row>
    <x:row r="5984" spans="6:6" x14ac:dyDescent="0.25">
      <x:c r="F5984" s="11"/>
    </x:row>
    <x:row r="5985" spans="6:6" x14ac:dyDescent="0.25">
      <x:c r="F5985" s="11"/>
    </x:row>
    <x:row r="5986" spans="6:6" x14ac:dyDescent="0.25">
      <x:c r="F5986" s="11"/>
    </x:row>
    <x:row r="5987" spans="6:6" x14ac:dyDescent="0.25">
      <x:c r="F5987" s="11"/>
    </x:row>
    <x:row r="5988" spans="6:6" x14ac:dyDescent="0.25">
      <x:c r="F5988" s="11"/>
    </x:row>
    <x:row r="5989" spans="6:6" x14ac:dyDescent="0.25">
      <x:c r="F5989" s="11"/>
    </x:row>
    <x:row r="5990" spans="6:6" x14ac:dyDescent="0.25">
      <x:c r="F5990" s="11"/>
    </x:row>
    <x:row r="5991" spans="6:6" x14ac:dyDescent="0.25">
      <x:c r="F5991" s="11"/>
    </x:row>
    <x:row r="5992" spans="6:6" x14ac:dyDescent="0.25">
      <x:c r="F5992" s="11"/>
    </x:row>
    <x:row r="5993" spans="6:6" x14ac:dyDescent="0.25">
      <x:c r="F5993" s="11"/>
    </x:row>
    <x:row r="5994" spans="6:6" x14ac:dyDescent="0.25">
      <x:c r="F5994" s="11"/>
    </x:row>
    <x:row r="5995" spans="6:6" x14ac:dyDescent="0.25">
      <x:c r="F5995" s="11"/>
    </x:row>
    <x:row r="5996" spans="6:6" x14ac:dyDescent="0.25">
      <x:c r="F5996" s="11"/>
    </x:row>
    <x:row r="5997" spans="6:6" x14ac:dyDescent="0.25">
      <x:c r="F5997" s="11"/>
    </x:row>
    <x:row r="5998" spans="6:6" x14ac:dyDescent="0.25">
      <x:c r="F5998" s="11"/>
    </x:row>
    <x:row r="5999" spans="6:6" x14ac:dyDescent="0.25">
      <x:c r="F5999" s="11"/>
    </x:row>
    <x:row r="6000" spans="6:6" x14ac:dyDescent="0.25">
      <x:c r="F6000" s="11"/>
    </x:row>
    <x:row r="6001" spans="6:6" x14ac:dyDescent="0.25">
      <x:c r="F6001" s="11"/>
    </x:row>
    <x:row r="6002" spans="6:6" x14ac:dyDescent="0.25">
      <x:c r="F6002" s="11"/>
    </x:row>
    <x:row r="6003" spans="6:6" x14ac:dyDescent="0.25">
      <x:c r="F6003" s="11"/>
    </x:row>
    <x:row r="6004" spans="6:6" x14ac:dyDescent="0.25">
      <x:c r="F6004" s="11"/>
    </x:row>
    <x:row r="6005" spans="6:6" x14ac:dyDescent="0.25">
      <x:c r="F6005" s="11"/>
    </x:row>
    <x:row r="6006" spans="6:6" x14ac:dyDescent="0.25">
      <x:c r="F6006" s="11"/>
    </x:row>
    <x:row r="6007" spans="6:6" x14ac:dyDescent="0.25">
      <x:c r="F6007" s="11"/>
    </x:row>
    <x:row r="6008" spans="6:6" x14ac:dyDescent="0.25">
      <x:c r="F6008" s="11"/>
    </x:row>
    <x:row r="6009" spans="6:6" x14ac:dyDescent="0.25">
      <x:c r="F6009" s="11"/>
    </x:row>
    <x:row r="6010" spans="6:6" x14ac:dyDescent="0.25">
      <x:c r="F6010" s="11"/>
    </x:row>
    <x:row r="6011" spans="6:6" x14ac:dyDescent="0.25">
      <x:c r="F6011" s="11"/>
    </x:row>
    <x:row r="6012" spans="6:6" x14ac:dyDescent="0.25">
      <x:c r="F6012" s="11"/>
    </x:row>
    <x:row r="6013" spans="6:6" x14ac:dyDescent="0.25">
      <x:c r="F6013" s="11"/>
    </x:row>
    <x:row r="6014" spans="6:6" x14ac:dyDescent="0.25">
      <x:c r="F6014" s="11"/>
    </x:row>
    <x:row r="6015" spans="6:6" x14ac:dyDescent="0.25">
      <x:c r="F6015" s="11"/>
    </x:row>
    <x:row r="6016" spans="6:6" x14ac:dyDescent="0.25">
      <x:c r="F6016" s="11"/>
    </x:row>
    <x:row r="6017" spans="6:6" x14ac:dyDescent="0.25">
      <x:c r="F6017" s="11"/>
    </x:row>
    <x:row r="6018" spans="6:6" x14ac:dyDescent="0.25">
      <x:c r="F6018" s="11"/>
    </x:row>
    <x:row r="6019" spans="6:6" x14ac:dyDescent="0.25">
      <x:c r="F6019" s="11"/>
    </x:row>
    <x:row r="6020" spans="6:6" x14ac:dyDescent="0.25">
      <x:c r="F6020" s="11"/>
    </x:row>
    <x:row r="6021" spans="6:6" x14ac:dyDescent="0.25">
      <x:c r="F6021" s="11"/>
    </x:row>
    <x:row r="6022" spans="6:6" x14ac:dyDescent="0.25">
      <x:c r="F6022" s="11"/>
    </x:row>
    <x:row r="6023" spans="6:6" x14ac:dyDescent="0.25">
      <x:c r="F6023" s="11"/>
    </x:row>
    <x:row r="6024" spans="6:6" x14ac:dyDescent="0.25">
      <x:c r="F6024" s="11"/>
    </x:row>
    <x:row r="6025" spans="6:6" x14ac:dyDescent="0.25">
      <x:c r="F6025" s="11"/>
    </x:row>
    <x:row r="6026" spans="6:6" x14ac:dyDescent="0.25">
      <x:c r="F6026" s="11"/>
    </x:row>
    <x:row r="6027" spans="6:6" x14ac:dyDescent="0.25">
      <x:c r="F6027" s="11"/>
    </x:row>
    <x:row r="6028" spans="6:6" x14ac:dyDescent="0.25">
      <x:c r="F6028" s="11"/>
    </x:row>
    <x:row r="6029" spans="6:6" x14ac:dyDescent="0.25">
      <x:c r="F6029" s="11"/>
    </x:row>
    <x:row r="6030" spans="6:6" x14ac:dyDescent="0.25">
      <x:c r="F6030" s="11"/>
    </x:row>
    <x:row r="6031" spans="6:6" x14ac:dyDescent="0.25">
      <x:c r="F6031" s="11"/>
    </x:row>
    <x:row r="6032" spans="6:6" x14ac:dyDescent="0.25">
      <x:c r="F6032" s="11"/>
    </x:row>
    <x:row r="6033" spans="6:6" x14ac:dyDescent="0.25">
      <x:c r="F6033" s="11"/>
    </x:row>
    <x:row r="6034" spans="6:6" x14ac:dyDescent="0.25">
      <x:c r="F6034" s="11"/>
    </x:row>
    <x:row r="6035" spans="6:6" x14ac:dyDescent="0.25">
      <x:c r="F6035" s="11"/>
    </x:row>
    <x:row r="6036" spans="6:6" x14ac:dyDescent="0.25">
      <x:c r="F6036" s="11"/>
    </x:row>
    <x:row r="6037" spans="6:6" x14ac:dyDescent="0.25">
      <x:c r="F6037" s="11"/>
    </x:row>
    <x:row r="6038" spans="6:6" x14ac:dyDescent="0.25">
      <x:c r="F6038" s="11"/>
    </x:row>
    <x:row r="6039" spans="6:6" x14ac:dyDescent="0.25">
      <x:c r="F6039" s="11"/>
    </x:row>
    <x:row r="6040" spans="6:6" x14ac:dyDescent="0.25">
      <x:c r="F6040" s="11"/>
    </x:row>
    <x:row r="6041" spans="6:6" x14ac:dyDescent="0.25">
      <x:c r="F6041" s="11"/>
    </x:row>
    <x:row r="6042" spans="6:6" x14ac:dyDescent="0.25">
      <x:c r="F6042" s="11"/>
    </x:row>
    <x:row r="6043" spans="6:6" x14ac:dyDescent="0.25">
      <x:c r="F6043" s="11"/>
    </x:row>
    <x:row r="6044" spans="6:6" x14ac:dyDescent="0.25">
      <x:c r="F6044" s="11"/>
    </x:row>
    <x:row r="6045" spans="6:6" x14ac:dyDescent="0.25">
      <x:c r="F6045" s="11"/>
    </x:row>
    <x:row r="6046" spans="6:6" x14ac:dyDescent="0.25">
      <x:c r="F6046" s="11"/>
    </x:row>
    <x:row r="6047" spans="6:6" x14ac:dyDescent="0.25">
      <x:c r="F6047" s="11"/>
    </x:row>
    <x:row r="6048" spans="6:6" x14ac:dyDescent="0.25">
      <x:c r="F6048" s="11"/>
    </x:row>
    <x:row r="6049" spans="6:6" x14ac:dyDescent="0.25">
      <x:c r="F6049" s="11"/>
    </x:row>
    <x:row r="6050" spans="6:6" x14ac:dyDescent="0.25">
      <x:c r="F6050" s="11"/>
    </x:row>
    <x:row r="6051" spans="6:6" x14ac:dyDescent="0.25">
      <x:c r="F6051" s="11"/>
    </x:row>
    <x:row r="6052" spans="6:6" x14ac:dyDescent="0.25">
      <x:c r="F6052" s="11"/>
    </x:row>
    <x:row r="6053" spans="6:6" x14ac:dyDescent="0.25">
      <x:c r="F6053" s="11"/>
    </x:row>
    <x:row r="6054" spans="6:6" x14ac:dyDescent="0.25">
      <x:c r="F6054" s="11"/>
    </x:row>
    <x:row r="6055" spans="6:6" x14ac:dyDescent="0.25">
      <x:c r="F6055" s="11"/>
    </x:row>
    <x:row r="6056" spans="6:6" x14ac:dyDescent="0.25">
      <x:c r="F6056" s="11"/>
    </x:row>
    <x:row r="6057" spans="6:6" x14ac:dyDescent="0.25">
      <x:c r="F6057" s="11"/>
    </x:row>
    <x:row r="6058" spans="6:6" x14ac:dyDescent="0.25">
      <x:c r="F6058" s="11"/>
    </x:row>
    <x:row r="6059" spans="6:6" x14ac:dyDescent="0.25">
      <x:c r="F6059" s="11"/>
    </x:row>
    <x:row r="6060" spans="6:6" x14ac:dyDescent="0.25">
      <x:c r="F6060" s="11"/>
    </x:row>
    <x:row r="6061" spans="6:6" x14ac:dyDescent="0.25">
      <x:c r="F6061" s="11"/>
    </x:row>
    <x:row r="6062" spans="6:6" x14ac:dyDescent="0.25">
      <x:c r="F6062" s="11"/>
    </x:row>
    <x:row r="6063" spans="6:6" x14ac:dyDescent="0.25">
      <x:c r="F6063" s="11"/>
    </x:row>
    <x:row r="6064" spans="6:6" x14ac:dyDescent="0.25">
      <x:c r="F6064" s="11"/>
    </x:row>
    <x:row r="6065" spans="6:6" x14ac:dyDescent="0.25">
      <x:c r="F6065" s="11"/>
    </x:row>
    <x:row r="6066" spans="6:6" x14ac:dyDescent="0.25">
      <x:c r="F6066" s="11"/>
    </x:row>
    <x:row r="6067" spans="6:6" x14ac:dyDescent="0.25">
      <x:c r="F6067" s="11"/>
    </x:row>
    <x:row r="6068" spans="6:6" x14ac:dyDescent="0.25">
      <x:c r="F6068" s="11"/>
    </x:row>
    <x:row r="6069" spans="6:6" x14ac:dyDescent="0.25">
      <x:c r="F6069" s="11"/>
    </x:row>
    <x:row r="6070" spans="6:6" x14ac:dyDescent="0.25">
      <x:c r="F6070" s="11"/>
    </x:row>
    <x:row r="6071" spans="6:6" x14ac:dyDescent="0.25">
      <x:c r="F6071" s="11"/>
    </x:row>
    <x:row r="6072" spans="6:6" x14ac:dyDescent="0.25">
      <x:c r="F6072" s="11"/>
    </x:row>
    <x:row r="6073" spans="6:6" x14ac:dyDescent="0.25">
      <x:c r="F6073" s="11"/>
    </x:row>
    <x:row r="6074" spans="6:6" x14ac:dyDescent="0.25">
      <x:c r="F6074" s="11"/>
    </x:row>
    <x:row r="6075" spans="6:6" x14ac:dyDescent="0.25">
      <x:c r="F6075" s="11"/>
    </x:row>
    <x:row r="6076" spans="6:6" x14ac:dyDescent="0.25">
      <x:c r="F6076" s="11"/>
    </x:row>
    <x:row r="6077" spans="6:6" x14ac:dyDescent="0.25">
      <x:c r="F6077" s="11"/>
    </x:row>
    <x:row r="6078" spans="6:6" x14ac:dyDescent="0.25">
      <x:c r="F6078" s="11"/>
    </x:row>
    <x:row r="6079" spans="6:6" x14ac:dyDescent="0.25">
      <x:c r="F6079" s="11"/>
    </x:row>
    <x:row r="6080" spans="6:6" x14ac:dyDescent="0.25">
      <x:c r="F6080" s="11"/>
    </x:row>
    <x:row r="6081" spans="6:6" x14ac:dyDescent="0.25">
      <x:c r="F6081" s="11"/>
    </x:row>
    <x:row r="6082" spans="6:6" x14ac:dyDescent="0.25">
      <x:c r="F6082" s="11"/>
    </x:row>
    <x:row r="6083" spans="6:6" x14ac:dyDescent="0.25">
      <x:c r="F6083" s="11"/>
    </x:row>
    <x:row r="6084" spans="6:6" x14ac:dyDescent="0.25">
      <x:c r="F6084" s="11"/>
    </x:row>
    <x:row r="6085" spans="6:6" x14ac:dyDescent="0.25">
      <x:c r="F6085" s="11"/>
    </x:row>
    <x:row r="6086" spans="6:6" x14ac:dyDescent="0.25">
      <x:c r="F6086" s="11"/>
    </x:row>
    <x:row r="6087" spans="6:6" x14ac:dyDescent="0.25">
      <x:c r="F6087" s="11"/>
    </x:row>
    <x:row r="6088" spans="6:6" x14ac:dyDescent="0.25">
      <x:c r="F6088" s="11"/>
    </x:row>
    <x:row r="6089" spans="6:6" x14ac:dyDescent="0.25">
      <x:c r="F6089" s="11"/>
    </x:row>
    <x:row r="6090" spans="6:6" x14ac:dyDescent="0.25">
      <x:c r="F6090" s="11"/>
    </x:row>
    <x:row r="6091" spans="6:6" x14ac:dyDescent="0.25">
      <x:c r="F6091" s="11"/>
    </x:row>
    <x:row r="6092" spans="6:6" x14ac:dyDescent="0.25">
      <x:c r="F6092" s="11"/>
    </x:row>
    <x:row r="6093" spans="6:6" x14ac:dyDescent="0.25">
      <x:c r="F6093" s="11"/>
    </x:row>
    <x:row r="6094" spans="6:6" x14ac:dyDescent="0.25">
      <x:c r="F6094" s="11"/>
    </x:row>
    <x:row r="6095" spans="6:6" x14ac:dyDescent="0.25">
      <x:c r="F6095" s="11"/>
    </x:row>
    <x:row r="6096" spans="6:6" x14ac:dyDescent="0.25">
      <x:c r="F6096" s="11"/>
    </x:row>
    <x:row r="6097" spans="6:6" x14ac:dyDescent="0.25">
      <x:c r="F6097" s="11"/>
    </x:row>
    <x:row r="6098" spans="6:6" x14ac:dyDescent="0.25">
      <x:c r="F6098" s="11"/>
    </x:row>
    <x:row r="6099" spans="6:6" x14ac:dyDescent="0.25">
      <x:c r="F6099" s="11"/>
    </x:row>
    <x:row r="6100" spans="6:6" x14ac:dyDescent="0.25">
      <x:c r="F6100" s="11"/>
    </x:row>
    <x:row r="6101" spans="6:6" x14ac:dyDescent="0.25">
      <x:c r="F6101" s="11"/>
    </x:row>
    <x:row r="6102" spans="6:6" x14ac:dyDescent="0.25">
      <x:c r="F6102" s="11"/>
    </x:row>
    <x:row r="6103" spans="6:6" x14ac:dyDescent="0.25">
      <x:c r="F6103" s="11"/>
    </x:row>
    <x:row r="6104" spans="6:6" x14ac:dyDescent="0.25">
      <x:c r="F6104" s="11"/>
    </x:row>
    <x:row r="6105" spans="6:6" x14ac:dyDescent="0.25">
      <x:c r="F6105" s="11"/>
    </x:row>
    <x:row r="6106" spans="6:6" x14ac:dyDescent="0.25">
      <x:c r="F6106" s="11"/>
    </x:row>
    <x:row r="6107" spans="6:6" x14ac:dyDescent="0.25">
      <x:c r="F6107" s="11"/>
    </x:row>
    <x:row r="6108" spans="6:6" x14ac:dyDescent="0.25">
      <x:c r="F6108" s="11"/>
    </x:row>
    <x:row r="6109" spans="6:6" x14ac:dyDescent="0.25">
      <x:c r="F6109" s="11"/>
    </x:row>
    <x:row r="6110" spans="6:6" x14ac:dyDescent="0.25">
      <x:c r="F6110" s="11"/>
    </x:row>
    <x:row r="6111" spans="6:6" x14ac:dyDescent="0.25">
      <x:c r="F6111" s="11"/>
    </x:row>
    <x:row r="6112" spans="6:6" x14ac:dyDescent="0.25">
      <x:c r="F6112" s="11"/>
    </x:row>
    <x:row r="6113" spans="6:6" x14ac:dyDescent="0.25">
      <x:c r="F6113" s="11"/>
    </x:row>
    <x:row r="6114" spans="6:6" x14ac:dyDescent="0.25">
      <x:c r="F6114" s="11"/>
    </x:row>
    <x:row r="6115" spans="6:6" x14ac:dyDescent="0.25">
      <x:c r="F6115" s="11"/>
    </x:row>
    <x:row r="6116" spans="6:6" x14ac:dyDescent="0.25">
      <x:c r="F6116" s="11"/>
    </x:row>
    <x:row r="6117" spans="6:6" x14ac:dyDescent="0.25">
      <x:c r="F6117" s="11"/>
    </x:row>
    <x:row r="6118" spans="6:6" x14ac:dyDescent="0.25">
      <x:c r="F6118" s="11"/>
    </x:row>
    <x:row r="6119" spans="6:6" x14ac:dyDescent="0.25">
      <x:c r="F6119" s="11"/>
    </x:row>
    <x:row r="6120" spans="6:6" x14ac:dyDescent="0.25">
      <x:c r="F6120" s="11"/>
    </x:row>
    <x:row r="6121" spans="6:6" x14ac:dyDescent="0.25">
      <x:c r="F6121" s="11"/>
    </x:row>
    <x:row r="6122" spans="6:6" x14ac:dyDescent="0.25">
      <x:c r="F6122" s="11"/>
    </x:row>
    <x:row r="6123" spans="6:6" x14ac:dyDescent="0.25">
      <x:c r="F6123" s="11"/>
    </x:row>
    <x:row r="6124" spans="6:6" x14ac:dyDescent="0.25">
      <x:c r="F6124" s="11"/>
    </x:row>
    <x:row r="6125" spans="6:6" x14ac:dyDescent="0.25">
      <x:c r="F6125" s="11"/>
    </x:row>
    <x:row r="6126" spans="6:6" x14ac:dyDescent="0.25">
      <x:c r="F6126" s="11"/>
    </x:row>
    <x:row r="6127" spans="6:6" x14ac:dyDescent="0.25">
      <x:c r="F6127" s="11"/>
    </x:row>
    <x:row r="6128" spans="6:6" x14ac:dyDescent="0.25">
      <x:c r="F6128" s="11"/>
    </x:row>
    <x:row r="6129" spans="6:6" x14ac:dyDescent="0.25">
      <x:c r="F6129" s="11"/>
    </x:row>
    <x:row r="6130" spans="6:6" x14ac:dyDescent="0.25">
      <x:c r="F6130" s="11"/>
    </x:row>
    <x:row r="6131" spans="6:6" x14ac:dyDescent="0.25">
      <x:c r="F6131" s="11"/>
    </x:row>
    <x:row r="6132" spans="6:6" x14ac:dyDescent="0.25">
      <x:c r="F6132" s="11"/>
    </x:row>
    <x:row r="6133" spans="6:6" x14ac:dyDescent="0.25">
      <x:c r="F6133" s="11"/>
    </x:row>
    <x:row r="6134" spans="6:6" x14ac:dyDescent="0.25">
      <x:c r="F6134" s="11"/>
    </x:row>
    <x:row r="6135" spans="6:6" x14ac:dyDescent="0.25">
      <x:c r="F6135" s="11"/>
    </x:row>
    <x:row r="6136" spans="6:6" x14ac:dyDescent="0.25">
      <x:c r="F6136" s="11"/>
    </x:row>
    <x:row r="6137" spans="6:6" x14ac:dyDescent="0.25">
      <x:c r="F6137" s="11"/>
    </x:row>
    <x:row r="6138" spans="6:6" x14ac:dyDescent="0.25">
      <x:c r="F6138" s="11"/>
    </x:row>
    <x:row r="6139" spans="6:6" x14ac:dyDescent="0.25">
      <x:c r="F6139" s="11"/>
    </x:row>
    <x:row r="6140" spans="6:6" x14ac:dyDescent="0.25">
      <x:c r="F6140" s="11"/>
    </x:row>
    <x:row r="6141" spans="6:6" x14ac:dyDescent="0.25">
      <x:c r="F6141" s="11"/>
    </x:row>
    <x:row r="6142" spans="6:6" x14ac:dyDescent="0.25">
      <x:c r="F6142" s="11"/>
    </x:row>
    <x:row r="6143" spans="6:6" x14ac:dyDescent="0.25">
      <x:c r="F6143" s="11"/>
    </x:row>
    <x:row r="6144" spans="6:6" x14ac:dyDescent="0.25">
      <x:c r="F6144" s="11"/>
    </x:row>
    <x:row r="6145" spans="6:6" x14ac:dyDescent="0.25">
      <x:c r="F6145" s="11"/>
    </x:row>
    <x:row r="6146" spans="6:6" x14ac:dyDescent="0.25">
      <x:c r="F6146" s="11"/>
    </x:row>
    <x:row r="6147" spans="6:6" x14ac:dyDescent="0.25">
      <x:c r="F6147" s="11"/>
    </x:row>
    <x:row r="6148" spans="6:6" x14ac:dyDescent="0.25">
      <x:c r="F6148" s="11"/>
    </x:row>
    <x:row r="6149" spans="6:6" x14ac:dyDescent="0.25">
      <x:c r="F6149" s="11"/>
    </x:row>
    <x:row r="6150" spans="6:6" x14ac:dyDescent="0.25">
      <x:c r="F6150" s="11"/>
    </x:row>
    <x:row r="6151" spans="6:6" x14ac:dyDescent="0.25">
      <x:c r="F6151" s="11"/>
    </x:row>
    <x:row r="6152" spans="6:6" x14ac:dyDescent="0.25">
      <x:c r="F6152" s="11"/>
    </x:row>
    <x:row r="6153" spans="6:6" x14ac:dyDescent="0.25">
      <x:c r="F6153" s="11"/>
    </x:row>
    <x:row r="6154" spans="6:6" x14ac:dyDescent="0.25">
      <x:c r="F6154" s="11"/>
    </x:row>
    <x:row r="6155" spans="6:6" x14ac:dyDescent="0.25">
      <x:c r="F6155" s="11"/>
    </x:row>
    <x:row r="6156" spans="6:6" x14ac:dyDescent="0.25">
      <x:c r="F6156" s="11"/>
    </x:row>
    <x:row r="6157" spans="6:6" x14ac:dyDescent="0.25">
      <x:c r="F6157" s="11"/>
    </x:row>
    <x:row r="6158" spans="6:6" x14ac:dyDescent="0.25">
      <x:c r="F6158" s="11"/>
    </x:row>
    <x:row r="6159" spans="6:6" x14ac:dyDescent="0.25">
      <x:c r="F6159" s="11"/>
    </x:row>
    <x:row r="6160" spans="6:6" x14ac:dyDescent="0.25">
      <x:c r="F6160" s="11"/>
    </x:row>
    <x:row r="6161" spans="6:6" x14ac:dyDescent="0.25">
      <x:c r="F6161" s="11"/>
    </x:row>
    <x:row r="6162" spans="6:6" x14ac:dyDescent="0.25">
      <x:c r="F6162" s="11"/>
    </x:row>
    <x:row r="6163" spans="6:6" x14ac:dyDescent="0.25">
      <x:c r="F6163" s="11"/>
    </x:row>
    <x:row r="6164" spans="6:6" x14ac:dyDescent="0.25">
      <x:c r="F6164" s="11"/>
    </x:row>
    <x:row r="6165" spans="6:6" x14ac:dyDescent="0.25">
      <x:c r="F6165" s="11"/>
    </x:row>
    <x:row r="6166" spans="6:6" x14ac:dyDescent="0.25">
      <x:c r="F6166" s="11"/>
    </x:row>
    <x:row r="6167" spans="6:6" x14ac:dyDescent="0.25">
      <x:c r="F6167" s="11"/>
    </x:row>
    <x:row r="6168" spans="6:6" x14ac:dyDescent="0.25">
      <x:c r="F6168" s="11"/>
    </x:row>
    <x:row r="6169" spans="6:6" x14ac:dyDescent="0.25">
      <x:c r="F6169" s="11"/>
    </x:row>
    <x:row r="6170" spans="6:6" x14ac:dyDescent="0.25">
      <x:c r="F6170" s="11"/>
    </x:row>
    <x:row r="6171" spans="6:6" x14ac:dyDescent="0.25">
      <x:c r="F6171" s="11"/>
    </x:row>
    <x:row r="6172" spans="6:6" x14ac:dyDescent="0.25">
      <x:c r="F6172" s="11"/>
    </x:row>
    <x:row r="6173" spans="6:6" x14ac:dyDescent="0.25">
      <x:c r="F6173" s="11"/>
    </x:row>
    <x:row r="6174" spans="6:6" x14ac:dyDescent="0.25">
      <x:c r="F6174" s="11"/>
    </x:row>
    <x:row r="6175" spans="6:6" x14ac:dyDescent="0.25">
      <x:c r="F6175" s="11"/>
    </x:row>
    <x:row r="6176" spans="6:6" x14ac:dyDescent="0.25">
      <x:c r="F6176" s="11"/>
    </x:row>
    <x:row r="6177" spans="6:6" x14ac:dyDescent="0.25">
      <x:c r="F6177" s="11"/>
    </x:row>
    <x:row r="6178" spans="6:6" x14ac:dyDescent="0.25">
      <x:c r="F6178" s="11"/>
    </x:row>
    <x:row r="6179" spans="6:6" x14ac:dyDescent="0.25">
      <x:c r="F6179" s="11"/>
    </x:row>
    <x:row r="6180" spans="6:6" x14ac:dyDescent="0.25">
      <x:c r="F6180" s="11"/>
    </x:row>
    <x:row r="6181" spans="6:6" x14ac:dyDescent="0.25">
      <x:c r="F6181" s="11"/>
    </x:row>
    <x:row r="6182" spans="6:6" x14ac:dyDescent="0.25">
      <x:c r="F6182" s="11"/>
    </x:row>
    <x:row r="6183" spans="6:6" x14ac:dyDescent="0.25">
      <x:c r="F6183" s="11"/>
    </x:row>
    <x:row r="6184" spans="6:6" x14ac:dyDescent="0.25">
      <x:c r="F6184" s="11"/>
    </x:row>
    <x:row r="6185" spans="6:6" x14ac:dyDescent="0.25">
      <x:c r="F6185" s="11"/>
    </x:row>
    <x:row r="6186" spans="6:6" x14ac:dyDescent="0.25">
      <x:c r="F6186" s="11"/>
    </x:row>
    <x:row r="6187" spans="6:6" x14ac:dyDescent="0.25">
      <x:c r="F6187" s="11"/>
    </x:row>
    <x:row r="6188" spans="6:6" x14ac:dyDescent="0.25">
      <x:c r="F6188" s="11"/>
    </x:row>
    <x:row r="6189" spans="6:6" x14ac:dyDescent="0.25">
      <x:c r="F6189" s="11"/>
    </x:row>
    <x:row r="6190" spans="6:6" x14ac:dyDescent="0.25">
      <x:c r="F6190" s="11"/>
    </x:row>
    <x:row r="6191" spans="6:6" x14ac:dyDescent="0.25">
      <x:c r="F6191" s="11"/>
    </x:row>
    <x:row r="6192" spans="6:6" x14ac:dyDescent="0.25">
      <x:c r="F6192" s="11"/>
    </x:row>
    <x:row r="6193" spans="6:6" x14ac:dyDescent="0.25">
      <x:c r="F6193" s="11"/>
    </x:row>
    <x:row r="6194" spans="6:6" x14ac:dyDescent="0.25">
      <x:c r="F6194" s="11"/>
    </x:row>
    <x:row r="6195" spans="6:6" x14ac:dyDescent="0.25">
      <x:c r="F6195" s="11"/>
    </x:row>
    <x:row r="6196" spans="6:6" x14ac:dyDescent="0.25">
      <x:c r="F6196" s="11"/>
    </x:row>
    <x:row r="6197" spans="6:6" x14ac:dyDescent="0.25">
      <x:c r="F6197" s="11"/>
    </x:row>
    <x:row r="6198" spans="6:6" x14ac:dyDescent="0.25">
      <x:c r="F6198" s="11"/>
    </x:row>
    <x:row r="6199" spans="6:6" x14ac:dyDescent="0.25">
      <x:c r="F6199" s="11"/>
    </x:row>
    <x:row r="6200" spans="6:6" x14ac:dyDescent="0.25">
      <x:c r="F6200" s="11"/>
    </x:row>
    <x:row r="6201" spans="6:6" x14ac:dyDescent="0.25">
      <x:c r="F6201" s="11"/>
    </x:row>
    <x:row r="6202" spans="6:6" x14ac:dyDescent="0.25">
      <x:c r="F6202" s="11"/>
    </x:row>
    <x:row r="6203" spans="6:6" x14ac:dyDescent="0.25">
      <x:c r="F6203" s="11"/>
    </x:row>
    <x:row r="6204" spans="6:6" x14ac:dyDescent="0.25">
      <x:c r="F6204" s="11"/>
    </x:row>
    <x:row r="6205" spans="6:6" x14ac:dyDescent="0.25">
      <x:c r="F6205" s="11"/>
    </x:row>
    <x:row r="6206" spans="6:6" x14ac:dyDescent="0.25">
      <x:c r="F6206" s="11"/>
    </x:row>
    <x:row r="6207" spans="6:6" x14ac:dyDescent="0.25">
      <x:c r="F6207" s="11"/>
    </x:row>
    <x:row r="6208" spans="6:6" x14ac:dyDescent="0.25">
      <x:c r="F6208" s="11"/>
    </x:row>
    <x:row r="6209" spans="6:6" x14ac:dyDescent="0.25">
      <x:c r="F6209" s="11"/>
    </x:row>
    <x:row r="6210" spans="6:6" x14ac:dyDescent="0.25">
      <x:c r="F6210" s="11"/>
    </x:row>
    <x:row r="6211" spans="6:6" x14ac:dyDescent="0.25">
      <x:c r="F6211" s="11"/>
    </x:row>
    <x:row r="6212" spans="6:6" x14ac:dyDescent="0.25">
      <x:c r="F6212" s="11"/>
    </x:row>
    <x:row r="6213" spans="6:6" x14ac:dyDescent="0.25">
      <x:c r="F6213" s="11"/>
    </x:row>
    <x:row r="6214" spans="6:6" x14ac:dyDescent="0.25">
      <x:c r="F6214" s="11"/>
    </x:row>
    <x:row r="6215" spans="6:6" x14ac:dyDescent="0.25">
      <x:c r="F6215" s="11"/>
    </x:row>
    <x:row r="6216" spans="6:6" x14ac:dyDescent="0.25">
      <x:c r="F6216" s="11"/>
    </x:row>
    <x:row r="6217" spans="6:6" x14ac:dyDescent="0.25">
      <x:c r="F6217" s="11"/>
    </x:row>
    <x:row r="6218" spans="6:6" x14ac:dyDescent="0.25">
      <x:c r="F6218" s="11"/>
    </x:row>
    <x:row r="6219" spans="6:6" x14ac:dyDescent="0.25">
      <x:c r="F6219" s="11"/>
    </x:row>
    <x:row r="6220" spans="6:6" x14ac:dyDescent="0.25">
      <x:c r="F6220" s="11"/>
    </x:row>
    <x:row r="6221" spans="6:6" x14ac:dyDescent="0.25">
      <x:c r="F6221" s="11"/>
    </x:row>
    <x:row r="6222" spans="6:6" x14ac:dyDescent="0.25">
      <x:c r="F6222" s="11"/>
    </x:row>
    <x:row r="6223" spans="6:6" x14ac:dyDescent="0.25">
      <x:c r="F6223" s="11"/>
    </x:row>
    <x:row r="6224" spans="6:6" x14ac:dyDescent="0.25">
      <x:c r="F6224" s="11"/>
    </x:row>
    <x:row r="6225" spans="6:6" x14ac:dyDescent="0.25">
      <x:c r="F6225" s="11"/>
    </x:row>
    <x:row r="6226" spans="6:6" x14ac:dyDescent="0.25">
      <x:c r="F6226" s="11"/>
    </x:row>
    <x:row r="6227" spans="6:6" x14ac:dyDescent="0.25">
      <x:c r="F6227" s="11"/>
    </x:row>
    <x:row r="6228" spans="6:6" x14ac:dyDescent="0.25">
      <x:c r="F6228" s="11"/>
    </x:row>
    <x:row r="6229" spans="6:6" x14ac:dyDescent="0.25">
      <x:c r="F6229" s="11"/>
    </x:row>
    <x:row r="6230" spans="6:6" x14ac:dyDescent="0.25">
      <x:c r="F6230" s="11"/>
    </x:row>
    <x:row r="6231" spans="6:6" x14ac:dyDescent="0.25">
      <x:c r="F6231" s="11"/>
    </x:row>
    <x:row r="6232" spans="6:6" x14ac:dyDescent="0.25">
      <x:c r="F6232" s="11"/>
    </x:row>
    <x:row r="6233" spans="6:6" x14ac:dyDescent="0.25">
      <x:c r="F6233" s="11"/>
    </x:row>
    <x:row r="6234" spans="6:6" x14ac:dyDescent="0.25">
      <x:c r="F6234" s="11"/>
    </x:row>
    <x:row r="6235" spans="6:6" x14ac:dyDescent="0.25">
      <x:c r="F6235" s="11"/>
    </x:row>
    <x:row r="6236" spans="6:6" x14ac:dyDescent="0.25">
      <x:c r="F6236" s="11"/>
    </x:row>
    <x:row r="6237" spans="6:6" x14ac:dyDescent="0.25">
      <x:c r="F6237" s="11"/>
    </x:row>
    <x:row r="6238" spans="6:6" x14ac:dyDescent="0.25">
      <x:c r="F6238" s="11"/>
    </x:row>
    <x:row r="6239" spans="6:6" x14ac:dyDescent="0.25">
      <x:c r="F6239" s="11"/>
    </x:row>
    <x:row r="6240" spans="6:6" x14ac:dyDescent="0.25">
      <x:c r="F6240" s="11"/>
    </x:row>
    <x:row r="6241" spans="6:6" x14ac:dyDescent="0.25">
      <x:c r="F6241" s="11"/>
    </x:row>
    <x:row r="6242" spans="6:6" x14ac:dyDescent="0.25">
      <x:c r="F6242" s="11"/>
    </x:row>
    <x:row r="6243" spans="6:6" x14ac:dyDescent="0.25">
      <x:c r="F6243" s="11"/>
    </x:row>
    <x:row r="6244" spans="6:6" x14ac:dyDescent="0.25">
      <x:c r="F6244" s="11"/>
    </x:row>
    <x:row r="6245" spans="6:6" x14ac:dyDescent="0.25">
      <x:c r="F6245" s="11"/>
    </x:row>
    <x:row r="6246" spans="6:6" x14ac:dyDescent="0.25">
      <x:c r="F6246" s="11"/>
    </x:row>
    <x:row r="6247" spans="6:6" x14ac:dyDescent="0.25">
      <x:c r="F6247" s="11"/>
    </x:row>
    <x:row r="6248" spans="6:6" x14ac:dyDescent="0.25">
      <x:c r="F6248" s="11"/>
    </x:row>
    <x:row r="6249" spans="6:6" x14ac:dyDescent="0.25">
      <x:c r="F6249" s="11"/>
    </x:row>
    <x:row r="6250" spans="6:6" x14ac:dyDescent="0.25">
      <x:c r="F6250" s="11"/>
    </x:row>
    <x:row r="6251" spans="6:6" x14ac:dyDescent="0.25">
      <x:c r="F6251" s="11"/>
    </x:row>
    <x:row r="6252" spans="6:6" x14ac:dyDescent="0.25">
      <x:c r="F6252" s="11"/>
    </x:row>
    <x:row r="6253" spans="6:6" x14ac:dyDescent="0.25">
      <x:c r="F6253" s="11"/>
    </x:row>
    <x:row r="6254" spans="6:6" x14ac:dyDescent="0.25">
      <x:c r="F6254" s="11"/>
    </x:row>
    <x:row r="6255" spans="6:6" x14ac:dyDescent="0.25">
      <x:c r="F6255" s="11"/>
    </x:row>
    <x:row r="6256" spans="6:6" x14ac:dyDescent="0.25">
      <x:c r="F6256" s="11"/>
    </x:row>
    <x:row r="6257" spans="6:6" x14ac:dyDescent="0.25">
      <x:c r="F6257" s="11"/>
    </x:row>
    <x:row r="6258" spans="6:6" x14ac:dyDescent="0.25">
      <x:c r="F6258" s="11"/>
    </x:row>
    <x:row r="6259" spans="6:6" x14ac:dyDescent="0.25">
      <x:c r="F6259" s="11"/>
    </x:row>
    <x:row r="6260" spans="6:6" x14ac:dyDescent="0.25">
      <x:c r="F6260" s="11"/>
    </x:row>
    <x:row r="6261" spans="6:6" x14ac:dyDescent="0.25">
      <x:c r="F6261" s="11"/>
    </x:row>
    <x:row r="6262" spans="6:6" x14ac:dyDescent="0.25">
      <x:c r="F6262" s="11"/>
    </x:row>
    <x:row r="6263" spans="6:6" x14ac:dyDescent="0.25">
      <x:c r="F6263" s="11"/>
    </x:row>
    <x:row r="6264" spans="6:6" x14ac:dyDescent="0.25">
      <x:c r="F6264" s="11"/>
    </x:row>
    <x:row r="6265" spans="6:6" x14ac:dyDescent="0.25">
      <x:c r="F6265" s="11"/>
    </x:row>
    <x:row r="6266" spans="6:6" x14ac:dyDescent="0.25">
      <x:c r="F6266" s="11"/>
    </x:row>
    <x:row r="6267" spans="6:6" x14ac:dyDescent="0.25">
      <x:c r="F6267" s="11"/>
    </x:row>
    <x:row r="6268" spans="6:6" x14ac:dyDescent="0.25">
      <x:c r="F6268" s="11"/>
    </x:row>
    <x:row r="6269" spans="6:6" x14ac:dyDescent="0.25">
      <x:c r="F6269" s="11"/>
    </x:row>
    <x:row r="6270" spans="6:6" x14ac:dyDescent="0.25">
      <x:c r="F6270" s="11"/>
    </x:row>
    <x:row r="6271" spans="6:6" x14ac:dyDescent="0.25">
      <x:c r="F6271" s="11"/>
    </x:row>
    <x:row r="6272" spans="6:6" x14ac:dyDescent="0.25">
      <x:c r="F6272" s="11"/>
    </x:row>
    <x:row r="6273" spans="6:6" x14ac:dyDescent="0.25">
      <x:c r="F6273" s="11"/>
    </x:row>
    <x:row r="6274" spans="6:6" x14ac:dyDescent="0.25">
      <x:c r="F6274" s="11"/>
    </x:row>
    <x:row r="6275" spans="6:6" x14ac:dyDescent="0.25">
      <x:c r="F6275" s="11"/>
    </x:row>
    <x:row r="6276" spans="6:6" x14ac:dyDescent="0.25">
      <x:c r="F6276" s="11"/>
    </x:row>
    <x:row r="6277" spans="6:6" x14ac:dyDescent="0.25">
      <x:c r="F6277" s="11"/>
    </x:row>
    <x:row r="6278" spans="6:6" x14ac:dyDescent="0.25">
      <x:c r="F6278" s="11"/>
    </x:row>
    <x:row r="6279" spans="6:6" x14ac:dyDescent="0.25">
      <x:c r="F6279" s="11"/>
    </x:row>
    <x:row r="6280" spans="6:6" x14ac:dyDescent="0.25">
      <x:c r="F6280" s="11"/>
    </x:row>
    <x:row r="6281" spans="6:6" x14ac:dyDescent="0.25">
      <x:c r="F6281" s="11"/>
    </x:row>
    <x:row r="6282" spans="6:6" x14ac:dyDescent="0.25">
      <x:c r="F6282" s="11"/>
    </x:row>
    <x:row r="6283" spans="6:6" x14ac:dyDescent="0.25">
      <x:c r="F6283" s="11"/>
    </x:row>
    <x:row r="6284" spans="6:6" x14ac:dyDescent="0.25">
      <x:c r="F6284" s="11"/>
    </x:row>
    <x:row r="6285" spans="6:6" x14ac:dyDescent="0.25">
      <x:c r="F6285" s="11"/>
    </x:row>
    <x:row r="6286" spans="6:6" x14ac:dyDescent="0.25">
      <x:c r="F6286" s="11"/>
    </x:row>
    <x:row r="6287" spans="6:6" x14ac:dyDescent="0.25">
      <x:c r="F6287" s="11"/>
    </x:row>
    <x:row r="6288" spans="6:6" x14ac:dyDescent="0.25">
      <x:c r="F6288" s="11"/>
    </x:row>
    <x:row r="6289" spans="6:6" x14ac:dyDescent="0.25">
      <x:c r="F6289" s="11"/>
    </x:row>
    <x:row r="6290" spans="6:6" x14ac:dyDescent="0.25">
      <x:c r="F6290" s="11"/>
    </x:row>
    <x:row r="6291" spans="6:6" x14ac:dyDescent="0.25">
      <x:c r="F6291" s="11"/>
    </x:row>
    <x:row r="6292" spans="6:6" x14ac:dyDescent="0.25">
      <x:c r="F6292" s="11"/>
    </x:row>
    <x:row r="6293" spans="6:6" x14ac:dyDescent="0.25">
      <x:c r="F6293" s="11"/>
    </x:row>
    <x:row r="6294" spans="6:6" x14ac:dyDescent="0.25">
      <x:c r="F6294" s="11"/>
    </x:row>
    <x:row r="6295" spans="6:6" x14ac:dyDescent="0.25">
      <x:c r="F6295" s="11"/>
    </x:row>
    <x:row r="6296" spans="6:6" x14ac:dyDescent="0.25">
      <x:c r="F6296" s="11"/>
    </x:row>
    <x:row r="6297" spans="6:6" x14ac:dyDescent="0.25">
      <x:c r="F6297" s="11"/>
    </x:row>
    <x:row r="6298" spans="6:6" x14ac:dyDescent="0.25">
      <x:c r="F6298" s="11"/>
    </x:row>
    <x:row r="6299" spans="6:6" x14ac:dyDescent="0.25">
      <x:c r="F6299" s="11"/>
    </x:row>
    <x:row r="6300" spans="6:6" x14ac:dyDescent="0.25">
      <x:c r="F6300" s="11"/>
    </x:row>
    <x:row r="6301" spans="6:6" x14ac:dyDescent="0.25">
      <x:c r="F6301" s="11"/>
    </x:row>
    <x:row r="6302" spans="6:6" x14ac:dyDescent="0.25">
      <x:c r="F6302" s="11"/>
    </x:row>
    <x:row r="6303" spans="6:6" x14ac:dyDescent="0.25">
      <x:c r="F6303" s="11"/>
    </x:row>
    <x:row r="6304" spans="6:6" x14ac:dyDescent="0.25">
      <x:c r="F6304" s="11"/>
    </x:row>
    <x:row r="6305" spans="6:6" x14ac:dyDescent="0.25">
      <x:c r="F6305" s="11"/>
    </x:row>
    <x:row r="6306" spans="6:6" x14ac:dyDescent="0.25">
      <x:c r="F6306" s="11"/>
    </x:row>
    <x:row r="6307" spans="6:6" x14ac:dyDescent="0.25">
      <x:c r="F6307" s="11"/>
    </x:row>
    <x:row r="6308" spans="6:6" x14ac:dyDescent="0.25">
      <x:c r="F6308" s="11"/>
    </x:row>
    <x:row r="6309" spans="6:6" x14ac:dyDescent="0.25">
      <x:c r="F6309" s="11"/>
    </x:row>
    <x:row r="6310" spans="6:6" x14ac:dyDescent="0.25">
      <x:c r="F6310" s="11"/>
    </x:row>
    <x:row r="6311" spans="6:6" x14ac:dyDescent="0.25">
      <x:c r="F6311" s="11"/>
    </x:row>
    <x:row r="6312" spans="6:6" x14ac:dyDescent="0.25">
      <x:c r="F6312" s="11"/>
    </x:row>
    <x:row r="6313" spans="6:6" x14ac:dyDescent="0.25">
      <x:c r="F6313" s="11"/>
    </x:row>
    <x:row r="6314" spans="6:6" x14ac:dyDescent="0.25">
      <x:c r="F6314" s="11"/>
    </x:row>
    <x:row r="6315" spans="6:6" x14ac:dyDescent="0.25">
      <x:c r="F6315" s="11"/>
    </x:row>
    <x:row r="6316" spans="6:6" x14ac:dyDescent="0.25">
      <x:c r="F6316" s="11"/>
    </x:row>
    <x:row r="6317" spans="6:6" x14ac:dyDescent="0.25">
      <x:c r="F6317" s="11"/>
    </x:row>
    <x:row r="6318" spans="6:6" x14ac:dyDescent="0.25">
      <x:c r="F6318" s="11"/>
    </x:row>
    <x:row r="6319" spans="6:6" x14ac:dyDescent="0.25">
      <x:c r="F6319" s="11"/>
    </x:row>
    <x:row r="6320" spans="6:6" x14ac:dyDescent="0.25">
      <x:c r="F6320" s="11"/>
    </x:row>
    <x:row r="6321" spans="6:6" x14ac:dyDescent="0.25">
      <x:c r="F6321" s="11"/>
    </x:row>
    <x:row r="6322" spans="6:6" x14ac:dyDescent="0.25">
      <x:c r="F6322" s="11"/>
    </x:row>
    <x:row r="6323" spans="6:6" x14ac:dyDescent="0.25">
      <x:c r="F6323" s="11"/>
    </x:row>
    <x:row r="6324" spans="6:6" x14ac:dyDescent="0.25">
      <x:c r="F6324" s="11"/>
    </x:row>
    <x:row r="6325" spans="6:6" x14ac:dyDescent="0.25">
      <x:c r="F6325" s="11"/>
    </x:row>
    <x:row r="6326" spans="6:6" x14ac:dyDescent="0.25">
      <x:c r="F6326" s="11"/>
    </x:row>
    <x:row r="6327" spans="6:6" x14ac:dyDescent="0.25">
      <x:c r="F6327" s="11"/>
    </x:row>
    <x:row r="6328" spans="6:6" x14ac:dyDescent="0.25">
      <x:c r="F6328" s="11"/>
    </x:row>
    <x:row r="6329" spans="6:6" x14ac:dyDescent="0.25">
      <x:c r="F6329" s="11"/>
    </x:row>
    <x:row r="6330" spans="6:6" x14ac:dyDescent="0.25">
      <x:c r="F6330" s="11"/>
    </x:row>
    <x:row r="6331" spans="6:6" x14ac:dyDescent="0.25">
      <x:c r="F6331" s="11"/>
    </x:row>
    <x:row r="6332" spans="6:6" x14ac:dyDescent="0.25">
      <x:c r="F6332" s="11"/>
    </x:row>
    <x:row r="6333" spans="6:6" x14ac:dyDescent="0.25">
      <x:c r="F6333" s="11"/>
    </x:row>
    <x:row r="6334" spans="6:6" x14ac:dyDescent="0.25">
      <x:c r="F6334" s="11"/>
    </x:row>
    <x:row r="6335" spans="6:6" x14ac:dyDescent="0.25">
      <x:c r="F6335" s="11"/>
    </x:row>
    <x:row r="6336" spans="6:6" x14ac:dyDescent="0.25">
      <x:c r="F6336" s="11"/>
    </x:row>
    <x:row r="6337" spans="6:6" x14ac:dyDescent="0.25">
      <x:c r="F6337" s="11"/>
    </x:row>
    <x:row r="6338" spans="6:6" x14ac:dyDescent="0.25">
      <x:c r="F6338" s="11"/>
    </x:row>
    <x:row r="6339" spans="6:6" x14ac:dyDescent="0.25">
      <x:c r="F6339" s="11"/>
    </x:row>
    <x:row r="6340" spans="6:6" x14ac:dyDescent="0.25">
      <x:c r="F6340" s="11"/>
    </x:row>
    <x:row r="6341" spans="6:6" x14ac:dyDescent="0.25">
      <x:c r="F6341" s="11"/>
    </x:row>
    <x:row r="6342" spans="6:6" x14ac:dyDescent="0.25">
      <x:c r="F6342" s="11"/>
    </x:row>
    <x:row r="6343" spans="6:6" x14ac:dyDescent="0.25">
      <x:c r="F6343" s="11"/>
    </x:row>
    <x:row r="6344" spans="6:6" x14ac:dyDescent="0.25">
      <x:c r="F6344" s="11"/>
    </x:row>
    <x:row r="6345" spans="6:6" x14ac:dyDescent="0.25">
      <x:c r="F6345" s="11"/>
    </x:row>
    <x:row r="6346" spans="6:6" x14ac:dyDescent="0.25">
      <x:c r="F6346" s="11"/>
    </x:row>
    <x:row r="6347" spans="6:6" x14ac:dyDescent="0.25">
      <x:c r="F6347" s="11"/>
    </x:row>
    <x:row r="6348" spans="6:6" x14ac:dyDescent="0.25">
      <x:c r="F6348" s="11"/>
    </x:row>
    <x:row r="6349" spans="6:6" x14ac:dyDescent="0.25">
      <x:c r="F6349" s="11"/>
    </x:row>
    <x:row r="6350" spans="6:6" x14ac:dyDescent="0.25">
      <x:c r="F6350" s="11"/>
    </x:row>
    <x:row r="6351" spans="6:6" x14ac:dyDescent="0.25">
      <x:c r="F6351" s="11"/>
    </x:row>
    <x:row r="6352" spans="6:6" x14ac:dyDescent="0.25">
      <x:c r="F6352" s="11"/>
    </x:row>
    <x:row r="6353" spans="6:6" x14ac:dyDescent="0.25">
      <x:c r="F6353" s="11"/>
    </x:row>
    <x:row r="6354" spans="6:6" x14ac:dyDescent="0.25">
      <x:c r="F6354" s="11"/>
    </x:row>
    <x:row r="6355" spans="6:6" x14ac:dyDescent="0.25">
      <x:c r="F6355" s="11"/>
    </x:row>
    <x:row r="6356" spans="6:6" x14ac:dyDescent="0.25">
      <x:c r="F6356" s="11"/>
    </x:row>
    <x:row r="6357" spans="6:6" x14ac:dyDescent="0.25">
      <x:c r="F6357" s="11"/>
    </x:row>
    <x:row r="6358" spans="6:6" x14ac:dyDescent="0.25">
      <x:c r="F6358" s="11"/>
    </x:row>
    <x:row r="6359" spans="6:6" x14ac:dyDescent="0.25">
      <x:c r="F6359" s="11"/>
    </x:row>
    <x:row r="6360" spans="6:6" x14ac:dyDescent="0.25">
      <x:c r="F6360" s="11"/>
    </x:row>
    <x:row r="6361" spans="6:6" x14ac:dyDescent="0.25">
      <x:c r="F6361" s="11"/>
    </x:row>
    <x:row r="6362" spans="6:6" x14ac:dyDescent="0.25">
      <x:c r="F6362" s="11"/>
    </x:row>
    <x:row r="6363" spans="6:6" x14ac:dyDescent="0.25">
      <x:c r="F6363" s="11"/>
    </x:row>
    <x:row r="6364" spans="6:6" x14ac:dyDescent="0.25">
      <x:c r="F6364" s="11"/>
    </x:row>
    <x:row r="6365" spans="6:6" x14ac:dyDescent="0.25">
      <x:c r="F6365" s="11"/>
    </x:row>
    <x:row r="6366" spans="6:6" x14ac:dyDescent="0.25">
      <x:c r="F6366" s="11"/>
    </x:row>
    <x:row r="6367" spans="6:6" x14ac:dyDescent="0.25">
      <x:c r="F6367" s="11"/>
    </x:row>
    <x:row r="6368" spans="6:6" x14ac:dyDescent="0.25">
      <x:c r="F6368" s="11"/>
    </x:row>
    <x:row r="6369" spans="6:6" x14ac:dyDescent="0.25">
      <x:c r="F6369" s="11"/>
    </x:row>
    <x:row r="6370" spans="6:6" x14ac:dyDescent="0.25">
      <x:c r="F6370" s="11"/>
    </x:row>
    <x:row r="6371" spans="6:6" x14ac:dyDescent="0.25">
      <x:c r="F6371" s="11"/>
    </x:row>
    <x:row r="6372" spans="6:6" x14ac:dyDescent="0.25">
      <x:c r="F6372" s="11"/>
    </x:row>
    <x:row r="6373" spans="6:6" x14ac:dyDescent="0.25">
      <x:c r="F6373" s="11"/>
    </x:row>
    <x:row r="6374" spans="6:6" x14ac:dyDescent="0.25">
      <x:c r="F6374" s="11"/>
    </x:row>
    <x:row r="6375" spans="6:6" x14ac:dyDescent="0.25">
      <x:c r="F6375" s="11"/>
    </x:row>
    <x:row r="6376" spans="6:6" x14ac:dyDescent="0.25">
      <x:c r="F6376" s="11"/>
    </x:row>
    <x:row r="6377" spans="6:6" x14ac:dyDescent="0.25">
      <x:c r="F6377" s="11"/>
    </x:row>
    <x:row r="6378" spans="6:6" x14ac:dyDescent="0.25">
      <x:c r="F6378" s="11"/>
    </x:row>
    <x:row r="6379" spans="6:6" x14ac:dyDescent="0.25">
      <x:c r="F6379" s="11"/>
    </x:row>
    <x:row r="6380" spans="6:6" x14ac:dyDescent="0.25">
      <x:c r="F6380" s="11"/>
    </x:row>
    <x:row r="6381" spans="6:6" x14ac:dyDescent="0.25">
      <x:c r="F6381" s="11"/>
    </x:row>
    <x:row r="6382" spans="6:6" x14ac:dyDescent="0.25">
      <x:c r="F6382" s="11"/>
    </x:row>
    <x:row r="6383" spans="6:6" x14ac:dyDescent="0.25">
      <x:c r="F6383" s="11"/>
    </x:row>
    <x:row r="6384" spans="6:6" x14ac:dyDescent="0.25">
      <x:c r="F6384" s="11"/>
    </x:row>
    <x:row r="6385" spans="6:6" x14ac:dyDescent="0.25">
      <x:c r="F6385" s="11"/>
    </x:row>
    <x:row r="6386" spans="6:6" x14ac:dyDescent="0.25">
      <x:c r="F6386" s="11"/>
    </x:row>
    <x:row r="6387" spans="6:6" x14ac:dyDescent="0.25">
      <x:c r="F6387" s="11"/>
    </x:row>
    <x:row r="6388" spans="6:6" x14ac:dyDescent="0.25">
      <x:c r="F6388" s="11"/>
    </x:row>
    <x:row r="6389" spans="6:6" x14ac:dyDescent="0.25">
      <x:c r="F6389" s="11"/>
    </x:row>
    <x:row r="6390" spans="6:6" x14ac:dyDescent="0.25">
      <x:c r="F6390" s="11"/>
    </x:row>
    <x:row r="6391" spans="6:6" x14ac:dyDescent="0.25">
      <x:c r="F6391" s="11"/>
    </x:row>
    <x:row r="6392" spans="6:6" x14ac:dyDescent="0.25">
      <x:c r="F6392" s="11"/>
    </x:row>
    <x:row r="6393" spans="6:6" x14ac:dyDescent="0.25">
      <x:c r="F6393" s="11"/>
    </x:row>
    <x:row r="6394" spans="6:6" x14ac:dyDescent="0.25">
      <x:c r="F6394" s="11"/>
    </x:row>
    <x:row r="6395" spans="6:6" x14ac:dyDescent="0.25">
      <x:c r="F6395" s="11"/>
    </x:row>
    <x:row r="6396" spans="6:6" x14ac:dyDescent="0.25">
      <x:c r="F6396" s="11"/>
    </x:row>
    <x:row r="6397" spans="6:6" x14ac:dyDescent="0.25">
      <x:c r="F6397" s="11"/>
    </x:row>
    <x:row r="6398" spans="6:6" x14ac:dyDescent="0.25">
      <x:c r="F6398" s="11"/>
    </x:row>
    <x:row r="6399" spans="6:6" x14ac:dyDescent="0.25">
      <x:c r="F6399" s="11"/>
    </x:row>
    <x:row r="6400" spans="6:6" x14ac:dyDescent="0.25">
      <x:c r="F6400" s="11"/>
    </x:row>
    <x:row r="6401" spans="6:6" x14ac:dyDescent="0.25">
      <x:c r="F6401" s="11"/>
    </x:row>
    <x:row r="6402" spans="6:6" x14ac:dyDescent="0.25">
      <x:c r="F6402" s="11"/>
    </x:row>
    <x:row r="6403" spans="6:6" x14ac:dyDescent="0.25">
      <x:c r="F6403" s="11"/>
    </x:row>
    <x:row r="6404" spans="6:6" x14ac:dyDescent="0.25">
      <x:c r="F6404" s="11"/>
    </x:row>
    <x:row r="6405" spans="6:6" x14ac:dyDescent="0.25">
      <x:c r="F6405" s="11"/>
    </x:row>
    <x:row r="6406" spans="6:6" x14ac:dyDescent="0.25">
      <x:c r="F6406" s="11"/>
    </x:row>
    <x:row r="6407" spans="6:6" x14ac:dyDescent="0.25">
      <x:c r="F6407" s="11"/>
    </x:row>
    <x:row r="6408" spans="6:6" x14ac:dyDescent="0.25">
      <x:c r="F6408" s="11"/>
    </x:row>
    <x:row r="6409" spans="6:6" x14ac:dyDescent="0.25">
      <x:c r="F6409" s="11"/>
    </x:row>
    <x:row r="6410" spans="6:6" x14ac:dyDescent="0.25">
      <x:c r="F6410" s="11"/>
    </x:row>
    <x:row r="6411" spans="6:6" x14ac:dyDescent="0.25">
      <x:c r="F6411" s="11"/>
    </x:row>
    <x:row r="6412" spans="6:6" x14ac:dyDescent="0.25">
      <x:c r="F6412" s="11"/>
    </x:row>
    <x:row r="6413" spans="6:6" x14ac:dyDescent="0.25">
      <x:c r="F6413" s="11"/>
    </x:row>
    <x:row r="6414" spans="6:6" x14ac:dyDescent="0.25">
      <x:c r="F6414" s="11"/>
    </x:row>
    <x:row r="6415" spans="6:6" x14ac:dyDescent="0.25">
      <x:c r="F6415" s="11"/>
    </x:row>
    <x:row r="6416" spans="6:6" x14ac:dyDescent="0.25">
      <x:c r="F6416" s="11"/>
    </x:row>
    <x:row r="6417" spans="6:6" x14ac:dyDescent="0.25">
      <x:c r="F6417" s="11"/>
    </x:row>
    <x:row r="6418" spans="6:6" x14ac:dyDescent="0.25">
      <x:c r="F6418" s="11"/>
    </x:row>
    <x:row r="6419" spans="6:6" x14ac:dyDescent="0.25">
      <x:c r="F6419" s="11"/>
    </x:row>
    <x:row r="6420" spans="6:6" x14ac:dyDescent="0.25">
      <x:c r="F6420" s="11"/>
    </x:row>
    <x:row r="6421" spans="6:6" x14ac:dyDescent="0.25">
      <x:c r="F6421" s="11"/>
    </x:row>
    <x:row r="6422" spans="6:6" x14ac:dyDescent="0.25">
      <x:c r="F6422" s="11"/>
    </x:row>
    <x:row r="6423" spans="6:6" x14ac:dyDescent="0.25">
      <x:c r="F6423" s="11"/>
    </x:row>
    <x:row r="6424" spans="6:6" x14ac:dyDescent="0.25">
      <x:c r="F6424" s="11"/>
    </x:row>
    <x:row r="6425" spans="6:6" x14ac:dyDescent="0.25">
      <x:c r="F6425" s="11"/>
    </x:row>
    <x:row r="6426" spans="6:6" x14ac:dyDescent="0.25">
      <x:c r="F6426" s="11"/>
    </x:row>
    <x:row r="6427" spans="6:6" x14ac:dyDescent="0.25">
      <x:c r="F6427" s="11"/>
    </x:row>
    <x:row r="6428" spans="6:6" x14ac:dyDescent="0.25">
      <x:c r="F6428" s="11"/>
    </x:row>
    <x:row r="6429" spans="6:6" x14ac:dyDescent="0.25">
      <x:c r="F6429" s="11"/>
    </x:row>
    <x:row r="6430" spans="6:6" x14ac:dyDescent="0.25">
      <x:c r="F6430" s="11"/>
    </x:row>
    <x:row r="6431" spans="6:6" x14ac:dyDescent="0.25">
      <x:c r="F6431" s="11"/>
    </x:row>
    <x:row r="6432" spans="6:6" x14ac:dyDescent="0.25">
      <x:c r="F6432" s="11"/>
    </x:row>
    <x:row r="6433" spans="6:6" x14ac:dyDescent="0.25">
      <x:c r="F6433" s="11"/>
    </x:row>
    <x:row r="6434" spans="6:6" x14ac:dyDescent="0.25">
      <x:c r="F6434" s="11"/>
    </x:row>
    <x:row r="6435" spans="6:6" x14ac:dyDescent="0.25">
      <x:c r="F6435" s="11"/>
    </x:row>
    <x:row r="6436" spans="6:6" x14ac:dyDescent="0.25">
      <x:c r="F6436" s="11"/>
    </x:row>
    <x:row r="6437" spans="6:6" x14ac:dyDescent="0.25">
      <x:c r="F6437" s="11"/>
    </x:row>
    <x:row r="6438" spans="6:6" x14ac:dyDescent="0.25">
      <x:c r="F6438" s="11"/>
    </x:row>
    <x:row r="6439" spans="6:6" x14ac:dyDescent="0.25">
      <x:c r="F6439" s="11"/>
    </x:row>
    <x:row r="6440" spans="6:6" x14ac:dyDescent="0.25">
      <x:c r="F6440" s="11"/>
    </x:row>
    <x:row r="6441" spans="6:6" x14ac:dyDescent="0.25">
      <x:c r="F6441" s="11"/>
    </x:row>
    <x:row r="6442" spans="6:6" x14ac:dyDescent="0.25">
      <x:c r="F6442" s="11"/>
    </x:row>
    <x:row r="6443" spans="6:6" x14ac:dyDescent="0.25">
      <x:c r="F6443" s="11"/>
    </x:row>
    <x:row r="6444" spans="6:6" x14ac:dyDescent="0.25">
      <x:c r="F6444" s="11"/>
    </x:row>
    <x:row r="6445" spans="6:6" x14ac:dyDescent="0.25">
      <x:c r="F6445" s="11"/>
    </x:row>
    <x:row r="6446" spans="6:6" x14ac:dyDescent="0.25">
      <x:c r="F6446" s="11"/>
    </x:row>
    <x:row r="6447" spans="6:6" x14ac:dyDescent="0.25">
      <x:c r="F6447" s="11"/>
    </x:row>
    <x:row r="6448" spans="6:6" x14ac:dyDescent="0.25">
      <x:c r="F6448" s="11"/>
    </x:row>
    <x:row r="6449" spans="6:6" x14ac:dyDescent="0.25">
      <x:c r="F6449" s="11"/>
    </x:row>
    <x:row r="6450" spans="6:6" x14ac:dyDescent="0.25">
      <x:c r="F6450" s="11"/>
    </x:row>
    <x:row r="6451" spans="6:6" x14ac:dyDescent="0.25">
      <x:c r="F6451" s="11"/>
    </x:row>
    <x:row r="6452" spans="6:6" x14ac:dyDescent="0.25">
      <x:c r="F6452" s="11"/>
    </x:row>
    <x:row r="6453" spans="6:6" x14ac:dyDescent="0.25">
      <x:c r="F6453" s="11"/>
    </x:row>
    <x:row r="6454" spans="6:6" x14ac:dyDescent="0.25">
      <x:c r="F6454" s="11"/>
    </x:row>
    <x:row r="6455" spans="6:6" x14ac:dyDescent="0.25">
      <x:c r="F6455" s="11"/>
    </x:row>
    <x:row r="6456" spans="6:6" x14ac:dyDescent="0.25">
      <x:c r="F6456" s="11"/>
    </x:row>
    <x:row r="6457" spans="6:6" x14ac:dyDescent="0.25">
      <x:c r="F6457" s="11"/>
    </x:row>
    <x:row r="6458" spans="6:6" x14ac:dyDescent="0.25">
      <x:c r="F6458" s="11"/>
    </x:row>
    <x:row r="6459" spans="6:6" x14ac:dyDescent="0.25">
      <x:c r="F6459" s="11"/>
    </x:row>
    <x:row r="6460" spans="6:6" x14ac:dyDescent="0.25">
      <x:c r="F6460" s="11"/>
    </x:row>
    <x:row r="6461" spans="6:6" x14ac:dyDescent="0.25">
      <x:c r="F6461" s="11"/>
    </x:row>
    <x:row r="6462" spans="6:6" x14ac:dyDescent="0.25">
      <x:c r="F6462" s="11"/>
    </x:row>
    <x:row r="6463" spans="6:6" x14ac:dyDescent="0.25">
      <x:c r="F6463" s="11"/>
    </x:row>
    <x:row r="6464" spans="6:6" x14ac:dyDescent="0.25">
      <x:c r="F6464" s="11"/>
    </x:row>
    <x:row r="6465" spans="6:6" x14ac:dyDescent="0.25">
      <x:c r="F6465" s="11"/>
    </x:row>
    <x:row r="6466" spans="6:6" x14ac:dyDescent="0.25">
      <x:c r="F6466" s="11"/>
    </x:row>
    <x:row r="6467" spans="6:6" x14ac:dyDescent="0.25">
      <x:c r="F6467" s="11"/>
    </x:row>
    <x:row r="6468" spans="6:6" x14ac:dyDescent="0.25">
      <x:c r="F6468" s="11"/>
    </x:row>
    <x:row r="6469" spans="6:6" x14ac:dyDescent="0.25">
      <x:c r="F6469" s="11"/>
    </x:row>
    <x:row r="6470" spans="6:6" x14ac:dyDescent="0.25">
      <x:c r="F6470" s="11"/>
    </x:row>
    <x:row r="6471" spans="6:6" x14ac:dyDescent="0.25">
      <x:c r="F6471" s="11"/>
    </x:row>
    <x:row r="6472" spans="6:6" x14ac:dyDescent="0.25">
      <x:c r="F6472" s="11"/>
    </x:row>
    <x:row r="6473" spans="6:6" x14ac:dyDescent="0.25">
      <x:c r="F6473" s="11"/>
    </x:row>
    <x:row r="6474" spans="6:6" x14ac:dyDescent="0.25">
      <x:c r="F6474" s="11"/>
    </x:row>
    <x:row r="6475" spans="6:6" x14ac:dyDescent="0.25">
      <x:c r="F6475" s="11"/>
    </x:row>
    <x:row r="6476" spans="6:6" x14ac:dyDescent="0.25">
      <x:c r="F6476" s="11"/>
    </x:row>
    <x:row r="6477" spans="6:6" x14ac:dyDescent="0.25">
      <x:c r="F6477" s="11"/>
    </x:row>
    <x:row r="6478" spans="6:6" x14ac:dyDescent="0.25">
      <x:c r="F6478" s="11"/>
    </x:row>
    <x:row r="6479" spans="6:6" x14ac:dyDescent="0.25">
      <x:c r="F6479" s="11"/>
    </x:row>
    <x:row r="6480" spans="6:6" x14ac:dyDescent="0.25">
      <x:c r="F6480" s="11"/>
    </x:row>
    <x:row r="6481" spans="6:6" x14ac:dyDescent="0.25">
      <x:c r="F6481" s="11"/>
    </x:row>
    <x:row r="6482" spans="6:6" x14ac:dyDescent="0.25">
      <x:c r="F6482" s="11"/>
    </x:row>
    <x:row r="6483" spans="6:6" x14ac:dyDescent="0.25">
      <x:c r="F6483" s="11"/>
    </x:row>
    <x:row r="6484" spans="6:6" x14ac:dyDescent="0.25">
      <x:c r="F6484" s="11"/>
    </x:row>
    <x:row r="6485" spans="6:6" x14ac:dyDescent="0.25">
      <x:c r="F6485" s="11"/>
    </x:row>
    <x:row r="6486" spans="6:6" x14ac:dyDescent="0.25">
      <x:c r="F6486" s="11"/>
    </x:row>
    <x:row r="6487" spans="6:6" x14ac:dyDescent="0.25">
      <x:c r="F6487" s="11"/>
    </x:row>
    <x:row r="6488" spans="6:6" x14ac:dyDescent="0.25">
      <x:c r="F6488" s="11"/>
    </x:row>
    <x:row r="6489" spans="6:6" x14ac:dyDescent="0.25">
      <x:c r="F6489" s="11"/>
    </x:row>
    <x:row r="6490" spans="6:6" x14ac:dyDescent="0.25">
      <x:c r="F6490" s="11"/>
    </x:row>
    <x:row r="6491" spans="6:6" x14ac:dyDescent="0.25">
      <x:c r="F6491" s="11"/>
    </x:row>
    <x:row r="6492" spans="6:6" x14ac:dyDescent="0.25">
      <x:c r="F6492" s="11"/>
    </x:row>
    <x:row r="6493" spans="6:6" x14ac:dyDescent="0.25">
      <x:c r="F6493" s="11"/>
    </x:row>
    <x:row r="6494" spans="6:6" x14ac:dyDescent="0.25">
      <x:c r="F6494" s="11"/>
    </x:row>
    <x:row r="6495" spans="6:6" x14ac:dyDescent="0.25">
      <x:c r="F6495" s="11"/>
    </x:row>
    <x:row r="6496" spans="6:6" x14ac:dyDescent="0.25">
      <x:c r="F6496" s="11"/>
    </x:row>
    <x:row r="6497" spans="6:6" x14ac:dyDescent="0.25">
      <x:c r="F6497" s="11"/>
    </x:row>
    <x:row r="6498" spans="6:6" x14ac:dyDescent="0.25">
      <x:c r="F6498" s="11"/>
    </x:row>
    <x:row r="6499" spans="6:6" x14ac:dyDescent="0.25">
      <x:c r="F6499" s="11"/>
    </x:row>
    <x:row r="6500" spans="6:6" x14ac:dyDescent="0.25">
      <x:c r="F6500" s="11"/>
    </x:row>
    <x:row r="6501" spans="6:6" x14ac:dyDescent="0.25">
      <x:c r="F6501" s="11"/>
    </x:row>
    <x:row r="6502" spans="6:6" x14ac:dyDescent="0.25">
      <x:c r="F6502" s="11"/>
    </x:row>
    <x:row r="6503" spans="6:6" x14ac:dyDescent="0.25">
      <x:c r="F6503" s="11"/>
    </x:row>
    <x:row r="6504" spans="6:6" x14ac:dyDescent="0.25">
      <x:c r="F6504" s="11"/>
    </x:row>
    <x:row r="6505" spans="6:6" x14ac:dyDescent="0.25">
      <x:c r="F6505" s="11"/>
    </x:row>
    <x:row r="6506" spans="6:6" x14ac:dyDescent="0.25">
      <x:c r="F6506" s="11"/>
    </x:row>
    <x:row r="6507" spans="6:6" x14ac:dyDescent="0.25">
      <x:c r="F6507" s="11"/>
    </x:row>
    <x:row r="6508" spans="6:6" x14ac:dyDescent="0.25">
      <x:c r="F6508" s="11"/>
    </x:row>
    <x:row r="6509" spans="6:6" x14ac:dyDescent="0.25">
      <x:c r="F6509" s="11"/>
    </x:row>
    <x:row r="6510" spans="6:6" x14ac:dyDescent="0.25">
      <x:c r="F6510" s="11"/>
    </x:row>
    <x:row r="6511" spans="6:6" x14ac:dyDescent="0.25">
      <x:c r="F6511" s="11"/>
    </x:row>
    <x:row r="6512" spans="6:6" x14ac:dyDescent="0.25">
      <x:c r="F6512" s="11"/>
    </x:row>
    <x:row r="6513" spans="6:6" x14ac:dyDescent="0.25">
      <x:c r="F6513" s="11"/>
    </x:row>
    <x:row r="6514" spans="6:6" x14ac:dyDescent="0.25">
      <x:c r="F6514" s="11"/>
    </x:row>
    <x:row r="6515" spans="6:6" x14ac:dyDescent="0.25">
      <x:c r="F6515" s="11"/>
    </x:row>
    <x:row r="6516" spans="6:6" x14ac:dyDescent="0.25">
      <x:c r="F6516" s="11"/>
    </x:row>
    <x:row r="6517" spans="6:6" x14ac:dyDescent="0.25">
      <x:c r="F6517" s="11"/>
    </x:row>
    <x:row r="6518" spans="6:6" x14ac:dyDescent="0.25">
      <x:c r="F6518" s="11"/>
    </x:row>
    <x:row r="6519" spans="6:6" x14ac:dyDescent="0.25">
      <x:c r="F6519" s="11"/>
    </x:row>
    <x:row r="6520" spans="6:6" x14ac:dyDescent="0.25">
      <x:c r="F6520" s="11"/>
    </x:row>
    <x:row r="6521" spans="6:6" x14ac:dyDescent="0.25">
      <x:c r="F6521" s="11"/>
    </x:row>
    <x:row r="6522" spans="6:6" x14ac:dyDescent="0.25">
      <x:c r="F6522" s="11"/>
    </x:row>
    <x:row r="6523" spans="6:6" x14ac:dyDescent="0.25">
      <x:c r="F6523" s="11"/>
    </x:row>
    <x:row r="6524" spans="6:6" x14ac:dyDescent="0.25">
      <x:c r="F6524" s="11"/>
    </x:row>
    <x:row r="6525" spans="6:6" x14ac:dyDescent="0.25">
      <x:c r="F6525" s="11"/>
    </x:row>
    <x:row r="6526" spans="6:6" x14ac:dyDescent="0.25">
      <x:c r="F6526" s="11"/>
    </x:row>
    <x:row r="6527" spans="6:6" x14ac:dyDescent="0.25">
      <x:c r="F6527" s="11"/>
    </x:row>
    <x:row r="6528" spans="6:6" x14ac:dyDescent="0.25">
      <x:c r="F6528" s="11"/>
    </x:row>
    <x:row r="6529" spans="6:6" x14ac:dyDescent="0.25">
      <x:c r="F6529" s="11"/>
    </x:row>
    <x:row r="6530" spans="6:6" x14ac:dyDescent="0.25">
      <x:c r="F6530" s="11"/>
    </x:row>
    <x:row r="6531" spans="6:6" x14ac:dyDescent="0.25">
      <x:c r="F6531" s="11"/>
    </x:row>
    <x:row r="6532" spans="6:6" x14ac:dyDescent="0.25">
      <x:c r="F6532" s="11"/>
    </x:row>
    <x:row r="6533" spans="6:6" x14ac:dyDescent="0.25">
      <x:c r="F6533" s="11"/>
    </x:row>
    <x:row r="6534" spans="6:6" x14ac:dyDescent="0.25">
      <x:c r="F6534" s="11"/>
    </x:row>
    <x:row r="6535" spans="6:6" x14ac:dyDescent="0.25">
      <x:c r="F6535" s="11"/>
    </x:row>
    <x:row r="6536" spans="6:6" x14ac:dyDescent="0.25">
      <x:c r="F6536" s="11"/>
    </x:row>
    <x:row r="6537" spans="6:6" x14ac:dyDescent="0.25">
      <x:c r="F6537" s="11"/>
    </x:row>
    <x:row r="6538" spans="6:6" x14ac:dyDescent="0.25">
      <x:c r="F6538" s="11"/>
    </x:row>
    <x:row r="6539" spans="6:6" x14ac:dyDescent="0.25">
      <x:c r="F6539" s="11"/>
    </x:row>
    <x:row r="6540" spans="6:6" x14ac:dyDescent="0.25">
      <x:c r="F6540" s="11"/>
    </x:row>
    <x:row r="6541" spans="6:6" x14ac:dyDescent="0.25">
      <x:c r="F6541" s="11"/>
    </x:row>
    <x:row r="6542" spans="6:6" x14ac:dyDescent="0.25">
      <x:c r="F6542" s="11"/>
    </x:row>
    <x:row r="6543" spans="6:6" x14ac:dyDescent="0.25">
      <x:c r="F6543" s="11"/>
    </x:row>
    <x:row r="6544" spans="6:6" x14ac:dyDescent="0.25">
      <x:c r="F6544" s="11"/>
    </x:row>
    <x:row r="6545" spans="6:6" x14ac:dyDescent="0.25">
      <x:c r="F6545" s="11"/>
    </x:row>
    <x:row r="6546" spans="6:6" x14ac:dyDescent="0.25">
      <x:c r="F6546" s="11"/>
    </x:row>
    <x:row r="6547" spans="6:6" x14ac:dyDescent="0.25">
      <x:c r="F6547" s="11"/>
    </x:row>
    <x:row r="6548" spans="6:6" x14ac:dyDescent="0.25">
      <x:c r="F6548" s="11"/>
    </x:row>
    <x:row r="6549" spans="6:6" x14ac:dyDescent="0.25">
      <x:c r="F6549" s="11"/>
    </x:row>
    <x:row r="6550" spans="6:6" x14ac:dyDescent="0.25">
      <x:c r="F6550" s="11"/>
    </x:row>
    <x:row r="6551" spans="6:6" x14ac:dyDescent="0.25">
      <x:c r="F6551" s="11"/>
    </x:row>
    <x:row r="6552" spans="6:6" x14ac:dyDescent="0.25">
      <x:c r="F6552" s="11"/>
    </x:row>
    <x:row r="6553" spans="6:6" x14ac:dyDescent="0.25">
      <x:c r="F6553" s="11"/>
    </x:row>
    <x:row r="6554" spans="6:6" x14ac:dyDescent="0.25">
      <x:c r="F6554" s="11"/>
    </x:row>
    <x:row r="6555" spans="6:6" x14ac:dyDescent="0.25">
      <x:c r="F6555" s="11"/>
    </x:row>
    <x:row r="6556" spans="6:6" x14ac:dyDescent="0.25">
      <x:c r="F6556" s="11"/>
    </x:row>
    <x:row r="6557" spans="6:6" x14ac:dyDescent="0.25">
      <x:c r="F6557" s="11"/>
    </x:row>
    <x:row r="6558" spans="6:6" x14ac:dyDescent="0.25">
      <x:c r="F6558" s="11"/>
    </x:row>
    <x:row r="6559" spans="6:6" x14ac:dyDescent="0.25">
      <x:c r="F6559" s="11"/>
    </x:row>
    <x:row r="6560" spans="6:6" x14ac:dyDescent="0.25">
      <x:c r="F6560" s="11"/>
    </x:row>
    <x:row r="6561" spans="6:6" x14ac:dyDescent="0.25">
      <x:c r="F6561" s="11"/>
    </x:row>
    <x:row r="6562" spans="6:6" x14ac:dyDescent="0.25">
      <x:c r="F6562" s="11"/>
    </x:row>
    <x:row r="6563" spans="6:6" x14ac:dyDescent="0.25">
      <x:c r="F6563" s="11"/>
    </x:row>
    <x:row r="6564" spans="6:6" x14ac:dyDescent="0.25">
      <x:c r="F6564" s="11"/>
    </x:row>
    <x:row r="6565" spans="6:6" x14ac:dyDescent="0.25">
      <x:c r="F6565" s="11"/>
    </x:row>
    <x:row r="6566" spans="6:6" x14ac:dyDescent="0.25">
      <x:c r="F6566" s="11"/>
    </x:row>
    <x:row r="6567" spans="6:6" x14ac:dyDescent="0.25">
      <x:c r="F6567" s="11"/>
    </x:row>
    <x:row r="6568" spans="6:6" x14ac:dyDescent="0.25">
      <x:c r="F6568" s="11"/>
    </x:row>
    <x:row r="6569" spans="6:6" x14ac:dyDescent="0.25">
      <x:c r="F6569" s="11"/>
    </x:row>
    <x:row r="6570" spans="6:6" x14ac:dyDescent="0.25">
      <x:c r="F6570" s="11"/>
    </x:row>
    <x:row r="6571" spans="6:6" x14ac:dyDescent="0.25">
      <x:c r="F6571" s="11"/>
    </x:row>
    <x:row r="6572" spans="6:6" x14ac:dyDescent="0.25">
      <x:c r="F6572" s="11"/>
    </x:row>
    <x:row r="6573" spans="6:6" x14ac:dyDescent="0.25">
      <x:c r="F6573" s="11"/>
    </x:row>
    <x:row r="6574" spans="6:6" x14ac:dyDescent="0.25">
      <x:c r="F6574" s="11"/>
    </x:row>
    <x:row r="6575" spans="6:6" x14ac:dyDescent="0.25">
      <x:c r="F6575" s="11"/>
    </x:row>
    <x:row r="6576" spans="6:6" x14ac:dyDescent="0.25">
      <x:c r="F6576" s="11"/>
    </x:row>
    <x:row r="6577" spans="6:6" x14ac:dyDescent="0.25">
      <x:c r="F6577" s="11"/>
    </x:row>
    <x:row r="6578" spans="6:6" x14ac:dyDescent="0.25">
      <x:c r="F6578" s="11"/>
    </x:row>
    <x:row r="6579" spans="6:6" x14ac:dyDescent="0.25">
      <x:c r="F6579" s="11"/>
    </x:row>
    <x:row r="6580" spans="6:6" x14ac:dyDescent="0.25">
      <x:c r="F6580" s="11"/>
    </x:row>
    <x:row r="6581" spans="6:6" x14ac:dyDescent="0.25">
      <x:c r="F6581" s="11"/>
    </x:row>
    <x:row r="6582" spans="6:6" x14ac:dyDescent="0.25">
      <x:c r="F6582" s="11"/>
    </x:row>
    <x:row r="6583" spans="6:6" x14ac:dyDescent="0.25">
      <x:c r="F6583" s="11"/>
    </x:row>
    <x:row r="6584" spans="6:6" x14ac:dyDescent="0.25">
      <x:c r="F6584" s="11"/>
    </x:row>
    <x:row r="6585" spans="6:6" x14ac:dyDescent="0.25">
      <x:c r="F6585" s="11"/>
    </x:row>
    <x:row r="6586" spans="6:6" x14ac:dyDescent="0.25">
      <x:c r="F6586" s="11"/>
    </x:row>
    <x:row r="6587" spans="6:6" x14ac:dyDescent="0.25">
      <x:c r="F6587" s="11"/>
    </x:row>
    <x:row r="6588" spans="6:6" x14ac:dyDescent="0.25">
      <x:c r="F6588" s="11"/>
    </x:row>
    <x:row r="6589" spans="6:6" x14ac:dyDescent="0.25">
      <x:c r="F6589" s="11"/>
    </x:row>
    <x:row r="6590" spans="6:6" x14ac:dyDescent="0.25">
      <x:c r="F6590" s="11"/>
    </x:row>
    <x:row r="6591" spans="6:6" x14ac:dyDescent="0.25">
      <x:c r="F6591" s="11"/>
    </x:row>
    <x:row r="6592" spans="6:6" x14ac:dyDescent="0.25">
      <x:c r="F6592" s="11"/>
    </x:row>
    <x:row r="6593" spans="6:6" x14ac:dyDescent="0.25">
      <x:c r="F6593" s="11"/>
    </x:row>
    <x:row r="6594" spans="6:6" x14ac:dyDescent="0.25">
      <x:c r="F6594" s="11"/>
    </x:row>
    <x:row r="6595" spans="6:6" x14ac:dyDescent="0.25">
      <x:c r="F6595" s="11"/>
    </x:row>
    <x:row r="6596" spans="6:6" x14ac:dyDescent="0.25">
      <x:c r="F6596" s="11"/>
    </x:row>
    <x:row r="6597" spans="6:6" x14ac:dyDescent="0.25">
      <x:c r="F6597" s="11"/>
    </x:row>
    <x:row r="6598" spans="6:6" x14ac:dyDescent="0.25">
      <x:c r="F6598" s="11"/>
    </x:row>
    <x:row r="6599" spans="6:6" x14ac:dyDescent="0.25">
      <x:c r="F6599" s="11"/>
    </x:row>
    <x:row r="6600" spans="6:6" x14ac:dyDescent="0.25">
      <x:c r="F6600" s="11"/>
    </x:row>
    <x:row r="6601" spans="6:6" x14ac:dyDescent="0.25">
      <x:c r="F6601" s="11"/>
    </x:row>
    <x:row r="6602" spans="6:6" x14ac:dyDescent="0.25">
      <x:c r="F6602" s="11"/>
    </x:row>
    <x:row r="6603" spans="6:6" x14ac:dyDescent="0.25">
      <x:c r="F6603" s="11"/>
    </x:row>
    <x:row r="6604" spans="6:6" x14ac:dyDescent="0.25">
      <x:c r="F6604" s="11"/>
    </x:row>
    <x:row r="6605" spans="6:6" x14ac:dyDescent="0.25">
      <x:c r="F6605" s="11"/>
    </x:row>
    <x:row r="6606" spans="6:6" x14ac:dyDescent="0.25">
      <x:c r="F6606" s="11"/>
    </x:row>
    <x:row r="6607" spans="6:6" x14ac:dyDescent="0.25">
      <x:c r="F6607" s="11"/>
    </x:row>
    <x:row r="6608" spans="6:6" x14ac:dyDescent="0.25">
      <x:c r="F6608" s="11"/>
    </x:row>
    <x:row r="6609" spans="6:6" x14ac:dyDescent="0.25">
      <x:c r="F6609" s="11"/>
    </x:row>
    <x:row r="6610" spans="6:6" x14ac:dyDescent="0.25">
      <x:c r="F6610" s="11"/>
    </x:row>
    <x:row r="6611" spans="6:6" x14ac:dyDescent="0.25">
      <x:c r="F6611" s="11"/>
    </x:row>
    <x:row r="6612" spans="6:6" x14ac:dyDescent="0.25">
      <x:c r="F6612" s="11"/>
    </x:row>
    <x:row r="6613" spans="6:6" x14ac:dyDescent="0.25">
      <x:c r="F6613" s="11"/>
    </x:row>
    <x:row r="6614" spans="6:6" x14ac:dyDescent="0.25">
      <x:c r="F6614" s="11"/>
    </x:row>
    <x:row r="6615" spans="6:6" x14ac:dyDescent="0.25">
      <x:c r="F6615" s="11"/>
    </x:row>
    <x:row r="6616" spans="6:6" x14ac:dyDescent="0.25">
      <x:c r="F6616" s="11"/>
    </x:row>
    <x:row r="6617" spans="6:6" x14ac:dyDescent="0.25">
      <x:c r="F6617" s="11"/>
    </x:row>
    <x:row r="6618" spans="6:6" x14ac:dyDescent="0.25">
      <x:c r="F6618" s="11"/>
    </x:row>
    <x:row r="6619" spans="6:6" x14ac:dyDescent="0.25">
      <x:c r="F6619" s="11"/>
    </x:row>
    <x:row r="6620" spans="6:6" x14ac:dyDescent="0.25">
      <x:c r="F6620" s="11"/>
    </x:row>
    <x:row r="6621" spans="6:6" x14ac:dyDescent="0.25">
      <x:c r="F6621" s="11"/>
    </x:row>
    <x:row r="6622" spans="6:6" x14ac:dyDescent="0.25">
      <x:c r="F6622" s="11"/>
    </x:row>
    <x:row r="6623" spans="6:6" x14ac:dyDescent="0.25">
      <x:c r="F6623" s="11"/>
    </x:row>
    <x:row r="6624" spans="6:6" x14ac:dyDescent="0.25">
      <x:c r="F6624" s="11"/>
    </x:row>
    <x:row r="6625" spans="6:6" x14ac:dyDescent="0.25">
      <x:c r="F6625" s="11"/>
    </x:row>
    <x:row r="6626" spans="6:6" x14ac:dyDescent="0.25">
      <x:c r="F6626" s="11"/>
    </x:row>
    <x:row r="6627" spans="6:6" x14ac:dyDescent="0.25">
      <x:c r="F6627" s="11"/>
    </x:row>
    <x:row r="6628" spans="6:6" x14ac:dyDescent="0.25">
      <x:c r="F6628" s="11"/>
    </x:row>
    <x:row r="6629" spans="6:6" x14ac:dyDescent="0.25">
      <x:c r="F6629" s="11"/>
    </x:row>
    <x:row r="6630" spans="6:6" x14ac:dyDescent="0.25">
      <x:c r="F6630" s="11"/>
    </x:row>
    <x:row r="6631" spans="6:6" x14ac:dyDescent="0.25">
      <x:c r="F6631" s="11"/>
    </x:row>
    <x:row r="6632" spans="6:6" x14ac:dyDescent="0.25">
      <x:c r="F6632" s="11"/>
    </x:row>
    <x:row r="6633" spans="6:6" x14ac:dyDescent="0.25">
      <x:c r="F6633" s="11"/>
    </x:row>
    <x:row r="6634" spans="6:6" x14ac:dyDescent="0.25">
      <x:c r="F6634" s="11"/>
    </x:row>
    <x:row r="6635" spans="6:6" x14ac:dyDescent="0.25">
      <x:c r="F6635" s="11"/>
    </x:row>
    <x:row r="6636" spans="6:6" x14ac:dyDescent="0.25">
      <x:c r="F6636" s="11"/>
    </x:row>
    <x:row r="6637" spans="6:6" x14ac:dyDescent="0.25">
      <x:c r="F6637" s="11"/>
    </x:row>
    <x:row r="6638" spans="6:6" x14ac:dyDescent="0.25">
      <x:c r="F6638" s="11"/>
    </x:row>
    <x:row r="6639" spans="6:6" x14ac:dyDescent="0.25">
      <x:c r="F6639" s="11"/>
    </x:row>
    <x:row r="6640" spans="6:6" x14ac:dyDescent="0.25">
      <x:c r="F6640" s="11"/>
    </x:row>
    <x:row r="6641" spans="6:6" x14ac:dyDescent="0.25">
      <x:c r="F6641" s="11"/>
    </x:row>
    <x:row r="6642" spans="6:6" x14ac:dyDescent="0.25">
      <x:c r="F6642" s="11"/>
    </x:row>
    <x:row r="6643" spans="6:6" x14ac:dyDescent="0.25">
      <x:c r="F6643" s="11"/>
    </x:row>
    <x:row r="6644" spans="6:6" x14ac:dyDescent="0.25">
      <x:c r="F6644" s="11"/>
    </x:row>
    <x:row r="6645" spans="6:6" x14ac:dyDescent="0.25">
      <x:c r="F6645" s="11"/>
    </x:row>
    <x:row r="6646" spans="6:6" x14ac:dyDescent="0.25">
      <x:c r="F6646" s="11"/>
    </x:row>
    <x:row r="6647" spans="6:6" x14ac:dyDescent="0.25">
      <x:c r="F6647" s="11"/>
    </x:row>
    <x:row r="6648" spans="6:6" x14ac:dyDescent="0.25">
      <x:c r="F6648" s="11"/>
    </x:row>
    <x:row r="6649" spans="6:6" x14ac:dyDescent="0.25">
      <x:c r="F6649" s="11"/>
    </x:row>
    <x:row r="6650" spans="6:6" x14ac:dyDescent="0.25">
      <x:c r="F6650" s="11"/>
    </x:row>
    <x:row r="6651" spans="6:6" x14ac:dyDescent="0.25">
      <x:c r="F6651" s="11"/>
    </x:row>
    <x:row r="6652" spans="6:6" x14ac:dyDescent="0.25">
      <x:c r="F6652" s="11"/>
    </x:row>
    <x:row r="6653" spans="6:6" x14ac:dyDescent="0.25">
      <x:c r="F6653" s="11"/>
    </x:row>
    <x:row r="6654" spans="6:6" x14ac:dyDescent="0.25">
      <x:c r="F6654" s="11"/>
    </x:row>
    <x:row r="6655" spans="6:6" x14ac:dyDescent="0.25">
      <x:c r="F6655" s="11"/>
    </x:row>
    <x:row r="6656" spans="6:6" x14ac:dyDescent="0.25">
      <x:c r="F6656" s="11"/>
    </x:row>
    <x:row r="6657" spans="6:6" x14ac:dyDescent="0.25">
      <x:c r="F6657" s="11"/>
    </x:row>
    <x:row r="6658" spans="6:6" x14ac:dyDescent="0.25">
      <x:c r="F6658" s="11"/>
    </x:row>
    <x:row r="6659" spans="6:6" x14ac:dyDescent="0.25">
      <x:c r="F6659" s="11"/>
    </x:row>
    <x:row r="6660" spans="6:6" x14ac:dyDescent="0.25">
      <x:c r="F6660" s="11"/>
    </x:row>
    <x:row r="6661" spans="6:6" x14ac:dyDescent="0.25">
      <x:c r="F6661" s="11"/>
    </x:row>
    <x:row r="6662" spans="6:6" x14ac:dyDescent="0.25">
      <x:c r="F6662" s="11"/>
    </x:row>
    <x:row r="6663" spans="6:6" x14ac:dyDescent="0.25">
      <x:c r="F6663" s="11"/>
    </x:row>
    <x:row r="6664" spans="6:6" x14ac:dyDescent="0.25">
      <x:c r="F6664" s="11"/>
    </x:row>
    <x:row r="6665" spans="6:6" x14ac:dyDescent="0.25">
      <x:c r="F6665" s="11"/>
    </x:row>
    <x:row r="6666" spans="6:6" x14ac:dyDescent="0.25">
      <x:c r="F6666" s="11"/>
    </x:row>
    <x:row r="6667" spans="6:6" x14ac:dyDescent="0.25">
      <x:c r="F6667" s="11"/>
    </x:row>
    <x:row r="6668" spans="6:6" x14ac:dyDescent="0.25">
      <x:c r="F6668" s="11"/>
    </x:row>
    <x:row r="6669" spans="6:6" x14ac:dyDescent="0.25">
      <x:c r="F6669" s="11"/>
    </x:row>
    <x:row r="6670" spans="6:6" x14ac:dyDescent="0.25">
      <x:c r="F6670" s="11"/>
    </x:row>
    <x:row r="6671" spans="6:6" x14ac:dyDescent="0.25">
      <x:c r="F6671" s="11"/>
    </x:row>
    <x:row r="6672" spans="6:6" x14ac:dyDescent="0.25">
      <x:c r="F6672" s="11"/>
    </x:row>
    <x:row r="6673" spans="6:6" x14ac:dyDescent="0.25">
      <x:c r="F6673" s="11"/>
    </x:row>
    <x:row r="6674" spans="6:6" x14ac:dyDescent="0.25">
      <x:c r="F6674" s="11"/>
    </x:row>
    <x:row r="6675" spans="6:6" x14ac:dyDescent="0.25">
      <x:c r="F6675" s="11"/>
    </x:row>
    <x:row r="6676" spans="6:6" x14ac:dyDescent="0.25">
      <x:c r="F6676" s="11"/>
    </x:row>
    <x:row r="6677" spans="6:6" x14ac:dyDescent="0.25">
      <x:c r="F6677" s="11"/>
    </x:row>
    <x:row r="6678" spans="6:6" x14ac:dyDescent="0.25">
      <x:c r="F6678" s="11"/>
    </x:row>
    <x:row r="6679" spans="6:6" x14ac:dyDescent="0.25">
      <x:c r="F6679" s="11"/>
    </x:row>
    <x:row r="6680" spans="6:6" x14ac:dyDescent="0.25">
      <x:c r="F6680" s="11"/>
    </x:row>
    <x:row r="6681" spans="6:6" x14ac:dyDescent="0.25">
      <x:c r="F6681" s="11"/>
    </x:row>
    <x:row r="6682" spans="6:6" x14ac:dyDescent="0.25">
      <x:c r="F6682" s="11"/>
    </x:row>
    <x:row r="6683" spans="6:6" x14ac:dyDescent="0.25">
      <x:c r="F6683" s="11"/>
    </x:row>
    <x:row r="6684" spans="6:6" x14ac:dyDescent="0.25">
      <x:c r="F6684" s="11"/>
    </x:row>
    <x:row r="6685" spans="6:6" x14ac:dyDescent="0.25">
      <x:c r="F6685" s="11"/>
    </x:row>
    <x:row r="6686" spans="6:6" x14ac:dyDescent="0.25">
      <x:c r="F6686" s="11"/>
    </x:row>
    <x:row r="6687" spans="6:6" x14ac:dyDescent="0.25">
      <x:c r="F6687" s="11"/>
    </x:row>
    <x:row r="6688" spans="6:6" x14ac:dyDescent="0.25">
      <x:c r="F6688" s="11"/>
    </x:row>
    <x:row r="6689" spans="6:6" x14ac:dyDescent="0.25">
      <x:c r="F6689" s="11"/>
    </x:row>
    <x:row r="6690" spans="6:6" x14ac:dyDescent="0.25">
      <x:c r="F6690" s="11"/>
    </x:row>
    <x:row r="6691" spans="6:6" x14ac:dyDescent="0.25">
      <x:c r="F6691" s="11"/>
    </x:row>
    <x:row r="6692" spans="6:6" x14ac:dyDescent="0.25">
      <x:c r="F6692" s="11"/>
    </x:row>
    <x:row r="6693" spans="6:6" x14ac:dyDescent="0.25">
      <x:c r="F6693" s="11"/>
    </x:row>
    <x:row r="6694" spans="6:6" x14ac:dyDescent="0.25">
      <x:c r="F6694" s="11"/>
    </x:row>
    <x:row r="6695" spans="6:6" x14ac:dyDescent="0.25">
      <x:c r="F6695" s="11"/>
    </x:row>
    <x:row r="6696" spans="6:6" x14ac:dyDescent="0.25">
      <x:c r="F6696" s="11"/>
    </x:row>
    <x:row r="6697" spans="6:6" x14ac:dyDescent="0.25">
      <x:c r="F6697" s="11"/>
    </x:row>
    <x:row r="6698" spans="6:6" x14ac:dyDescent="0.25">
      <x:c r="F6698" s="11"/>
    </x:row>
    <x:row r="6699" spans="6:6" x14ac:dyDescent="0.25">
      <x:c r="F6699" s="11"/>
    </x:row>
    <x:row r="6700" spans="6:6" x14ac:dyDescent="0.25">
      <x:c r="F6700" s="11"/>
    </x:row>
    <x:row r="6701" spans="6:6" x14ac:dyDescent="0.25">
      <x:c r="F6701" s="11"/>
    </x:row>
    <x:row r="6702" spans="6:6" x14ac:dyDescent="0.25">
      <x:c r="F6702" s="11"/>
    </x:row>
    <x:row r="6703" spans="6:6" x14ac:dyDescent="0.25">
      <x:c r="F6703" s="11"/>
    </x:row>
    <x:row r="6704" spans="6:6" x14ac:dyDescent="0.25">
      <x:c r="F6704" s="11"/>
    </x:row>
    <x:row r="6705" spans="6:6" x14ac:dyDescent="0.25">
      <x:c r="F6705" s="11"/>
    </x:row>
    <x:row r="6706" spans="6:6" x14ac:dyDescent="0.25">
      <x:c r="F6706" s="11"/>
    </x:row>
    <x:row r="6707" spans="6:6" x14ac:dyDescent="0.25">
      <x:c r="F6707" s="11"/>
    </x:row>
    <x:row r="6708" spans="6:6" x14ac:dyDescent="0.25">
      <x:c r="F6708" s="11"/>
    </x:row>
    <x:row r="6709" spans="6:6" x14ac:dyDescent="0.25">
      <x:c r="F6709" s="11"/>
    </x:row>
    <x:row r="6710" spans="6:6" x14ac:dyDescent="0.25">
      <x:c r="F6710" s="11"/>
    </x:row>
    <x:row r="6711" spans="6:6" x14ac:dyDescent="0.25">
      <x:c r="F6711" s="11"/>
    </x:row>
    <x:row r="6712" spans="6:6" x14ac:dyDescent="0.25">
      <x:c r="F6712" s="11"/>
    </x:row>
    <x:row r="6713" spans="6:6" x14ac:dyDescent="0.25">
      <x:c r="F6713" s="11"/>
    </x:row>
    <x:row r="6714" spans="6:6" x14ac:dyDescent="0.25">
      <x:c r="F6714" s="11"/>
    </x:row>
    <x:row r="6715" spans="6:6" x14ac:dyDescent="0.25">
      <x:c r="F6715" s="11"/>
    </x:row>
    <x:row r="6716" spans="6:6" x14ac:dyDescent="0.25">
      <x:c r="F6716" s="11"/>
    </x:row>
    <x:row r="6717" spans="6:6" x14ac:dyDescent="0.25">
      <x:c r="F6717" s="11"/>
    </x:row>
    <x:row r="6718" spans="6:6" x14ac:dyDescent="0.25">
      <x:c r="F6718" s="11"/>
    </x:row>
    <x:row r="6719" spans="6:6" x14ac:dyDescent="0.25">
      <x:c r="F6719" s="11"/>
    </x:row>
    <x:row r="6720" spans="6:6" x14ac:dyDescent="0.25">
      <x:c r="F6720" s="11"/>
    </x:row>
    <x:row r="6721" spans="6:6" x14ac:dyDescent="0.25">
      <x:c r="F6721" s="11"/>
    </x:row>
    <x:row r="6722" spans="6:6" x14ac:dyDescent="0.25">
      <x:c r="F6722" s="11"/>
    </x:row>
    <x:row r="6723" spans="6:6" x14ac:dyDescent="0.25">
      <x:c r="F6723" s="11"/>
    </x:row>
    <x:row r="6724" spans="6:6" x14ac:dyDescent="0.25">
      <x:c r="F6724" s="11"/>
    </x:row>
    <x:row r="6725" spans="6:6" x14ac:dyDescent="0.25">
      <x:c r="F6725" s="11"/>
    </x:row>
    <x:row r="6726" spans="6:6" x14ac:dyDescent="0.25">
      <x:c r="F6726" s="11"/>
    </x:row>
    <x:row r="6727" spans="6:6" x14ac:dyDescent="0.25">
      <x:c r="F6727" s="11"/>
    </x:row>
    <x:row r="6728" spans="6:6" x14ac:dyDescent="0.25">
      <x:c r="F6728" s="11"/>
    </x:row>
    <x:row r="6729" spans="6:6" x14ac:dyDescent="0.25">
      <x:c r="F6729" s="11"/>
    </x:row>
    <x:row r="6730" spans="6:6" x14ac:dyDescent="0.25">
      <x:c r="F6730" s="11"/>
    </x:row>
    <x:row r="6731" spans="6:6" x14ac:dyDescent="0.25">
      <x:c r="F6731" s="11"/>
    </x:row>
    <x:row r="6732" spans="6:6" x14ac:dyDescent="0.25">
      <x:c r="F6732" s="11"/>
    </x:row>
    <x:row r="6733" spans="6:6" x14ac:dyDescent="0.25">
      <x:c r="F6733" s="11"/>
    </x:row>
    <x:row r="6734" spans="6:6" x14ac:dyDescent="0.25">
      <x:c r="F6734" s="11"/>
    </x:row>
    <x:row r="6735" spans="6:6" x14ac:dyDescent="0.25">
      <x:c r="F6735" s="11"/>
    </x:row>
    <x:row r="6736" spans="6:6" x14ac:dyDescent="0.25">
      <x:c r="F6736" s="11"/>
    </x:row>
    <x:row r="6737" spans="6:6" x14ac:dyDescent="0.25">
      <x:c r="F6737" s="11"/>
    </x:row>
    <x:row r="6738" spans="6:6" x14ac:dyDescent="0.25">
      <x:c r="F6738" s="11"/>
    </x:row>
    <x:row r="6739" spans="6:6" x14ac:dyDescent="0.25">
      <x:c r="F6739" s="11"/>
    </x:row>
    <x:row r="6740" spans="6:6" x14ac:dyDescent="0.25">
      <x:c r="F6740" s="11"/>
    </x:row>
    <x:row r="6741" spans="6:6" x14ac:dyDescent="0.25">
      <x:c r="F6741" s="11"/>
    </x:row>
    <x:row r="6742" spans="6:6" x14ac:dyDescent="0.25">
      <x:c r="F6742" s="11"/>
    </x:row>
    <x:row r="6743" spans="6:6" x14ac:dyDescent="0.25">
      <x:c r="F6743" s="11"/>
    </x:row>
    <x:row r="6744" spans="6:6" x14ac:dyDescent="0.25">
      <x:c r="F6744" s="11"/>
    </x:row>
    <x:row r="6745" spans="6:6" x14ac:dyDescent="0.25">
      <x:c r="F6745" s="11"/>
    </x:row>
    <x:row r="6746" spans="6:6" x14ac:dyDescent="0.25">
      <x:c r="F6746" s="11"/>
    </x:row>
    <x:row r="6747" spans="6:6" x14ac:dyDescent="0.25">
      <x:c r="F6747" s="11"/>
    </x:row>
    <x:row r="6748" spans="6:6" x14ac:dyDescent="0.25">
      <x:c r="F6748" s="11"/>
    </x:row>
    <x:row r="6749" spans="6:6" x14ac:dyDescent="0.25">
      <x:c r="F6749" s="11"/>
    </x:row>
    <x:row r="6750" spans="6:6" x14ac:dyDescent="0.25">
      <x:c r="F6750" s="11"/>
    </x:row>
    <x:row r="6751" spans="6:6" x14ac:dyDescent="0.25">
      <x:c r="F6751" s="11"/>
    </x:row>
    <x:row r="6752" spans="6:6" x14ac:dyDescent="0.25">
      <x:c r="F6752" s="11"/>
    </x:row>
    <x:row r="6753" spans="6:6" x14ac:dyDescent="0.25">
      <x:c r="F6753" s="11"/>
    </x:row>
    <x:row r="6754" spans="6:6" x14ac:dyDescent="0.25">
      <x:c r="F6754" s="11"/>
    </x:row>
    <x:row r="6755" spans="6:6" x14ac:dyDescent="0.25">
      <x:c r="F6755" s="11"/>
    </x:row>
    <x:row r="6756" spans="6:6" x14ac:dyDescent="0.25">
      <x:c r="F6756" s="11"/>
    </x:row>
    <x:row r="6757" spans="6:6" x14ac:dyDescent="0.25">
      <x:c r="F6757" s="11"/>
    </x:row>
    <x:row r="6758" spans="6:6" x14ac:dyDescent="0.25">
      <x:c r="F6758" s="11"/>
    </x:row>
    <x:row r="6759" spans="6:6" x14ac:dyDescent="0.25">
      <x:c r="F6759" s="11"/>
    </x:row>
    <x:row r="6760" spans="6:6" x14ac:dyDescent="0.25">
      <x:c r="F6760" s="11"/>
    </x:row>
    <x:row r="6761" spans="6:6" x14ac:dyDescent="0.25">
      <x:c r="F6761" s="11"/>
    </x:row>
    <x:row r="6762" spans="6:6" x14ac:dyDescent="0.25">
      <x:c r="F6762" s="11"/>
    </x:row>
    <x:row r="6763" spans="6:6" x14ac:dyDescent="0.25">
      <x:c r="F6763" s="11"/>
    </x:row>
    <x:row r="6764" spans="6:6" x14ac:dyDescent="0.25">
      <x:c r="F6764" s="11"/>
    </x:row>
    <x:row r="6765" spans="6:6" x14ac:dyDescent="0.25">
      <x:c r="F6765" s="11"/>
    </x:row>
    <x:row r="6766" spans="6:6" x14ac:dyDescent="0.25">
      <x:c r="F6766" s="11"/>
    </x:row>
    <x:row r="6767" spans="6:6" x14ac:dyDescent="0.25">
      <x:c r="F6767" s="11"/>
    </x:row>
    <x:row r="6768" spans="6:6" x14ac:dyDescent="0.25">
      <x:c r="F6768" s="11"/>
    </x:row>
    <x:row r="6769" spans="6:6" x14ac:dyDescent="0.25">
      <x:c r="F6769" s="11"/>
    </x:row>
    <x:row r="6770" spans="6:6" x14ac:dyDescent="0.25">
      <x:c r="F6770" s="11"/>
    </x:row>
    <x:row r="6771" spans="6:6" x14ac:dyDescent="0.25">
      <x:c r="F6771" s="11"/>
    </x:row>
    <x:row r="6772" spans="6:6" x14ac:dyDescent="0.25">
      <x:c r="F6772" s="11"/>
    </x:row>
    <x:row r="6773" spans="6:6" x14ac:dyDescent="0.25">
      <x:c r="F6773" s="11"/>
    </x:row>
    <x:row r="6774" spans="6:6" x14ac:dyDescent="0.25">
      <x:c r="F6774" s="11"/>
    </x:row>
    <x:row r="6775" spans="6:6" x14ac:dyDescent="0.25">
      <x:c r="F6775" s="11"/>
    </x:row>
    <x:row r="6776" spans="6:6" x14ac:dyDescent="0.25">
      <x:c r="F6776" s="11"/>
    </x:row>
    <x:row r="6777" spans="6:6" x14ac:dyDescent="0.25">
      <x:c r="F6777" s="11"/>
    </x:row>
    <x:row r="6778" spans="6:6" x14ac:dyDescent="0.25">
      <x:c r="F6778" s="11"/>
    </x:row>
    <x:row r="6779" spans="6:6" x14ac:dyDescent="0.25">
      <x:c r="F6779" s="11"/>
    </x:row>
    <x:row r="6780" spans="6:6" x14ac:dyDescent="0.25">
      <x:c r="F6780" s="11"/>
    </x:row>
    <x:row r="6781" spans="6:6" x14ac:dyDescent="0.25">
      <x:c r="F6781" s="11"/>
    </x:row>
    <x:row r="6782" spans="6:6" x14ac:dyDescent="0.25">
      <x:c r="F6782" s="11"/>
    </x:row>
    <x:row r="6783" spans="6:6" x14ac:dyDescent="0.25">
      <x:c r="F6783" s="11"/>
    </x:row>
    <x:row r="6784" spans="6:6" x14ac:dyDescent="0.25">
      <x:c r="F6784" s="11"/>
    </x:row>
    <x:row r="6785" spans="6:6" x14ac:dyDescent="0.25">
      <x:c r="F6785" s="11"/>
    </x:row>
    <x:row r="6786" spans="6:6" x14ac:dyDescent="0.25">
      <x:c r="F6786" s="11"/>
    </x:row>
    <x:row r="6787" spans="6:6" x14ac:dyDescent="0.25">
      <x:c r="F6787" s="11"/>
    </x:row>
    <x:row r="6788" spans="6:6" x14ac:dyDescent="0.25">
      <x:c r="F6788" s="11"/>
    </x:row>
    <x:row r="6789" spans="6:6" x14ac:dyDescent="0.25">
      <x:c r="F6789" s="11"/>
    </x:row>
    <x:row r="6790" spans="6:6" x14ac:dyDescent="0.25">
      <x:c r="F6790" s="11"/>
    </x:row>
    <x:row r="6791" spans="6:6" x14ac:dyDescent="0.25">
      <x:c r="F6791" s="11"/>
    </x:row>
    <x:row r="6792" spans="6:6" x14ac:dyDescent="0.25">
      <x:c r="F6792" s="11"/>
    </x:row>
    <x:row r="6793" spans="6:6" x14ac:dyDescent="0.25">
      <x:c r="F6793" s="11"/>
    </x:row>
    <x:row r="6794" spans="6:6" x14ac:dyDescent="0.25">
      <x:c r="F6794" s="11"/>
    </x:row>
    <x:row r="6795" spans="6:6" x14ac:dyDescent="0.25">
      <x:c r="F6795" s="11"/>
    </x:row>
    <x:row r="6796" spans="6:6" x14ac:dyDescent="0.25">
      <x:c r="F6796" s="11"/>
    </x:row>
    <x:row r="6797" spans="6:6" x14ac:dyDescent="0.25">
      <x:c r="F6797" s="11"/>
    </x:row>
    <x:row r="6798" spans="6:6" x14ac:dyDescent="0.25">
      <x:c r="F6798" s="11"/>
    </x:row>
    <x:row r="6799" spans="6:6" x14ac:dyDescent="0.25">
      <x:c r="F6799" s="11"/>
    </x:row>
    <x:row r="6800" spans="6:6" x14ac:dyDescent="0.25">
      <x:c r="F6800" s="11"/>
    </x:row>
    <x:row r="6801" spans="6:6" x14ac:dyDescent="0.25">
      <x:c r="F6801" s="11"/>
    </x:row>
    <x:row r="6802" spans="6:6" x14ac:dyDescent="0.25">
      <x:c r="F6802" s="11"/>
    </x:row>
    <x:row r="6803" spans="6:6" x14ac:dyDescent="0.25">
      <x:c r="F6803" s="11"/>
    </x:row>
    <x:row r="6804" spans="6:6" x14ac:dyDescent="0.25">
      <x:c r="F6804" s="11"/>
    </x:row>
    <x:row r="6805" spans="6:6" x14ac:dyDescent="0.25">
      <x:c r="F6805" s="11"/>
    </x:row>
    <x:row r="6806" spans="6:6" x14ac:dyDescent="0.25">
      <x:c r="F6806" s="11"/>
    </x:row>
    <x:row r="6807" spans="6:6" x14ac:dyDescent="0.25">
      <x:c r="F6807" s="11"/>
    </x:row>
    <x:row r="6808" spans="6:6" x14ac:dyDescent="0.25">
      <x:c r="F6808" s="11"/>
    </x:row>
    <x:row r="6809" spans="6:6" x14ac:dyDescent="0.25">
      <x:c r="F6809" s="11"/>
    </x:row>
    <x:row r="6810" spans="6:6" x14ac:dyDescent="0.25">
      <x:c r="F6810" s="11"/>
    </x:row>
    <x:row r="6811" spans="6:6" x14ac:dyDescent="0.25">
      <x:c r="F6811" s="11"/>
    </x:row>
    <x:row r="6812" spans="6:6" x14ac:dyDescent="0.25">
      <x:c r="F6812" s="11"/>
    </x:row>
    <x:row r="6813" spans="6:6" x14ac:dyDescent="0.25">
      <x:c r="F6813" s="11"/>
    </x:row>
    <x:row r="6814" spans="6:6" x14ac:dyDescent="0.25">
      <x:c r="F6814" s="11"/>
    </x:row>
    <x:row r="6815" spans="6:6" x14ac:dyDescent="0.25">
      <x:c r="F6815" s="11"/>
    </x:row>
    <x:row r="6816" spans="6:6" x14ac:dyDescent="0.25">
      <x:c r="F6816" s="11"/>
    </x:row>
    <x:row r="6817" spans="6:6" x14ac:dyDescent="0.25">
      <x:c r="F6817" s="11"/>
    </x:row>
    <x:row r="6818" spans="6:6" x14ac:dyDescent="0.25">
      <x:c r="F6818" s="11"/>
    </x:row>
    <x:row r="6819" spans="6:6" x14ac:dyDescent="0.25">
      <x:c r="F6819" s="11"/>
    </x:row>
    <x:row r="6820" spans="6:6" x14ac:dyDescent="0.25">
      <x:c r="F6820" s="11"/>
    </x:row>
    <x:row r="6821" spans="6:6" x14ac:dyDescent="0.25">
      <x:c r="F6821" s="11"/>
    </x:row>
    <x:row r="6822" spans="6:6" x14ac:dyDescent="0.25">
      <x:c r="F6822" s="11"/>
    </x:row>
    <x:row r="6823" spans="6:6" x14ac:dyDescent="0.25">
      <x:c r="F6823" s="11"/>
    </x:row>
    <x:row r="6824" spans="6:6" x14ac:dyDescent="0.25">
      <x:c r="F6824" s="11"/>
    </x:row>
    <x:row r="6825" spans="6:6" x14ac:dyDescent="0.25">
      <x:c r="F6825" s="11"/>
    </x:row>
    <x:row r="6826" spans="6:6" x14ac:dyDescent="0.25">
      <x:c r="F6826" s="11"/>
    </x:row>
    <x:row r="6827" spans="6:6" x14ac:dyDescent="0.25">
      <x:c r="F6827" s="11"/>
    </x:row>
    <x:row r="6828" spans="6:6" x14ac:dyDescent="0.25">
      <x:c r="F6828" s="11"/>
    </x:row>
    <x:row r="6829" spans="6:6" x14ac:dyDescent="0.25">
      <x:c r="F6829" s="11"/>
    </x:row>
    <x:row r="6830" spans="6:6" x14ac:dyDescent="0.25">
      <x:c r="F6830" s="11"/>
    </x:row>
    <x:row r="6831" spans="6:6" x14ac:dyDescent="0.25">
      <x:c r="F6831" s="11"/>
    </x:row>
    <x:row r="6832" spans="6:6" x14ac:dyDescent="0.25">
      <x:c r="F6832" s="11"/>
    </x:row>
    <x:row r="6833" spans="6:6" x14ac:dyDescent="0.25">
      <x:c r="F6833" s="11"/>
    </x:row>
    <x:row r="6834" spans="6:6" x14ac:dyDescent="0.25">
      <x:c r="F6834" s="11"/>
    </x:row>
    <x:row r="6835" spans="6:6" x14ac:dyDescent="0.25">
      <x:c r="F6835" s="11"/>
    </x:row>
    <x:row r="6836" spans="6:6" x14ac:dyDescent="0.25">
      <x:c r="F6836" s="11"/>
    </x:row>
    <x:row r="6837" spans="6:6" x14ac:dyDescent="0.25">
      <x:c r="F6837" s="11"/>
    </x:row>
    <x:row r="6838" spans="6:6" x14ac:dyDescent="0.25">
      <x:c r="F6838" s="11"/>
    </x:row>
    <x:row r="6839" spans="6:6" x14ac:dyDescent="0.25">
      <x:c r="F6839" s="11"/>
    </x:row>
    <x:row r="6840" spans="6:6" x14ac:dyDescent="0.25">
      <x:c r="F6840" s="11"/>
    </x:row>
    <x:row r="6841" spans="6:6" x14ac:dyDescent="0.25">
      <x:c r="F6841" s="11"/>
    </x:row>
    <x:row r="6842" spans="6:6" x14ac:dyDescent="0.25">
      <x:c r="F6842" s="11"/>
    </x:row>
    <x:row r="6843" spans="6:6" x14ac:dyDescent="0.25">
      <x:c r="F6843" s="11"/>
    </x:row>
    <x:row r="6844" spans="6:6" x14ac:dyDescent="0.25">
      <x:c r="F6844" s="11"/>
    </x:row>
    <x:row r="6845" spans="6:6" x14ac:dyDescent="0.25">
      <x:c r="F6845" s="11"/>
    </x:row>
    <x:row r="6846" spans="6:6" x14ac:dyDescent="0.25">
      <x:c r="F6846" s="11"/>
    </x:row>
    <x:row r="6847" spans="6:6" x14ac:dyDescent="0.25">
      <x:c r="F6847" s="11"/>
    </x:row>
    <x:row r="6848" spans="6:6" x14ac:dyDescent="0.25">
      <x:c r="F6848" s="11"/>
    </x:row>
    <x:row r="6849" spans="6:6" x14ac:dyDescent="0.25">
      <x:c r="F6849" s="11"/>
    </x:row>
    <x:row r="6850" spans="6:6" x14ac:dyDescent="0.25">
      <x:c r="F6850" s="11"/>
    </x:row>
    <x:row r="6851" spans="6:6" x14ac:dyDescent="0.25">
      <x:c r="F6851" s="11"/>
    </x:row>
    <x:row r="6852" spans="6:6" x14ac:dyDescent="0.25">
      <x:c r="F6852" s="11"/>
    </x:row>
    <x:row r="6853" spans="6:6" x14ac:dyDescent="0.25">
      <x:c r="F6853" s="11"/>
    </x:row>
    <x:row r="6854" spans="6:6" x14ac:dyDescent="0.25">
      <x:c r="F6854" s="11"/>
    </x:row>
    <x:row r="6855" spans="6:6" x14ac:dyDescent="0.25">
      <x:c r="F6855" s="11"/>
    </x:row>
    <x:row r="6856" spans="6:6" x14ac:dyDescent="0.25">
      <x:c r="F6856" s="11"/>
    </x:row>
    <x:row r="6857" spans="6:6" x14ac:dyDescent="0.25">
      <x:c r="F6857" s="11"/>
    </x:row>
    <x:row r="6858" spans="6:6" x14ac:dyDescent="0.25">
      <x:c r="F6858" s="11"/>
    </x:row>
    <x:row r="6859" spans="6:6" x14ac:dyDescent="0.25">
      <x:c r="F6859" s="11"/>
    </x:row>
    <x:row r="6860" spans="6:6" x14ac:dyDescent="0.25">
      <x:c r="F6860" s="11"/>
    </x:row>
    <x:row r="6861" spans="6:6" x14ac:dyDescent="0.25">
      <x:c r="F6861" s="11"/>
    </x:row>
    <x:row r="6862" spans="6:6" x14ac:dyDescent="0.25">
      <x:c r="F6862" s="11"/>
    </x:row>
    <x:row r="6863" spans="6:6" x14ac:dyDescent="0.25">
      <x:c r="F6863" s="11"/>
    </x:row>
    <x:row r="6864" spans="6:6" x14ac:dyDescent="0.25">
      <x:c r="F6864" s="11"/>
    </x:row>
    <x:row r="6865" spans="6:6" x14ac:dyDescent="0.25">
      <x:c r="F6865" s="11"/>
    </x:row>
    <x:row r="6866" spans="6:6" x14ac:dyDescent="0.25">
      <x:c r="F6866" s="11"/>
    </x:row>
    <x:row r="6867" spans="6:6" x14ac:dyDescent="0.25">
      <x:c r="F6867" s="11"/>
    </x:row>
    <x:row r="6868" spans="6:6" x14ac:dyDescent="0.25">
      <x:c r="F6868" s="11"/>
    </x:row>
    <x:row r="6869" spans="6:6" x14ac:dyDescent="0.25">
      <x:c r="F6869" s="11"/>
    </x:row>
    <x:row r="6870" spans="6:6" x14ac:dyDescent="0.25">
      <x:c r="F6870" s="11"/>
    </x:row>
    <x:row r="6871" spans="6:6" x14ac:dyDescent="0.25">
      <x:c r="F6871" s="11"/>
    </x:row>
    <x:row r="6872" spans="6:6" x14ac:dyDescent="0.25">
      <x:c r="F6872" s="11"/>
    </x:row>
    <x:row r="6873" spans="6:6" x14ac:dyDescent="0.25">
      <x:c r="F6873" s="11"/>
    </x:row>
    <x:row r="6874" spans="6:6" x14ac:dyDescent="0.25">
      <x:c r="F6874" s="11"/>
    </x:row>
    <x:row r="6875" spans="6:6" x14ac:dyDescent="0.25">
      <x:c r="F6875" s="11"/>
    </x:row>
    <x:row r="6876" spans="6:6" x14ac:dyDescent="0.25">
      <x:c r="F6876" s="11"/>
    </x:row>
    <x:row r="6877" spans="6:6" x14ac:dyDescent="0.25">
      <x:c r="F6877" s="11"/>
    </x:row>
    <x:row r="6878" spans="6:6" x14ac:dyDescent="0.25">
      <x:c r="F6878" s="11"/>
    </x:row>
    <x:row r="6879" spans="6:6" x14ac:dyDescent="0.25">
      <x:c r="F6879" s="11"/>
    </x:row>
    <x:row r="6880" spans="6:6" x14ac:dyDescent="0.25">
      <x:c r="F6880" s="11"/>
    </x:row>
    <x:row r="6881" spans="6:6" x14ac:dyDescent="0.25">
      <x:c r="F6881" s="11"/>
    </x:row>
    <x:row r="6882" spans="6:6" x14ac:dyDescent="0.25">
      <x:c r="F6882" s="11"/>
    </x:row>
    <x:row r="6883" spans="6:6" x14ac:dyDescent="0.25">
      <x:c r="F6883" s="11"/>
    </x:row>
    <x:row r="6884" spans="6:6" x14ac:dyDescent="0.25">
      <x:c r="F6884" s="11"/>
    </x:row>
    <x:row r="6885" spans="6:6" x14ac:dyDescent="0.25">
      <x:c r="F6885" s="11"/>
    </x:row>
    <x:row r="6886" spans="6:6" x14ac:dyDescent="0.25">
      <x:c r="F6886" s="11"/>
    </x:row>
    <x:row r="6887" spans="6:6" x14ac:dyDescent="0.25">
      <x:c r="F6887" s="11"/>
    </x:row>
    <x:row r="6888" spans="6:6" x14ac:dyDescent="0.25">
      <x:c r="F6888" s="11"/>
    </x:row>
    <x:row r="6889" spans="6:6" x14ac:dyDescent="0.25">
      <x:c r="F6889" s="11"/>
    </x:row>
    <x:row r="6890" spans="6:6" x14ac:dyDescent="0.25">
      <x:c r="F6890" s="11"/>
    </x:row>
    <x:row r="6891" spans="6:6" x14ac:dyDescent="0.25">
      <x:c r="F6891" s="11"/>
    </x:row>
    <x:row r="6892" spans="6:6" x14ac:dyDescent="0.25">
      <x:c r="F6892" s="11"/>
    </x:row>
    <x:row r="6893" spans="6:6" x14ac:dyDescent="0.25">
      <x:c r="F6893" s="11"/>
    </x:row>
    <x:row r="6894" spans="6:6" x14ac:dyDescent="0.25">
      <x:c r="F6894" s="11"/>
    </x:row>
    <x:row r="6895" spans="6:6" x14ac:dyDescent="0.25">
      <x:c r="F6895" s="11"/>
    </x:row>
    <x:row r="6896" spans="6:6" x14ac:dyDescent="0.25">
      <x:c r="F6896" s="11"/>
    </x:row>
    <x:row r="6897" spans="6:6" x14ac:dyDescent="0.25">
      <x:c r="F6897" s="11"/>
    </x:row>
    <x:row r="6898" spans="6:6" x14ac:dyDescent="0.25">
      <x:c r="F6898" s="11"/>
    </x:row>
    <x:row r="6899" spans="6:6" x14ac:dyDescent="0.25">
      <x:c r="F6899" s="11"/>
    </x:row>
    <x:row r="6900" spans="6:6" x14ac:dyDescent="0.25">
      <x:c r="F6900" s="11"/>
    </x:row>
    <x:row r="6901" spans="6:6" x14ac:dyDescent="0.25">
      <x:c r="F6901" s="11"/>
    </x:row>
    <x:row r="6902" spans="6:6" x14ac:dyDescent="0.25">
      <x:c r="F6902" s="11"/>
    </x:row>
    <x:row r="6903" spans="6:6" x14ac:dyDescent="0.25">
      <x:c r="F6903" s="11"/>
    </x:row>
    <x:row r="6904" spans="6:6" x14ac:dyDescent="0.25">
      <x:c r="F6904" s="11"/>
    </x:row>
    <x:row r="6905" spans="6:6" x14ac:dyDescent="0.25">
      <x:c r="F6905" s="11"/>
    </x:row>
    <x:row r="6906" spans="6:6" x14ac:dyDescent="0.25">
      <x:c r="F6906" s="11"/>
    </x:row>
    <x:row r="6907" spans="6:6" x14ac:dyDescent="0.25">
      <x:c r="F6907" s="11"/>
    </x:row>
    <x:row r="6908" spans="6:6" x14ac:dyDescent="0.25">
      <x:c r="F6908" s="11"/>
    </x:row>
    <x:row r="6909" spans="6:6" x14ac:dyDescent="0.25">
      <x:c r="F6909" s="11"/>
    </x:row>
    <x:row r="6910" spans="6:6" x14ac:dyDescent="0.25">
      <x:c r="F6910" s="11"/>
    </x:row>
    <x:row r="6911" spans="6:6" x14ac:dyDescent="0.25">
      <x:c r="F6911" s="11"/>
    </x:row>
    <x:row r="6912" spans="6:6" x14ac:dyDescent="0.25">
      <x:c r="F6912" s="11"/>
    </x:row>
    <x:row r="6913" spans="6:6" x14ac:dyDescent="0.25">
      <x:c r="F6913" s="11"/>
    </x:row>
    <x:row r="6914" spans="6:6" x14ac:dyDescent="0.25">
      <x:c r="F6914" s="11"/>
    </x:row>
    <x:row r="6915" spans="6:6" x14ac:dyDescent="0.25">
      <x:c r="F6915" s="11"/>
    </x:row>
    <x:row r="6916" spans="6:6" x14ac:dyDescent="0.25">
      <x:c r="F6916" s="11"/>
    </x:row>
    <x:row r="6917" spans="6:6" x14ac:dyDescent="0.25">
      <x:c r="F6917" s="11"/>
    </x:row>
    <x:row r="6918" spans="6:6" x14ac:dyDescent="0.25">
      <x:c r="F6918" s="11"/>
    </x:row>
    <x:row r="6919" spans="6:6" x14ac:dyDescent="0.25">
      <x:c r="F6919" s="11"/>
    </x:row>
    <x:row r="6920" spans="6:6" x14ac:dyDescent="0.25">
      <x:c r="F6920" s="11"/>
    </x:row>
    <x:row r="6921" spans="6:6" x14ac:dyDescent="0.25">
      <x:c r="F6921" s="11"/>
    </x:row>
    <x:row r="6922" spans="6:6" x14ac:dyDescent="0.25">
      <x:c r="F6922" s="11"/>
    </x:row>
    <x:row r="6923" spans="6:6" x14ac:dyDescent="0.25">
      <x:c r="F6923" s="11"/>
    </x:row>
    <x:row r="6924" spans="6:6" x14ac:dyDescent="0.25">
      <x:c r="F6924" s="11"/>
    </x:row>
    <x:row r="6925" spans="6:6" x14ac:dyDescent="0.25">
      <x:c r="F6925" s="11"/>
    </x:row>
    <x:row r="6926" spans="6:6" x14ac:dyDescent="0.25">
      <x:c r="F6926" s="11"/>
    </x:row>
    <x:row r="6927" spans="6:6" x14ac:dyDescent="0.25">
      <x:c r="F6927" s="11"/>
    </x:row>
    <x:row r="6928" spans="6:6" x14ac:dyDescent="0.25">
      <x:c r="F6928" s="11"/>
    </x:row>
    <x:row r="6929" spans="6:6" x14ac:dyDescent="0.25">
      <x:c r="F6929" s="11"/>
    </x:row>
    <x:row r="6930" spans="6:6" x14ac:dyDescent="0.25">
      <x:c r="F6930" s="11"/>
    </x:row>
    <x:row r="6931" spans="6:6" x14ac:dyDescent="0.25">
      <x:c r="F6931" s="11"/>
    </x:row>
    <x:row r="6932" spans="6:6" x14ac:dyDescent="0.25">
      <x:c r="F6932" s="11"/>
    </x:row>
    <x:row r="6933" spans="6:6" x14ac:dyDescent="0.25">
      <x:c r="F6933" s="11"/>
    </x:row>
    <x:row r="6934" spans="6:6" x14ac:dyDescent="0.25">
      <x:c r="F6934" s="11"/>
    </x:row>
    <x:row r="6935" spans="6:6" x14ac:dyDescent="0.25">
      <x:c r="F6935" s="11"/>
    </x:row>
    <x:row r="6936" spans="6:6" x14ac:dyDescent="0.25">
      <x:c r="F6936" s="11"/>
    </x:row>
    <x:row r="6937" spans="6:6" x14ac:dyDescent="0.25">
      <x:c r="F6937" s="11"/>
    </x:row>
    <x:row r="6938" spans="6:6" x14ac:dyDescent="0.25">
      <x:c r="F6938" s="11"/>
    </x:row>
    <x:row r="6939" spans="6:6" x14ac:dyDescent="0.25">
      <x:c r="F6939" s="11"/>
    </x:row>
    <x:row r="6940" spans="6:6" x14ac:dyDescent="0.25">
      <x:c r="F6940" s="11"/>
    </x:row>
    <x:row r="6941" spans="6:6" x14ac:dyDescent="0.25">
      <x:c r="F6941" s="11"/>
    </x:row>
    <x:row r="6942" spans="6:6" x14ac:dyDescent="0.25">
      <x:c r="F6942" s="11"/>
    </x:row>
    <x:row r="6943" spans="6:6" x14ac:dyDescent="0.25">
      <x:c r="F6943" s="11"/>
    </x:row>
    <x:row r="6944" spans="6:6" x14ac:dyDescent="0.25">
      <x:c r="F6944" s="11"/>
    </x:row>
    <x:row r="6945" spans="6:6" x14ac:dyDescent="0.25">
      <x:c r="F6945" s="11"/>
    </x:row>
    <x:row r="6946" spans="6:6" x14ac:dyDescent="0.25">
      <x:c r="F6946" s="11"/>
    </x:row>
    <x:row r="6947" spans="6:6" x14ac:dyDescent="0.25">
      <x:c r="F6947" s="11"/>
    </x:row>
    <x:row r="6948" spans="6:6" x14ac:dyDescent="0.25">
      <x:c r="F6948" s="11"/>
    </x:row>
    <x:row r="6949" spans="6:6" x14ac:dyDescent="0.25">
      <x:c r="F6949" s="11"/>
    </x:row>
    <x:row r="6950" spans="6:6" x14ac:dyDescent="0.25">
      <x:c r="F6950" s="11"/>
    </x:row>
    <x:row r="6951" spans="6:6" x14ac:dyDescent="0.25">
      <x:c r="F6951" s="11"/>
    </x:row>
    <x:row r="6952" spans="6:6" x14ac:dyDescent="0.25">
      <x:c r="F6952" s="11"/>
    </x:row>
    <x:row r="6953" spans="6:6" x14ac:dyDescent="0.25">
      <x:c r="F6953" s="11"/>
    </x:row>
    <x:row r="6954" spans="6:6" x14ac:dyDescent="0.25">
      <x:c r="F6954" s="11"/>
    </x:row>
    <x:row r="6955" spans="6:6" x14ac:dyDescent="0.25">
      <x:c r="F6955" s="11"/>
    </x:row>
    <x:row r="6956" spans="6:6" x14ac:dyDescent="0.25">
      <x:c r="F6956" s="11"/>
    </x:row>
    <x:row r="6957" spans="6:6" x14ac:dyDescent="0.25">
      <x:c r="F6957" s="11"/>
    </x:row>
    <x:row r="6958" spans="6:6" x14ac:dyDescent="0.25">
      <x:c r="F6958" s="11"/>
    </x:row>
    <x:row r="6959" spans="6:6" x14ac:dyDescent="0.25">
      <x:c r="F6959" s="11"/>
    </x:row>
    <x:row r="6960" spans="6:6" x14ac:dyDescent="0.25">
      <x:c r="F6960" s="11"/>
    </x:row>
    <x:row r="6961" spans="6:6" x14ac:dyDescent="0.25">
      <x:c r="F6961" s="11"/>
    </x:row>
    <x:row r="6962" spans="6:6" x14ac:dyDescent="0.25">
      <x:c r="F6962" s="11"/>
    </x:row>
    <x:row r="6963" spans="6:6" x14ac:dyDescent="0.25">
      <x:c r="F6963" s="11"/>
    </x:row>
    <x:row r="6964" spans="6:6" x14ac:dyDescent="0.25">
      <x:c r="F6964" s="11"/>
    </x:row>
    <x:row r="6965" spans="6:6" x14ac:dyDescent="0.25">
      <x:c r="F6965" s="11"/>
    </x:row>
    <x:row r="6966" spans="6:6" x14ac:dyDescent="0.25">
      <x:c r="F6966" s="11"/>
    </x:row>
    <x:row r="6967" spans="6:6" x14ac:dyDescent="0.25">
      <x:c r="F6967" s="11"/>
    </x:row>
    <x:row r="6968" spans="6:6" x14ac:dyDescent="0.25">
      <x:c r="F6968" s="11"/>
    </x:row>
    <x:row r="6969" spans="6:6" x14ac:dyDescent="0.25">
      <x:c r="F6969" s="11"/>
    </x:row>
    <x:row r="6970" spans="6:6" x14ac:dyDescent="0.25">
      <x:c r="F6970" s="11"/>
    </x:row>
    <x:row r="6971" spans="6:6" x14ac:dyDescent="0.25">
      <x:c r="F6971" s="11"/>
    </x:row>
    <x:row r="6972" spans="6:6" x14ac:dyDescent="0.25">
      <x:c r="F6972" s="11"/>
    </x:row>
    <x:row r="6973" spans="6:6" x14ac:dyDescent="0.25">
      <x:c r="F6973" s="11"/>
    </x:row>
    <x:row r="6974" spans="6:6" x14ac:dyDescent="0.25">
      <x:c r="F6974" s="11"/>
    </x:row>
    <x:row r="6975" spans="6:6" x14ac:dyDescent="0.25">
      <x:c r="F6975" s="11"/>
    </x:row>
    <x:row r="6976" spans="6:6" x14ac:dyDescent="0.25">
      <x:c r="F6976" s="11"/>
    </x:row>
    <x:row r="6977" spans="6:6" x14ac:dyDescent="0.25">
      <x:c r="F6977" s="11"/>
    </x:row>
    <x:row r="6978" spans="6:6" x14ac:dyDescent="0.25">
      <x:c r="F6978" s="11"/>
    </x:row>
    <x:row r="6979" spans="6:6" x14ac:dyDescent="0.25">
      <x:c r="F6979" s="11"/>
    </x:row>
    <x:row r="6980" spans="6:6" x14ac:dyDescent="0.25">
      <x:c r="F6980" s="11"/>
    </x:row>
    <x:row r="6981" spans="6:6" x14ac:dyDescent="0.25">
      <x:c r="F6981" s="11"/>
    </x:row>
    <x:row r="6982" spans="6:6" x14ac:dyDescent="0.25">
      <x:c r="F6982" s="11"/>
    </x:row>
    <x:row r="6983" spans="6:6" x14ac:dyDescent="0.25">
      <x:c r="F6983" s="11"/>
    </x:row>
    <x:row r="6984" spans="6:6" x14ac:dyDescent="0.25">
      <x:c r="F6984" s="11"/>
    </x:row>
    <x:row r="6985" spans="6:6" x14ac:dyDescent="0.25">
      <x:c r="F6985" s="11"/>
    </x:row>
    <x:row r="6986" spans="6:6" x14ac:dyDescent="0.25">
      <x:c r="F6986" s="11"/>
    </x:row>
    <x:row r="6987" spans="6:6" x14ac:dyDescent="0.25">
      <x:c r="F6987" s="11"/>
    </x:row>
    <x:row r="6988" spans="6:6" x14ac:dyDescent="0.25">
      <x:c r="F6988" s="11"/>
    </x:row>
    <x:row r="6989" spans="6:6" x14ac:dyDescent="0.25">
      <x:c r="F6989" s="11"/>
    </x:row>
    <x:row r="6990" spans="6:6" x14ac:dyDescent="0.25">
      <x:c r="F6990" s="11"/>
    </x:row>
    <x:row r="6991" spans="6:6" x14ac:dyDescent="0.25">
      <x:c r="F6991" s="11"/>
    </x:row>
    <x:row r="6992" spans="6:6" x14ac:dyDescent="0.25">
      <x:c r="F6992" s="11"/>
    </x:row>
    <x:row r="6993" spans="6:6" x14ac:dyDescent="0.25">
      <x:c r="F6993" s="11"/>
    </x:row>
    <x:row r="6994" spans="6:6" x14ac:dyDescent="0.25">
      <x:c r="F6994" s="11"/>
    </x:row>
    <x:row r="6995" spans="6:6" x14ac:dyDescent="0.25">
      <x:c r="F6995" s="11"/>
    </x:row>
    <x:row r="6996" spans="6:6" x14ac:dyDescent="0.25">
      <x:c r="F6996" s="11"/>
    </x:row>
    <x:row r="6997" spans="6:6" x14ac:dyDescent="0.25">
      <x:c r="F6997" s="11"/>
    </x:row>
    <x:row r="6998" spans="6:6" x14ac:dyDescent="0.25">
      <x:c r="F6998" s="11"/>
    </x:row>
    <x:row r="6999" spans="6:6" x14ac:dyDescent="0.25">
      <x:c r="F6999" s="11"/>
    </x:row>
    <x:row r="7000" spans="6:6" x14ac:dyDescent="0.25">
      <x:c r="F7000" s="11"/>
    </x:row>
    <x:row r="7001" spans="6:6" x14ac:dyDescent="0.25">
      <x:c r="F7001" s="11"/>
    </x:row>
    <x:row r="7002" spans="6:6" x14ac:dyDescent="0.25">
      <x:c r="F7002" s="11"/>
    </x:row>
    <x:row r="7003" spans="6:6" x14ac:dyDescent="0.25">
      <x:c r="F7003" s="11"/>
    </x:row>
    <x:row r="7004" spans="6:6" x14ac:dyDescent="0.25">
      <x:c r="F7004" s="11"/>
    </x:row>
    <x:row r="7005" spans="6:6" x14ac:dyDescent="0.25">
      <x:c r="F7005" s="11"/>
    </x:row>
    <x:row r="7006" spans="6:6" x14ac:dyDescent="0.25">
      <x:c r="F7006" s="11"/>
    </x:row>
    <x:row r="7007" spans="6:6" x14ac:dyDescent="0.25">
      <x:c r="F7007" s="11"/>
    </x:row>
    <x:row r="7008" spans="6:6" x14ac:dyDescent="0.25">
      <x:c r="F7008" s="11"/>
    </x:row>
    <x:row r="7009" spans="6:6" x14ac:dyDescent="0.25">
      <x:c r="F7009" s="11"/>
    </x:row>
    <x:row r="7010" spans="6:6" x14ac:dyDescent="0.25">
      <x:c r="F7010" s="11"/>
    </x:row>
    <x:row r="7011" spans="6:6" x14ac:dyDescent="0.25">
      <x:c r="F7011" s="11"/>
    </x:row>
    <x:row r="7012" spans="6:6" x14ac:dyDescent="0.25">
      <x:c r="F7012" s="11"/>
    </x:row>
    <x:row r="7013" spans="6:6" x14ac:dyDescent="0.25">
      <x:c r="F7013" s="11"/>
    </x:row>
    <x:row r="7014" spans="6:6" x14ac:dyDescent="0.25">
      <x:c r="F7014" s="11"/>
    </x:row>
    <x:row r="7015" spans="6:6" x14ac:dyDescent="0.25">
      <x:c r="F7015" s="11"/>
    </x:row>
    <x:row r="7016" spans="6:6" x14ac:dyDescent="0.25">
      <x:c r="F7016" s="11"/>
    </x:row>
    <x:row r="7017" spans="6:6" x14ac:dyDescent="0.25">
      <x:c r="F7017" s="11"/>
    </x:row>
    <x:row r="7018" spans="6:6" x14ac:dyDescent="0.25">
      <x:c r="F7018" s="11"/>
    </x:row>
    <x:row r="7019" spans="6:6" x14ac:dyDescent="0.25">
      <x:c r="F7019" s="11"/>
    </x:row>
    <x:row r="7020" spans="6:6" x14ac:dyDescent="0.25">
      <x:c r="F7020" s="11"/>
    </x:row>
    <x:row r="7021" spans="6:6" x14ac:dyDescent="0.25">
      <x:c r="F7021" s="11"/>
    </x:row>
    <x:row r="7022" spans="6:6" x14ac:dyDescent="0.25">
      <x:c r="F7022" s="11"/>
    </x:row>
    <x:row r="7023" spans="6:6" x14ac:dyDescent="0.25">
      <x:c r="F7023" s="11"/>
    </x:row>
    <x:row r="7024" spans="6:6" x14ac:dyDescent="0.25">
      <x:c r="F7024" s="11"/>
    </x:row>
    <x:row r="7025" spans="6:6" x14ac:dyDescent="0.25">
      <x:c r="F7025" s="11"/>
    </x:row>
    <x:row r="7026" spans="6:6" x14ac:dyDescent="0.25">
      <x:c r="F7026" s="11"/>
    </x:row>
    <x:row r="7027" spans="6:6" x14ac:dyDescent="0.25">
      <x:c r="F7027" s="11"/>
    </x:row>
    <x:row r="7028" spans="6:6" x14ac:dyDescent="0.25">
      <x:c r="F7028" s="11"/>
    </x:row>
    <x:row r="7029" spans="6:6" x14ac:dyDescent="0.25">
      <x:c r="F7029" s="11"/>
    </x:row>
    <x:row r="7030" spans="6:6" x14ac:dyDescent="0.25">
      <x:c r="F7030" s="11"/>
    </x:row>
    <x:row r="7031" spans="6:6" x14ac:dyDescent="0.25">
      <x:c r="F7031" s="11"/>
    </x:row>
    <x:row r="7032" spans="6:6" x14ac:dyDescent="0.25">
      <x:c r="F7032" s="11"/>
    </x:row>
    <x:row r="7033" spans="6:6" x14ac:dyDescent="0.25">
      <x:c r="F7033" s="11"/>
    </x:row>
    <x:row r="7034" spans="6:6" x14ac:dyDescent="0.25">
      <x:c r="F7034" s="11"/>
    </x:row>
    <x:row r="7035" spans="6:6" x14ac:dyDescent="0.25">
      <x:c r="F7035" s="11"/>
    </x:row>
    <x:row r="7036" spans="6:6" x14ac:dyDescent="0.25">
      <x:c r="F7036" s="11"/>
    </x:row>
    <x:row r="7037" spans="6:6" x14ac:dyDescent="0.25">
      <x:c r="F7037" s="11"/>
    </x:row>
    <x:row r="7038" spans="6:6" x14ac:dyDescent="0.25">
      <x:c r="F7038" s="11"/>
    </x:row>
    <x:row r="7039" spans="6:6" x14ac:dyDescent="0.25">
      <x:c r="F7039" s="11"/>
    </x:row>
    <x:row r="7040" spans="6:6" x14ac:dyDescent="0.25">
      <x:c r="F7040" s="11"/>
    </x:row>
    <x:row r="7041" spans="6:6" x14ac:dyDescent="0.25">
      <x:c r="F7041" s="11"/>
    </x:row>
    <x:row r="7042" spans="6:6" x14ac:dyDescent="0.25">
      <x:c r="F7042" s="11"/>
    </x:row>
    <x:row r="7043" spans="6:6" x14ac:dyDescent="0.25">
      <x:c r="F7043" s="11"/>
    </x:row>
    <x:row r="7044" spans="6:6" x14ac:dyDescent="0.25">
      <x:c r="F7044" s="11"/>
    </x:row>
    <x:row r="7045" spans="6:6" x14ac:dyDescent="0.25">
      <x:c r="F7045" s="11"/>
    </x:row>
    <x:row r="7046" spans="6:6" x14ac:dyDescent="0.25">
      <x:c r="F7046" s="11"/>
    </x:row>
    <x:row r="7047" spans="6:6" x14ac:dyDescent="0.25">
      <x:c r="F7047" s="11"/>
    </x:row>
    <x:row r="7048" spans="6:6" x14ac:dyDescent="0.25">
      <x:c r="F7048" s="11"/>
    </x:row>
    <x:row r="7049" spans="6:6" x14ac:dyDescent="0.25">
      <x:c r="F7049" s="11"/>
    </x:row>
    <x:row r="7050" spans="6:6" x14ac:dyDescent="0.25">
      <x:c r="F7050" s="11"/>
    </x:row>
    <x:row r="7051" spans="6:6" x14ac:dyDescent="0.25">
      <x:c r="F7051" s="11"/>
    </x:row>
    <x:row r="7052" spans="6:6" x14ac:dyDescent="0.25">
      <x:c r="F7052" s="11"/>
    </x:row>
    <x:row r="7053" spans="6:6" x14ac:dyDescent="0.25">
      <x:c r="F7053" s="11"/>
    </x:row>
    <x:row r="7054" spans="6:6" x14ac:dyDescent="0.25">
      <x:c r="F7054" s="11"/>
    </x:row>
    <x:row r="7055" spans="6:6" x14ac:dyDescent="0.25">
      <x:c r="F7055" s="11"/>
    </x:row>
    <x:row r="7056" spans="6:6" x14ac:dyDescent="0.25">
      <x:c r="F7056" s="11"/>
    </x:row>
    <x:row r="7057" spans="6:6" x14ac:dyDescent="0.25">
      <x:c r="F7057" s="11"/>
    </x:row>
    <x:row r="7058" spans="6:6" x14ac:dyDescent="0.25">
      <x:c r="F7058" s="11"/>
    </x:row>
    <x:row r="7059" spans="6:6" x14ac:dyDescent="0.25">
      <x:c r="F7059" s="11"/>
    </x:row>
    <x:row r="7060" spans="6:6" x14ac:dyDescent="0.25">
      <x:c r="F7060" s="11"/>
    </x:row>
    <x:row r="7061" spans="6:6" x14ac:dyDescent="0.25">
      <x:c r="F7061" s="11"/>
    </x:row>
    <x:row r="7062" spans="6:6" x14ac:dyDescent="0.25">
      <x:c r="F7062" s="11"/>
    </x:row>
    <x:row r="7063" spans="6:6" x14ac:dyDescent="0.25">
      <x:c r="F7063" s="11"/>
    </x:row>
    <x:row r="7064" spans="6:6" x14ac:dyDescent="0.25">
      <x:c r="F7064" s="11"/>
    </x:row>
    <x:row r="7065" spans="6:6" x14ac:dyDescent="0.25">
      <x:c r="F7065" s="11"/>
    </x:row>
    <x:row r="7066" spans="6:6" x14ac:dyDescent="0.25">
      <x:c r="F7066" s="11"/>
    </x:row>
    <x:row r="7067" spans="6:6" x14ac:dyDescent="0.25">
      <x:c r="F7067" s="11"/>
    </x:row>
    <x:row r="7068" spans="6:6" x14ac:dyDescent="0.25">
      <x:c r="F7068" s="11"/>
    </x:row>
    <x:row r="7069" spans="6:6" x14ac:dyDescent="0.25">
      <x:c r="F7069" s="11"/>
    </x:row>
    <x:row r="7070" spans="6:6" x14ac:dyDescent="0.25">
      <x:c r="F7070" s="11"/>
    </x:row>
    <x:row r="7071" spans="6:6" x14ac:dyDescent="0.25">
      <x:c r="F7071" s="11"/>
    </x:row>
    <x:row r="7072" spans="6:6" x14ac:dyDescent="0.25">
      <x:c r="F7072" s="11"/>
    </x:row>
    <x:row r="7073" spans="6:6" x14ac:dyDescent="0.25">
      <x:c r="F7073" s="11"/>
    </x:row>
    <x:row r="7074" spans="6:6" x14ac:dyDescent="0.25">
      <x:c r="F7074" s="11"/>
    </x:row>
    <x:row r="7075" spans="6:6" x14ac:dyDescent="0.25">
      <x:c r="F7075" s="11"/>
    </x:row>
    <x:row r="7076" spans="6:6" x14ac:dyDescent="0.25">
      <x:c r="F7076" s="11"/>
    </x:row>
    <x:row r="7077" spans="6:6" x14ac:dyDescent="0.25">
      <x:c r="F7077" s="11"/>
    </x:row>
    <x:row r="7078" spans="6:6" x14ac:dyDescent="0.25">
      <x:c r="F7078" s="11"/>
    </x:row>
    <x:row r="7079" spans="6:6" x14ac:dyDescent="0.25">
      <x:c r="F7079" s="11"/>
    </x:row>
    <x:row r="7080" spans="6:6" x14ac:dyDescent="0.25">
      <x:c r="F7080" s="11"/>
    </x:row>
    <x:row r="7081" spans="6:6" x14ac:dyDescent="0.25">
      <x:c r="F7081" s="11"/>
    </x:row>
    <x:row r="7082" spans="6:6" x14ac:dyDescent="0.25">
      <x:c r="F7082" s="11"/>
    </x:row>
    <x:row r="7083" spans="6:6" x14ac:dyDescent="0.25">
      <x:c r="F7083" s="11"/>
    </x:row>
    <x:row r="7084" spans="6:6" x14ac:dyDescent="0.25">
      <x:c r="F7084" s="11"/>
    </x:row>
    <x:row r="7085" spans="6:6" x14ac:dyDescent="0.25">
      <x:c r="F7085" s="11"/>
    </x:row>
    <x:row r="7086" spans="6:6" x14ac:dyDescent="0.25">
      <x:c r="F7086" s="11"/>
    </x:row>
    <x:row r="7087" spans="6:6" x14ac:dyDescent="0.25">
      <x:c r="F7087" s="11"/>
    </x:row>
    <x:row r="7088" spans="6:6" x14ac:dyDescent="0.25">
      <x:c r="F7088" s="11"/>
    </x:row>
    <x:row r="7089" spans="6:6" x14ac:dyDescent="0.25">
      <x:c r="F7089" s="11"/>
    </x:row>
    <x:row r="7090" spans="6:6" x14ac:dyDescent="0.25">
      <x:c r="F7090" s="11"/>
    </x:row>
    <x:row r="7091" spans="6:6" x14ac:dyDescent="0.25">
      <x:c r="F7091" s="11"/>
    </x:row>
    <x:row r="7092" spans="6:6" x14ac:dyDescent="0.25">
      <x:c r="F7092" s="11"/>
    </x:row>
    <x:row r="7093" spans="6:6" x14ac:dyDescent="0.25">
      <x:c r="F7093" s="11"/>
    </x:row>
    <x:row r="7094" spans="6:6" x14ac:dyDescent="0.25">
      <x:c r="F7094" s="11"/>
    </x:row>
    <x:row r="7095" spans="6:6" x14ac:dyDescent="0.25">
      <x:c r="F7095" s="11"/>
    </x:row>
    <x:row r="7096" spans="6:6" x14ac:dyDescent="0.25">
      <x:c r="F7096" s="11"/>
    </x:row>
    <x:row r="7097" spans="6:6" x14ac:dyDescent="0.25">
      <x:c r="F7097" s="11"/>
    </x:row>
    <x:row r="7098" spans="6:6" x14ac:dyDescent="0.25">
      <x:c r="F7098" s="11"/>
    </x:row>
    <x:row r="7099" spans="6:6" x14ac:dyDescent="0.25">
      <x:c r="F7099" s="11"/>
    </x:row>
    <x:row r="7100" spans="6:6" x14ac:dyDescent="0.25">
      <x:c r="F7100" s="11"/>
    </x:row>
    <x:row r="7101" spans="6:6" x14ac:dyDescent="0.25">
      <x:c r="F7101" s="11"/>
    </x:row>
    <x:row r="7102" spans="6:6" x14ac:dyDescent="0.25">
      <x:c r="F7102" s="11"/>
    </x:row>
    <x:row r="7103" spans="6:6" x14ac:dyDescent="0.25">
      <x:c r="F7103" s="11"/>
    </x:row>
    <x:row r="7104" spans="6:6" x14ac:dyDescent="0.25">
      <x:c r="F7104" s="11"/>
    </x:row>
    <x:row r="7105" spans="6:6" x14ac:dyDescent="0.25">
      <x:c r="F7105" s="11"/>
    </x:row>
    <x:row r="7106" spans="6:6" x14ac:dyDescent="0.25">
      <x:c r="F7106" s="11"/>
    </x:row>
    <x:row r="7107" spans="6:6" x14ac:dyDescent="0.25">
      <x:c r="F7107" s="11"/>
    </x:row>
    <x:row r="7108" spans="6:6" x14ac:dyDescent="0.25">
      <x:c r="F7108" s="11"/>
    </x:row>
    <x:row r="7109" spans="6:6" x14ac:dyDescent="0.25">
      <x:c r="F7109" s="11"/>
    </x:row>
    <x:row r="7110" spans="6:6" x14ac:dyDescent="0.25">
      <x:c r="F7110" s="11"/>
    </x:row>
    <x:row r="7111" spans="6:6" x14ac:dyDescent="0.25">
      <x:c r="F7111" s="11"/>
    </x:row>
    <x:row r="7112" spans="6:6" x14ac:dyDescent="0.25">
      <x:c r="F7112" s="11"/>
    </x:row>
    <x:row r="7113" spans="6:6" x14ac:dyDescent="0.25">
      <x:c r="F7113" s="11"/>
    </x:row>
    <x:row r="7114" spans="6:6" x14ac:dyDescent="0.25">
      <x:c r="F7114" s="11"/>
    </x:row>
    <x:row r="7115" spans="6:6" x14ac:dyDescent="0.25">
      <x:c r="F7115" s="11"/>
    </x:row>
    <x:row r="7116" spans="6:6" x14ac:dyDescent="0.25">
      <x:c r="F7116" s="11"/>
    </x:row>
    <x:row r="7117" spans="6:6" x14ac:dyDescent="0.25">
      <x:c r="F7117" s="11"/>
    </x:row>
    <x:row r="7118" spans="6:6" x14ac:dyDescent="0.25">
      <x:c r="F7118" s="11"/>
    </x:row>
    <x:row r="7119" spans="6:6" x14ac:dyDescent="0.25">
      <x:c r="F7119" s="11"/>
    </x:row>
    <x:row r="7120" spans="6:6" x14ac:dyDescent="0.25">
      <x:c r="F7120" s="11"/>
    </x:row>
    <x:row r="7121" spans="6:6" x14ac:dyDescent="0.25">
      <x:c r="F7121" s="11"/>
    </x:row>
    <x:row r="7122" spans="6:6" x14ac:dyDescent="0.25">
      <x:c r="F7122" s="11"/>
    </x:row>
    <x:row r="7123" spans="6:6" x14ac:dyDescent="0.25">
      <x:c r="F7123" s="11"/>
    </x:row>
    <x:row r="7124" spans="6:6" x14ac:dyDescent="0.25">
      <x:c r="F7124" s="11"/>
    </x:row>
    <x:row r="7125" spans="6:6" x14ac:dyDescent="0.25">
      <x:c r="F7125" s="11"/>
    </x:row>
    <x:row r="7126" spans="6:6" x14ac:dyDescent="0.25">
      <x:c r="F7126" s="11"/>
    </x:row>
    <x:row r="7127" spans="6:6" x14ac:dyDescent="0.25">
      <x:c r="F7127" s="11"/>
    </x:row>
    <x:row r="7128" spans="6:6" x14ac:dyDescent="0.25">
      <x:c r="F7128" s="11"/>
    </x:row>
    <x:row r="7129" spans="6:6" x14ac:dyDescent="0.25">
      <x:c r="F7129" s="11"/>
    </x:row>
    <x:row r="7130" spans="6:6" x14ac:dyDescent="0.25">
      <x:c r="F7130" s="11"/>
    </x:row>
    <x:row r="7131" spans="6:6" x14ac:dyDescent="0.25">
      <x:c r="F7131" s="11"/>
    </x:row>
    <x:row r="7132" spans="6:6" x14ac:dyDescent="0.25">
      <x:c r="F7132" s="11"/>
    </x:row>
    <x:row r="7133" spans="6:6" x14ac:dyDescent="0.25">
      <x:c r="F7133" s="11"/>
    </x:row>
    <x:row r="7134" spans="6:6" x14ac:dyDescent="0.25">
      <x:c r="F7134" s="11"/>
    </x:row>
    <x:row r="7135" spans="6:6" x14ac:dyDescent="0.25">
      <x:c r="F7135" s="11"/>
    </x:row>
    <x:row r="7136" spans="6:6" x14ac:dyDescent="0.25">
      <x:c r="F7136" s="11"/>
    </x:row>
    <x:row r="7137" spans="6:6" x14ac:dyDescent="0.25">
      <x:c r="F7137" s="11"/>
    </x:row>
    <x:row r="7138" spans="6:6" x14ac:dyDescent="0.25">
      <x:c r="F7138" s="11"/>
    </x:row>
    <x:row r="7139" spans="6:6" x14ac:dyDescent="0.25">
      <x:c r="F7139" s="11"/>
    </x:row>
    <x:row r="7140" spans="6:6" x14ac:dyDescent="0.25">
      <x:c r="F7140" s="11"/>
    </x:row>
    <x:row r="7141" spans="6:6" x14ac:dyDescent="0.25">
      <x:c r="F7141" s="11"/>
    </x:row>
    <x:row r="7142" spans="6:6" x14ac:dyDescent="0.25">
      <x:c r="F7142" s="11"/>
    </x:row>
    <x:row r="7143" spans="6:6" x14ac:dyDescent="0.25">
      <x:c r="F7143" s="11"/>
    </x:row>
    <x:row r="7144" spans="6:6" x14ac:dyDescent="0.25">
      <x:c r="F7144" s="11"/>
    </x:row>
    <x:row r="7145" spans="6:6" x14ac:dyDescent="0.25">
      <x:c r="F7145" s="11"/>
    </x:row>
    <x:row r="7146" spans="6:6" x14ac:dyDescent="0.25">
      <x:c r="F7146" s="11"/>
    </x:row>
    <x:row r="7147" spans="6:6" x14ac:dyDescent="0.25">
      <x:c r="F7147" s="11"/>
    </x:row>
    <x:row r="7148" spans="6:6" x14ac:dyDescent="0.25">
      <x:c r="F7148" s="11"/>
    </x:row>
    <x:row r="7149" spans="6:6" x14ac:dyDescent="0.25">
      <x:c r="F7149" s="11"/>
    </x:row>
    <x:row r="7150" spans="6:6" x14ac:dyDescent="0.25">
      <x:c r="F7150" s="11"/>
    </x:row>
    <x:row r="7151" spans="6:6" x14ac:dyDescent="0.25">
      <x:c r="F7151" s="11"/>
    </x:row>
    <x:row r="7152" spans="6:6" x14ac:dyDescent="0.25">
      <x:c r="F7152" s="11"/>
    </x:row>
    <x:row r="7153" spans="6:6" x14ac:dyDescent="0.25">
      <x:c r="F7153" s="11"/>
    </x:row>
    <x:row r="7154" spans="6:6" x14ac:dyDescent="0.25">
      <x:c r="F7154" s="11"/>
    </x:row>
    <x:row r="7155" spans="6:6" x14ac:dyDescent="0.25">
      <x:c r="F7155" s="11"/>
    </x:row>
    <x:row r="7156" spans="6:6" x14ac:dyDescent="0.25">
      <x:c r="F7156" s="11"/>
    </x:row>
    <x:row r="7157" spans="6:6" x14ac:dyDescent="0.25">
      <x:c r="F7157" s="11"/>
    </x:row>
    <x:row r="7158" spans="6:6" x14ac:dyDescent="0.25">
      <x:c r="F7158" s="11"/>
    </x:row>
    <x:row r="7159" spans="6:6" x14ac:dyDescent="0.25">
      <x:c r="F7159" s="11"/>
    </x:row>
    <x:row r="7160" spans="6:6" x14ac:dyDescent="0.25">
      <x:c r="F7160" s="11"/>
    </x:row>
    <x:row r="7161" spans="6:6" x14ac:dyDescent="0.25">
      <x:c r="F7161" s="11"/>
    </x:row>
    <x:row r="7162" spans="6:6" x14ac:dyDescent="0.25">
      <x:c r="F7162" s="11"/>
    </x:row>
    <x:row r="7163" spans="6:6" x14ac:dyDescent="0.25">
      <x:c r="F7163" s="11"/>
    </x:row>
    <x:row r="7164" spans="6:6" x14ac:dyDescent="0.25">
      <x:c r="F7164" s="11"/>
    </x:row>
    <x:row r="7165" spans="6:6" x14ac:dyDescent="0.25">
      <x:c r="F7165" s="11"/>
    </x:row>
    <x:row r="7166" spans="6:6" x14ac:dyDescent="0.25">
      <x:c r="F7166" s="11"/>
    </x:row>
    <x:row r="7167" spans="6:6" x14ac:dyDescent="0.25">
      <x:c r="F7167" s="11"/>
    </x:row>
    <x:row r="7168" spans="6:6" x14ac:dyDescent="0.25">
      <x:c r="F7168" s="11"/>
    </x:row>
    <x:row r="7169" spans="6:6" x14ac:dyDescent="0.25">
      <x:c r="F7169" s="11"/>
    </x:row>
    <x:row r="7170" spans="6:6" x14ac:dyDescent="0.25">
      <x:c r="F7170" s="11"/>
    </x:row>
    <x:row r="7171" spans="6:6" x14ac:dyDescent="0.25">
      <x:c r="F7171" s="11"/>
    </x:row>
    <x:row r="7172" spans="6:6" x14ac:dyDescent="0.25">
      <x:c r="F7172" s="11"/>
    </x:row>
    <x:row r="7173" spans="6:6" x14ac:dyDescent="0.25">
      <x:c r="F7173" s="11"/>
    </x:row>
    <x:row r="7174" spans="6:6" x14ac:dyDescent="0.25">
      <x:c r="F7174" s="11"/>
    </x:row>
    <x:row r="7175" spans="6:6" x14ac:dyDescent="0.25">
      <x:c r="F7175" s="11"/>
    </x:row>
    <x:row r="7176" spans="6:6" x14ac:dyDescent="0.25">
      <x:c r="F7176" s="11"/>
    </x:row>
    <x:row r="7177" spans="6:6" x14ac:dyDescent="0.25">
      <x:c r="F7177" s="11"/>
    </x:row>
    <x:row r="7178" spans="6:6" x14ac:dyDescent="0.25">
      <x:c r="F7178" s="11"/>
    </x:row>
    <x:row r="7179" spans="6:6" x14ac:dyDescent="0.25">
      <x:c r="F7179" s="11"/>
    </x:row>
    <x:row r="7180" spans="6:6" x14ac:dyDescent="0.25">
      <x:c r="F7180" s="11"/>
    </x:row>
    <x:row r="7181" spans="6:6" x14ac:dyDescent="0.25">
      <x:c r="F7181" s="11"/>
    </x:row>
    <x:row r="7182" spans="6:6" x14ac:dyDescent="0.25">
      <x:c r="F7182" s="11"/>
    </x:row>
    <x:row r="7183" spans="6:6" x14ac:dyDescent="0.25">
      <x:c r="F7183" s="11"/>
    </x:row>
    <x:row r="7184" spans="6:6" x14ac:dyDescent="0.25">
      <x:c r="F7184" s="11"/>
    </x:row>
    <x:row r="7185" spans="6:6" x14ac:dyDescent="0.25">
      <x:c r="F7185" s="11"/>
    </x:row>
    <x:row r="7186" spans="6:6" x14ac:dyDescent="0.25">
      <x:c r="F7186" s="11"/>
    </x:row>
    <x:row r="7187" spans="6:6" x14ac:dyDescent="0.25">
      <x:c r="F7187" s="11"/>
    </x:row>
    <x:row r="7188" spans="6:6" x14ac:dyDescent="0.25">
      <x:c r="F7188" s="11"/>
    </x:row>
    <x:row r="7189" spans="6:6" x14ac:dyDescent="0.25">
      <x:c r="F7189" s="11"/>
    </x:row>
    <x:row r="7190" spans="6:6" x14ac:dyDescent="0.25">
      <x:c r="F7190" s="11"/>
    </x:row>
    <x:row r="7191" spans="6:6" x14ac:dyDescent="0.25">
      <x:c r="F7191" s="11"/>
    </x:row>
    <x:row r="7192" spans="6:6" x14ac:dyDescent="0.25">
      <x:c r="F7192" s="11"/>
    </x:row>
    <x:row r="7193" spans="6:6" x14ac:dyDescent="0.25">
      <x:c r="F7193" s="11"/>
    </x:row>
    <x:row r="7194" spans="6:6" x14ac:dyDescent="0.25">
      <x:c r="F7194" s="11"/>
    </x:row>
    <x:row r="7195" spans="6:6" x14ac:dyDescent="0.25">
      <x:c r="F7195" s="11"/>
    </x:row>
    <x:row r="7196" spans="6:6" x14ac:dyDescent="0.25">
      <x:c r="F7196" s="11"/>
    </x:row>
    <x:row r="7197" spans="6:6" x14ac:dyDescent="0.25">
      <x:c r="F7197" s="11"/>
    </x:row>
    <x:row r="7198" spans="6:6" x14ac:dyDescent="0.25">
      <x:c r="F7198" s="11"/>
    </x:row>
    <x:row r="7199" spans="6:6" x14ac:dyDescent="0.25">
      <x:c r="F7199" s="11"/>
    </x:row>
    <x:row r="7200" spans="6:6" x14ac:dyDescent="0.25">
      <x:c r="F7200" s="11"/>
    </x:row>
    <x:row r="7201" spans="6:6" x14ac:dyDescent="0.25">
      <x:c r="F7201" s="11"/>
    </x:row>
    <x:row r="7202" spans="6:6" x14ac:dyDescent="0.25">
      <x:c r="F7202" s="11"/>
    </x:row>
    <x:row r="7203" spans="6:6" x14ac:dyDescent="0.25">
      <x:c r="F7203" s="11"/>
    </x:row>
    <x:row r="7204" spans="6:6" x14ac:dyDescent="0.25">
      <x:c r="F7204" s="11"/>
    </x:row>
    <x:row r="7205" spans="6:6" x14ac:dyDescent="0.25">
      <x:c r="F7205" s="11"/>
    </x:row>
    <x:row r="7206" spans="6:6" x14ac:dyDescent="0.25">
      <x:c r="F7206" s="11"/>
    </x:row>
    <x:row r="7207" spans="6:6" x14ac:dyDescent="0.25">
      <x:c r="F7207" s="11"/>
    </x:row>
    <x:row r="7208" spans="6:6" x14ac:dyDescent="0.25">
      <x:c r="F7208" s="11"/>
    </x:row>
    <x:row r="7209" spans="6:6" x14ac:dyDescent="0.25">
      <x:c r="F7209" s="11"/>
    </x:row>
    <x:row r="7210" spans="6:6" x14ac:dyDescent="0.25">
      <x:c r="F7210" s="11"/>
    </x:row>
    <x:row r="7211" spans="6:6" x14ac:dyDescent="0.25">
      <x:c r="F7211" s="11"/>
    </x:row>
    <x:row r="7212" spans="6:6" x14ac:dyDescent="0.25">
      <x:c r="F7212" s="11"/>
    </x:row>
    <x:row r="7213" spans="6:6" x14ac:dyDescent="0.25">
      <x:c r="F7213" s="11"/>
    </x:row>
    <x:row r="7214" spans="6:6" x14ac:dyDescent="0.25">
      <x:c r="F7214" s="11"/>
    </x:row>
    <x:row r="7215" spans="6:6" x14ac:dyDescent="0.25">
      <x:c r="F7215" s="11"/>
    </x:row>
    <x:row r="7216" spans="6:6" x14ac:dyDescent="0.25">
      <x:c r="F7216" s="11"/>
    </x:row>
    <x:row r="7217" spans="6:6" x14ac:dyDescent="0.25">
      <x:c r="F7217" s="11"/>
    </x:row>
    <x:row r="7218" spans="6:6" x14ac:dyDescent="0.25">
      <x:c r="F7218" s="11"/>
    </x:row>
    <x:row r="7219" spans="6:6" x14ac:dyDescent="0.25">
      <x:c r="F7219" s="11"/>
    </x:row>
    <x:row r="7220" spans="6:6" x14ac:dyDescent="0.25">
      <x:c r="F7220" s="11"/>
    </x:row>
    <x:row r="7221" spans="6:6" x14ac:dyDescent="0.25">
      <x:c r="F7221" s="11"/>
    </x:row>
    <x:row r="7222" spans="6:6" x14ac:dyDescent="0.25">
      <x:c r="F7222" s="11"/>
    </x:row>
    <x:row r="7223" spans="6:6" x14ac:dyDescent="0.25">
      <x:c r="F7223" s="11"/>
    </x:row>
    <x:row r="7224" spans="6:6" x14ac:dyDescent="0.25">
      <x:c r="F7224" s="11"/>
    </x:row>
    <x:row r="7225" spans="6:6" x14ac:dyDescent="0.25">
      <x:c r="F7225" s="11"/>
    </x:row>
    <x:row r="7226" spans="6:6" x14ac:dyDescent="0.25">
      <x:c r="F7226" s="11"/>
    </x:row>
    <x:row r="7227" spans="6:6" x14ac:dyDescent="0.25">
      <x:c r="F7227" s="11"/>
    </x:row>
    <x:row r="7228" spans="6:6" x14ac:dyDescent="0.25">
      <x:c r="F7228" s="11"/>
    </x:row>
    <x:row r="7229" spans="6:6" x14ac:dyDescent="0.25">
      <x:c r="F7229" s="11"/>
    </x:row>
    <x:row r="7230" spans="6:6" x14ac:dyDescent="0.25">
      <x:c r="F7230" s="11"/>
    </x:row>
    <x:row r="7231" spans="6:6" x14ac:dyDescent="0.25">
      <x:c r="F7231" s="11"/>
    </x:row>
    <x:row r="7232" spans="6:6" x14ac:dyDescent="0.25">
      <x:c r="F7232" s="11"/>
    </x:row>
    <x:row r="7233" spans="6:6" x14ac:dyDescent="0.25">
      <x:c r="F7233" s="11"/>
    </x:row>
    <x:row r="7234" spans="6:6" x14ac:dyDescent="0.25">
      <x:c r="F7234" s="11"/>
    </x:row>
    <x:row r="7235" spans="6:6" x14ac:dyDescent="0.25">
      <x:c r="F7235" s="11"/>
    </x:row>
    <x:row r="7236" spans="6:6" x14ac:dyDescent="0.25">
      <x:c r="F7236" s="11"/>
    </x:row>
    <x:row r="7237" spans="6:6" x14ac:dyDescent="0.25">
      <x:c r="F7237" s="11"/>
    </x:row>
    <x:row r="7238" spans="6:6" x14ac:dyDescent="0.25">
      <x:c r="F7238" s="11"/>
    </x:row>
    <x:row r="7239" spans="6:6" x14ac:dyDescent="0.25">
      <x:c r="F7239" s="11"/>
    </x:row>
    <x:row r="7240" spans="6:6" x14ac:dyDescent="0.25">
      <x:c r="F7240" s="11"/>
    </x:row>
    <x:row r="7241" spans="6:6" x14ac:dyDescent="0.25">
      <x:c r="F7241" s="11"/>
    </x:row>
    <x:row r="7242" spans="6:6" x14ac:dyDescent="0.25">
      <x:c r="F7242" s="11"/>
    </x:row>
    <x:row r="7243" spans="6:6" x14ac:dyDescent="0.25">
      <x:c r="F7243" s="11"/>
    </x:row>
    <x:row r="7244" spans="6:6" x14ac:dyDescent="0.25">
      <x:c r="F7244" s="11"/>
    </x:row>
    <x:row r="7245" spans="6:6" x14ac:dyDescent="0.25">
      <x:c r="F7245" s="11"/>
    </x:row>
    <x:row r="7246" spans="6:6" x14ac:dyDescent="0.25">
      <x:c r="F7246" s="11"/>
    </x:row>
    <x:row r="7247" spans="6:6" x14ac:dyDescent="0.25">
      <x:c r="F7247" s="11"/>
    </x:row>
    <x:row r="7248" spans="6:6" x14ac:dyDescent="0.25">
      <x:c r="F7248" s="11"/>
    </x:row>
    <x:row r="7249" spans="6:6" x14ac:dyDescent="0.25">
      <x:c r="F7249" s="11"/>
    </x:row>
    <x:row r="7250" spans="6:6" x14ac:dyDescent="0.25">
      <x:c r="F7250" s="11"/>
    </x:row>
    <x:row r="7251" spans="6:6" x14ac:dyDescent="0.25">
      <x:c r="F7251" s="11"/>
    </x:row>
    <x:row r="7252" spans="6:6" x14ac:dyDescent="0.25">
      <x:c r="F7252" s="11"/>
    </x:row>
    <x:row r="7253" spans="6:6" x14ac:dyDescent="0.25">
      <x:c r="F7253" s="11"/>
    </x:row>
    <x:row r="7254" spans="6:6" x14ac:dyDescent="0.25">
      <x:c r="F7254" s="11"/>
    </x:row>
    <x:row r="7255" spans="6:6" x14ac:dyDescent="0.25">
      <x:c r="F7255" s="11"/>
    </x:row>
    <x:row r="7256" spans="6:6" x14ac:dyDescent="0.25">
      <x:c r="F7256" s="11"/>
    </x:row>
    <x:row r="7257" spans="6:6" x14ac:dyDescent="0.25">
      <x:c r="F7257" s="11"/>
    </x:row>
    <x:row r="7258" spans="6:6" x14ac:dyDescent="0.25">
      <x:c r="F7258" s="11"/>
    </x:row>
    <x:row r="7259" spans="6:6" x14ac:dyDescent="0.25">
      <x:c r="F7259" s="11"/>
    </x:row>
    <x:row r="7260" spans="6:6" x14ac:dyDescent="0.25">
      <x:c r="F7260" s="11"/>
    </x:row>
    <x:row r="7261" spans="6:6" x14ac:dyDescent="0.25">
      <x:c r="F7261" s="11"/>
    </x:row>
    <x:row r="7262" spans="6:6" x14ac:dyDescent="0.25">
      <x:c r="F7262" s="11"/>
    </x:row>
    <x:row r="7263" spans="6:6" x14ac:dyDescent="0.25">
      <x:c r="F7263" s="11"/>
    </x:row>
    <x:row r="7264" spans="6:6" x14ac:dyDescent="0.25">
      <x:c r="F7264" s="11"/>
    </x:row>
    <x:row r="7265" spans="6:6" x14ac:dyDescent="0.25">
      <x:c r="F7265" s="11"/>
    </x:row>
    <x:row r="7266" spans="6:6" x14ac:dyDescent="0.25">
      <x:c r="F7266" s="11"/>
    </x:row>
    <x:row r="7267" spans="6:6" x14ac:dyDescent="0.25">
      <x:c r="F7267" s="11"/>
    </x:row>
    <x:row r="7268" spans="6:6" x14ac:dyDescent="0.25">
      <x:c r="F7268" s="11"/>
    </x:row>
    <x:row r="7269" spans="6:6" x14ac:dyDescent="0.25">
      <x:c r="F7269" s="11"/>
    </x:row>
    <x:row r="7270" spans="6:6" x14ac:dyDescent="0.25">
      <x:c r="F7270" s="11"/>
    </x:row>
    <x:row r="7271" spans="6:6" x14ac:dyDescent="0.25">
      <x:c r="F7271" s="11"/>
    </x:row>
    <x:row r="7272" spans="6:6" x14ac:dyDescent="0.25">
      <x:c r="F7272" s="11"/>
    </x:row>
    <x:row r="7273" spans="6:6" x14ac:dyDescent="0.25">
      <x:c r="F7273" s="11"/>
    </x:row>
    <x:row r="7274" spans="6:6" x14ac:dyDescent="0.25">
      <x:c r="F7274" s="11"/>
    </x:row>
    <x:row r="7275" spans="6:6" x14ac:dyDescent="0.25">
      <x:c r="F7275" s="11"/>
    </x:row>
    <x:row r="7276" spans="6:6" x14ac:dyDescent="0.25">
      <x:c r="F7276" s="11"/>
    </x:row>
    <x:row r="7277" spans="6:6" x14ac:dyDescent="0.25">
      <x:c r="F7277" s="11"/>
    </x:row>
    <x:row r="7278" spans="6:6" x14ac:dyDescent="0.25">
      <x:c r="F7278" s="11"/>
    </x:row>
    <x:row r="7279" spans="6:6" x14ac:dyDescent="0.25">
      <x:c r="F7279" s="11"/>
    </x:row>
    <x:row r="7280" spans="6:6" x14ac:dyDescent="0.25">
      <x:c r="F7280" s="11"/>
    </x:row>
    <x:row r="7281" spans="6:6" x14ac:dyDescent="0.25">
      <x:c r="F7281" s="11"/>
    </x:row>
    <x:row r="7282" spans="6:6" x14ac:dyDescent="0.25">
      <x:c r="F7282" s="11"/>
    </x:row>
    <x:row r="7283" spans="6:6" x14ac:dyDescent="0.25">
      <x:c r="F7283" s="11"/>
    </x:row>
    <x:row r="7284" spans="6:6" x14ac:dyDescent="0.25">
      <x:c r="F7284" s="11"/>
    </x:row>
    <x:row r="7285" spans="6:6" x14ac:dyDescent="0.25">
      <x:c r="F7285" s="11"/>
    </x:row>
    <x:row r="7286" spans="6:6" x14ac:dyDescent="0.25">
      <x:c r="F7286" s="11"/>
    </x:row>
    <x:row r="7287" spans="6:6" x14ac:dyDescent="0.25">
      <x:c r="F7287" s="11"/>
    </x:row>
    <x:row r="7288" spans="6:6" x14ac:dyDescent="0.25">
      <x:c r="F7288" s="11"/>
    </x:row>
    <x:row r="7289" spans="6:6" x14ac:dyDescent="0.25">
      <x:c r="F7289" s="11"/>
    </x:row>
    <x:row r="7290" spans="6:6" x14ac:dyDescent="0.25">
      <x:c r="F7290" s="11"/>
    </x:row>
    <x:row r="7291" spans="6:6" x14ac:dyDescent="0.25">
      <x:c r="F7291" s="11"/>
    </x:row>
    <x:row r="7292" spans="6:6" x14ac:dyDescent="0.25">
      <x:c r="F7292" s="11"/>
    </x:row>
    <x:row r="7293" spans="6:6" x14ac:dyDescent="0.25">
      <x:c r="F7293" s="11"/>
    </x:row>
    <x:row r="7294" spans="6:6" x14ac:dyDescent="0.25">
      <x:c r="F7294" s="11"/>
    </x:row>
    <x:row r="7295" spans="6:6" x14ac:dyDescent="0.25">
      <x:c r="F7295" s="11"/>
    </x:row>
    <x:row r="7296" spans="6:6" x14ac:dyDescent="0.25">
      <x:c r="F7296" s="11"/>
    </x:row>
    <x:row r="7297" spans="6:6" x14ac:dyDescent="0.25">
      <x:c r="F7297" s="11"/>
    </x:row>
    <x:row r="7298" spans="6:6" x14ac:dyDescent="0.25">
      <x:c r="F7298" s="11"/>
    </x:row>
    <x:row r="7299" spans="6:6" x14ac:dyDescent="0.25">
      <x:c r="F7299" s="11"/>
    </x:row>
    <x:row r="7300" spans="6:6" x14ac:dyDescent="0.25">
      <x:c r="F7300" s="11"/>
    </x:row>
    <x:row r="7301" spans="6:6" x14ac:dyDescent="0.25">
      <x:c r="F7301" s="11"/>
    </x:row>
    <x:row r="7302" spans="6:6" x14ac:dyDescent="0.25">
      <x:c r="F7302" s="11"/>
    </x:row>
    <x:row r="7303" spans="6:6" x14ac:dyDescent="0.25">
      <x:c r="F7303" s="11"/>
    </x:row>
    <x:row r="7304" spans="6:6" x14ac:dyDescent="0.25">
      <x:c r="F7304" s="11"/>
    </x:row>
    <x:row r="7305" spans="6:6" x14ac:dyDescent="0.25">
      <x:c r="F7305" s="11"/>
    </x:row>
    <x:row r="7306" spans="6:6" x14ac:dyDescent="0.25">
      <x:c r="F7306" s="11"/>
    </x:row>
    <x:row r="7307" spans="6:6" x14ac:dyDescent="0.25">
      <x:c r="F7307" s="11"/>
    </x:row>
    <x:row r="7308" spans="6:6" x14ac:dyDescent="0.25">
      <x:c r="F7308" s="11"/>
    </x:row>
    <x:row r="7309" spans="6:6" x14ac:dyDescent="0.25">
      <x:c r="F7309" s="11"/>
    </x:row>
    <x:row r="7310" spans="6:6" x14ac:dyDescent="0.25">
      <x:c r="F7310" s="11"/>
    </x:row>
    <x:row r="7311" spans="6:6" x14ac:dyDescent="0.25">
      <x:c r="F7311" s="11"/>
    </x:row>
    <x:row r="7312" spans="6:6" x14ac:dyDescent="0.25">
      <x:c r="F7312" s="11"/>
    </x:row>
    <x:row r="7313" spans="6:6" x14ac:dyDescent="0.25">
      <x:c r="F7313" s="11"/>
    </x:row>
    <x:row r="7314" spans="6:6" x14ac:dyDescent="0.25">
      <x:c r="F7314" s="11"/>
    </x:row>
    <x:row r="7315" spans="6:6" x14ac:dyDescent="0.25">
      <x:c r="F7315" s="11"/>
    </x:row>
    <x:row r="7316" spans="6:6" x14ac:dyDescent="0.25">
      <x:c r="F7316" s="11"/>
    </x:row>
    <x:row r="7317" spans="6:6" x14ac:dyDescent="0.25">
      <x:c r="F7317" s="11"/>
    </x:row>
    <x:row r="7318" spans="6:6" x14ac:dyDescent="0.25">
      <x:c r="F7318" s="11"/>
    </x:row>
    <x:row r="7319" spans="6:6" x14ac:dyDescent="0.25">
      <x:c r="F7319" s="11"/>
    </x:row>
    <x:row r="7320" spans="6:6" x14ac:dyDescent="0.25">
      <x:c r="F7320" s="11"/>
    </x:row>
    <x:row r="7321" spans="6:6" x14ac:dyDescent="0.25">
      <x:c r="F7321" s="11"/>
    </x:row>
    <x:row r="7322" spans="6:6" x14ac:dyDescent="0.25">
      <x:c r="F7322" s="11"/>
    </x:row>
    <x:row r="7323" spans="6:6" x14ac:dyDescent="0.25">
      <x:c r="F7323" s="11"/>
    </x:row>
    <x:row r="7324" spans="6:6" x14ac:dyDescent="0.25">
      <x:c r="F7324" s="11"/>
    </x:row>
    <x:row r="7325" spans="6:6" x14ac:dyDescent="0.25">
      <x:c r="F7325" s="11"/>
    </x:row>
    <x:row r="7326" spans="6:6" x14ac:dyDescent="0.25">
      <x:c r="F7326" s="11"/>
    </x:row>
    <x:row r="7327" spans="6:6" x14ac:dyDescent="0.25">
      <x:c r="F7327" s="11"/>
    </x:row>
    <x:row r="7328" spans="6:6" x14ac:dyDescent="0.25">
      <x:c r="F7328" s="11"/>
    </x:row>
    <x:row r="7329" spans="6:6" x14ac:dyDescent="0.25">
      <x:c r="F7329" s="11"/>
    </x:row>
    <x:row r="7330" spans="6:6" x14ac:dyDescent="0.25">
      <x:c r="F7330" s="11"/>
    </x:row>
    <x:row r="7331" spans="6:6" x14ac:dyDescent="0.25">
      <x:c r="F7331" s="11"/>
    </x:row>
    <x:row r="7332" spans="6:6" x14ac:dyDescent="0.25">
      <x:c r="F7332" s="11"/>
    </x:row>
    <x:row r="7333" spans="6:6" x14ac:dyDescent="0.25">
      <x:c r="F7333" s="11"/>
    </x:row>
    <x:row r="7334" spans="6:6" x14ac:dyDescent="0.25">
      <x:c r="F7334" s="11"/>
    </x:row>
    <x:row r="7335" spans="6:6" x14ac:dyDescent="0.25">
      <x:c r="F7335" s="11"/>
    </x:row>
    <x:row r="7336" spans="6:6" x14ac:dyDescent="0.25">
      <x:c r="F7336" s="11"/>
    </x:row>
    <x:row r="7337" spans="6:6" x14ac:dyDescent="0.25">
      <x:c r="F7337" s="11"/>
    </x:row>
    <x:row r="7338" spans="6:6" x14ac:dyDescent="0.25">
      <x:c r="F7338" s="11"/>
    </x:row>
    <x:row r="7339" spans="6:6" x14ac:dyDescent="0.25">
      <x:c r="F7339" s="11"/>
    </x:row>
    <x:row r="7340" spans="6:6" x14ac:dyDescent="0.25">
      <x:c r="F7340" s="11"/>
    </x:row>
    <x:row r="7341" spans="6:6" x14ac:dyDescent="0.25">
      <x:c r="F7341" s="11"/>
    </x:row>
    <x:row r="7342" spans="6:6" x14ac:dyDescent="0.25">
      <x:c r="F7342" s="11"/>
    </x:row>
    <x:row r="7343" spans="6:6" x14ac:dyDescent="0.25">
      <x:c r="F7343" s="11"/>
    </x:row>
    <x:row r="7344" spans="6:6" x14ac:dyDescent="0.25">
      <x:c r="F7344" s="11"/>
    </x:row>
    <x:row r="7345" spans="6:6" x14ac:dyDescent="0.25">
      <x:c r="F7345" s="11"/>
    </x:row>
    <x:row r="7346" spans="6:6" x14ac:dyDescent="0.25">
      <x:c r="F7346" s="11"/>
    </x:row>
    <x:row r="7347" spans="6:6" x14ac:dyDescent="0.25">
      <x:c r="F7347" s="11"/>
    </x:row>
    <x:row r="7348" spans="6:6" x14ac:dyDescent="0.25">
      <x:c r="F7348" s="11"/>
    </x:row>
    <x:row r="7349" spans="6:6" x14ac:dyDescent="0.25">
      <x:c r="F7349" s="11"/>
    </x:row>
    <x:row r="7350" spans="6:6" x14ac:dyDescent="0.25">
      <x:c r="F7350" s="11"/>
    </x:row>
    <x:row r="7351" spans="6:6" x14ac:dyDescent="0.25">
      <x:c r="F7351" s="11"/>
    </x:row>
    <x:row r="7352" spans="6:6" x14ac:dyDescent="0.25">
      <x:c r="F7352" s="11"/>
    </x:row>
    <x:row r="7353" spans="6:6" x14ac:dyDescent="0.25">
      <x:c r="F7353" s="11"/>
    </x:row>
    <x:row r="7354" spans="6:6" x14ac:dyDescent="0.25">
      <x:c r="F7354" s="11"/>
    </x:row>
    <x:row r="7355" spans="6:6" x14ac:dyDescent="0.25">
      <x:c r="F7355" s="11"/>
    </x:row>
    <x:row r="7356" spans="6:6" x14ac:dyDescent="0.25">
      <x:c r="F7356" s="11"/>
    </x:row>
    <x:row r="7357" spans="6:6" x14ac:dyDescent="0.25">
      <x:c r="F7357" s="11"/>
    </x:row>
    <x:row r="7358" spans="6:6" x14ac:dyDescent="0.25">
      <x:c r="F7358" s="11"/>
    </x:row>
    <x:row r="7359" spans="6:6" x14ac:dyDescent="0.25">
      <x:c r="F7359" s="11"/>
    </x:row>
    <x:row r="7360" spans="6:6" x14ac:dyDescent="0.25">
      <x:c r="F7360" s="11"/>
    </x:row>
    <x:row r="7361" spans="6:6" x14ac:dyDescent="0.25">
      <x:c r="F7361" s="11"/>
    </x:row>
    <x:row r="7362" spans="6:6" x14ac:dyDescent="0.25">
      <x:c r="F7362" s="11"/>
    </x:row>
    <x:row r="7363" spans="6:6" x14ac:dyDescent="0.25">
      <x:c r="F7363" s="11"/>
    </x:row>
    <x:row r="7364" spans="6:6" x14ac:dyDescent="0.25">
      <x:c r="F7364" s="11"/>
    </x:row>
    <x:row r="7365" spans="6:6" x14ac:dyDescent="0.25">
      <x:c r="F7365" s="11"/>
    </x:row>
    <x:row r="7366" spans="6:6" x14ac:dyDescent="0.25">
      <x:c r="F7366" s="11"/>
    </x:row>
    <x:row r="7367" spans="6:6" x14ac:dyDescent="0.25">
      <x:c r="F7367" s="11"/>
    </x:row>
    <x:row r="7368" spans="6:6" x14ac:dyDescent="0.25">
      <x:c r="F7368" s="11"/>
    </x:row>
    <x:row r="7369" spans="6:6" x14ac:dyDescent="0.25">
      <x:c r="F7369" s="11"/>
    </x:row>
    <x:row r="7370" spans="6:6" x14ac:dyDescent="0.25">
      <x:c r="F7370" s="11"/>
    </x:row>
    <x:row r="7371" spans="6:6" x14ac:dyDescent="0.25">
      <x:c r="F7371" s="11"/>
    </x:row>
    <x:row r="7372" spans="6:6" x14ac:dyDescent="0.25">
      <x:c r="F7372" s="11"/>
    </x:row>
    <x:row r="7373" spans="6:6" x14ac:dyDescent="0.25">
      <x:c r="F7373" s="11"/>
    </x:row>
    <x:row r="7374" spans="6:6" x14ac:dyDescent="0.25">
      <x:c r="F7374" s="11"/>
    </x:row>
    <x:row r="7375" spans="6:6" x14ac:dyDescent="0.25">
      <x:c r="F7375" s="11"/>
    </x:row>
    <x:row r="7376" spans="6:6" x14ac:dyDescent="0.25">
      <x:c r="F7376" s="11"/>
    </x:row>
    <x:row r="7377" spans="6:6" x14ac:dyDescent="0.25">
      <x:c r="F7377" s="11"/>
    </x:row>
    <x:row r="7378" spans="6:6" x14ac:dyDescent="0.25">
      <x:c r="F7378" s="11"/>
    </x:row>
    <x:row r="7379" spans="6:6" x14ac:dyDescent="0.25">
      <x:c r="F7379" s="11"/>
    </x:row>
    <x:row r="7380" spans="6:6" x14ac:dyDescent="0.25">
      <x:c r="F7380" s="11"/>
    </x:row>
    <x:row r="7381" spans="6:6" x14ac:dyDescent="0.25">
      <x:c r="F7381" s="11"/>
    </x:row>
    <x:row r="7382" spans="6:6" x14ac:dyDescent="0.25">
      <x:c r="F7382" s="11"/>
    </x:row>
    <x:row r="7383" spans="6:6" x14ac:dyDescent="0.25">
      <x:c r="F7383" s="11"/>
    </x:row>
    <x:row r="7384" spans="6:6" x14ac:dyDescent="0.25">
      <x:c r="F7384" s="11"/>
    </x:row>
    <x:row r="7385" spans="6:6" x14ac:dyDescent="0.25">
      <x:c r="F7385" s="11"/>
    </x:row>
    <x:row r="7386" spans="6:6" x14ac:dyDescent="0.25">
      <x:c r="F7386" s="11"/>
    </x:row>
    <x:row r="7387" spans="6:6" x14ac:dyDescent="0.25">
      <x:c r="F7387" s="11"/>
    </x:row>
    <x:row r="7388" spans="6:6" x14ac:dyDescent="0.25">
      <x:c r="F7388" s="11"/>
    </x:row>
    <x:row r="7389" spans="6:6" x14ac:dyDescent="0.25">
      <x:c r="F7389" s="11"/>
    </x:row>
    <x:row r="7390" spans="6:6" x14ac:dyDescent="0.25">
      <x:c r="F7390" s="11"/>
    </x:row>
    <x:row r="7391" spans="6:6" x14ac:dyDescent="0.25">
      <x:c r="F7391" s="11"/>
    </x:row>
    <x:row r="7392" spans="6:6" x14ac:dyDescent="0.25">
      <x:c r="F7392" s="11"/>
    </x:row>
    <x:row r="7393" spans="6:6" x14ac:dyDescent="0.25">
      <x:c r="F7393" s="11"/>
    </x:row>
    <x:row r="7394" spans="6:6" x14ac:dyDescent="0.25">
      <x:c r="F7394" s="11"/>
    </x:row>
    <x:row r="7395" spans="6:6" x14ac:dyDescent="0.25">
      <x:c r="F7395" s="11"/>
    </x:row>
    <x:row r="7396" spans="6:6" x14ac:dyDescent="0.25">
      <x:c r="F7396" s="11"/>
    </x:row>
    <x:row r="7397" spans="6:6" x14ac:dyDescent="0.25">
      <x:c r="F7397" s="11"/>
    </x:row>
    <x:row r="7398" spans="6:6" x14ac:dyDescent="0.25">
      <x:c r="F7398" s="11"/>
    </x:row>
    <x:row r="7399" spans="6:6" x14ac:dyDescent="0.25">
      <x:c r="F7399" s="11"/>
    </x:row>
    <x:row r="7400" spans="6:6" x14ac:dyDescent="0.25">
      <x:c r="F7400" s="11"/>
    </x:row>
    <x:row r="7401" spans="6:6" x14ac:dyDescent="0.25">
      <x:c r="F7401" s="11"/>
    </x:row>
    <x:row r="7402" spans="6:6" x14ac:dyDescent="0.25">
      <x:c r="F7402" s="11"/>
    </x:row>
    <x:row r="7403" spans="6:6" x14ac:dyDescent="0.25">
      <x:c r="F7403" s="11"/>
    </x:row>
    <x:row r="7404" spans="6:6" x14ac:dyDescent="0.25">
      <x:c r="F7404" s="11"/>
    </x:row>
    <x:row r="7405" spans="6:6" x14ac:dyDescent="0.25">
      <x:c r="F7405" s="11"/>
    </x:row>
    <x:row r="7406" spans="6:6" x14ac:dyDescent="0.25">
      <x:c r="F7406" s="11"/>
    </x:row>
    <x:row r="7407" spans="6:6" x14ac:dyDescent="0.25">
      <x:c r="F7407" s="11"/>
    </x:row>
    <x:row r="7408" spans="6:6" x14ac:dyDescent="0.25">
      <x:c r="F7408" s="11"/>
    </x:row>
    <x:row r="7409" spans="6:6" x14ac:dyDescent="0.25">
      <x:c r="F7409" s="11"/>
    </x:row>
    <x:row r="7410" spans="6:6" x14ac:dyDescent="0.25">
      <x:c r="F7410" s="11"/>
    </x:row>
    <x:row r="7411" spans="6:6" x14ac:dyDescent="0.25">
      <x:c r="F7411" s="11"/>
    </x:row>
    <x:row r="7412" spans="6:6" x14ac:dyDescent="0.25">
      <x:c r="F7412" s="11"/>
    </x:row>
    <x:row r="7413" spans="6:6" x14ac:dyDescent="0.25">
      <x:c r="F7413" s="11"/>
    </x:row>
    <x:row r="7414" spans="6:6" x14ac:dyDescent="0.25">
      <x:c r="F7414" s="11"/>
    </x:row>
    <x:row r="7415" spans="6:6" x14ac:dyDescent="0.25">
      <x:c r="F7415" s="11"/>
    </x:row>
    <x:row r="7416" spans="6:6" x14ac:dyDescent="0.25">
      <x:c r="F7416" s="11"/>
    </x:row>
    <x:row r="7417" spans="6:6" x14ac:dyDescent="0.25">
      <x:c r="F7417" s="11"/>
    </x:row>
    <x:row r="7418" spans="6:6" x14ac:dyDescent="0.25">
      <x:c r="F7418" s="11"/>
    </x:row>
    <x:row r="7419" spans="6:6" x14ac:dyDescent="0.25">
      <x:c r="F7419" s="11"/>
    </x:row>
    <x:row r="7420" spans="6:6" x14ac:dyDescent="0.25">
      <x:c r="F7420" s="11"/>
    </x:row>
    <x:row r="7421" spans="6:6" x14ac:dyDescent="0.25">
      <x:c r="F7421" s="11"/>
    </x:row>
    <x:row r="7422" spans="6:6" x14ac:dyDescent="0.25">
      <x:c r="F7422" s="11"/>
    </x:row>
    <x:row r="7423" spans="6:6" x14ac:dyDescent="0.25">
      <x:c r="F7423" s="11"/>
    </x:row>
    <x:row r="7424" spans="6:6" x14ac:dyDescent="0.25">
      <x:c r="F7424" s="11"/>
    </x:row>
    <x:row r="7425" spans="6:6" x14ac:dyDescent="0.25">
      <x:c r="F7425" s="11"/>
    </x:row>
    <x:row r="7426" spans="6:6" x14ac:dyDescent="0.25">
      <x:c r="F7426" s="11"/>
    </x:row>
    <x:row r="7427" spans="6:6" x14ac:dyDescent="0.25">
      <x:c r="F7427" s="11"/>
    </x:row>
    <x:row r="7428" spans="6:6" x14ac:dyDescent="0.25">
      <x:c r="F7428" s="11"/>
    </x:row>
    <x:row r="7429" spans="6:6" x14ac:dyDescent="0.25">
      <x:c r="F7429" s="11"/>
    </x:row>
    <x:row r="7430" spans="6:6" x14ac:dyDescent="0.25">
      <x:c r="F7430" s="11"/>
    </x:row>
    <x:row r="7431" spans="6:6" x14ac:dyDescent="0.25">
      <x:c r="F7431" s="11"/>
    </x:row>
    <x:row r="7432" spans="6:6" x14ac:dyDescent="0.25">
      <x:c r="F7432" s="11"/>
    </x:row>
    <x:row r="7433" spans="6:6" x14ac:dyDescent="0.25">
      <x:c r="F7433" s="11"/>
    </x:row>
    <x:row r="7434" spans="6:6" x14ac:dyDescent="0.25">
      <x:c r="F7434" s="11"/>
    </x:row>
    <x:row r="7435" spans="6:6" x14ac:dyDescent="0.25">
      <x:c r="F7435" s="11"/>
    </x:row>
    <x:row r="7436" spans="6:6" x14ac:dyDescent="0.25">
      <x:c r="F7436" s="11"/>
    </x:row>
    <x:row r="7437" spans="6:6" x14ac:dyDescent="0.25">
      <x:c r="F7437" s="11"/>
    </x:row>
    <x:row r="7438" spans="6:6" x14ac:dyDescent="0.25">
      <x:c r="F7438" s="11"/>
    </x:row>
    <x:row r="7439" spans="6:6" x14ac:dyDescent="0.25">
      <x:c r="F7439" s="11"/>
    </x:row>
    <x:row r="7440" spans="6:6" x14ac:dyDescent="0.25">
      <x:c r="F7440" s="11"/>
    </x:row>
    <x:row r="7441" spans="6:6" x14ac:dyDescent="0.25">
      <x:c r="F7441" s="11"/>
    </x:row>
    <x:row r="7442" spans="6:6" x14ac:dyDescent="0.25">
      <x:c r="F7442" s="11"/>
    </x:row>
    <x:row r="7443" spans="6:6" x14ac:dyDescent="0.25">
      <x:c r="F7443" s="11"/>
    </x:row>
    <x:row r="7444" spans="6:6" x14ac:dyDescent="0.25">
      <x:c r="F7444" s="11"/>
    </x:row>
    <x:row r="7445" spans="6:6" x14ac:dyDescent="0.25">
      <x:c r="F7445" s="11"/>
    </x:row>
    <x:row r="7446" spans="6:6" x14ac:dyDescent="0.25">
      <x:c r="F7446" s="11"/>
    </x:row>
    <x:row r="7447" spans="6:6" x14ac:dyDescent="0.25">
      <x:c r="F7447" s="11"/>
    </x:row>
    <x:row r="7448" spans="6:6" x14ac:dyDescent="0.25">
      <x:c r="F7448" s="11"/>
    </x:row>
    <x:row r="7449" spans="6:6" x14ac:dyDescent="0.25">
      <x:c r="F7449" s="11"/>
    </x:row>
    <x:row r="7450" spans="6:6" x14ac:dyDescent="0.25">
      <x:c r="F7450" s="11"/>
    </x:row>
    <x:row r="7451" spans="6:6" x14ac:dyDescent="0.25">
      <x:c r="F7451" s="11"/>
    </x:row>
    <x:row r="7452" spans="6:6" x14ac:dyDescent="0.25">
      <x:c r="F7452" s="11"/>
    </x:row>
    <x:row r="7453" spans="6:6" x14ac:dyDescent="0.25">
      <x:c r="F7453" s="11"/>
    </x:row>
    <x:row r="7454" spans="6:6" x14ac:dyDescent="0.25">
      <x:c r="F7454" s="11"/>
    </x:row>
    <x:row r="7455" spans="6:6" x14ac:dyDescent="0.25">
      <x:c r="F7455" s="11"/>
    </x:row>
    <x:row r="7456" spans="6:6" x14ac:dyDescent="0.25">
      <x:c r="F7456" s="11"/>
    </x:row>
    <x:row r="7457" spans="6:6" x14ac:dyDescent="0.25">
      <x:c r="F7457" s="11"/>
    </x:row>
    <x:row r="7458" spans="6:6" x14ac:dyDescent="0.25">
      <x:c r="F7458" s="11"/>
    </x:row>
    <x:row r="7459" spans="6:6" x14ac:dyDescent="0.25">
      <x:c r="F7459" s="11"/>
    </x:row>
    <x:row r="7460" spans="6:6" x14ac:dyDescent="0.25">
      <x:c r="F7460" s="11"/>
    </x:row>
    <x:row r="7461" spans="6:6" x14ac:dyDescent="0.25">
      <x:c r="F7461" s="11"/>
    </x:row>
    <x:row r="7462" spans="6:6" x14ac:dyDescent="0.25">
      <x:c r="F7462" s="11"/>
    </x:row>
    <x:row r="7463" spans="6:6" x14ac:dyDescent="0.25">
      <x:c r="F7463" s="11"/>
    </x:row>
    <x:row r="7464" spans="6:6" x14ac:dyDescent="0.25">
      <x:c r="F7464" s="11"/>
    </x:row>
    <x:row r="7465" spans="6:6" x14ac:dyDescent="0.25">
      <x:c r="F7465" s="11"/>
    </x:row>
    <x:row r="7466" spans="6:6" x14ac:dyDescent="0.25">
      <x:c r="F7466" s="11"/>
    </x:row>
    <x:row r="7467" spans="6:6" x14ac:dyDescent="0.25">
      <x:c r="F7467" s="11"/>
    </x:row>
    <x:row r="7468" spans="6:6" x14ac:dyDescent="0.25">
      <x:c r="F7468" s="11"/>
    </x:row>
    <x:row r="7469" spans="6:6" x14ac:dyDescent="0.25">
      <x:c r="F7469" s="11"/>
    </x:row>
    <x:row r="7470" spans="6:6" x14ac:dyDescent="0.25">
      <x:c r="F7470" s="11"/>
    </x:row>
    <x:row r="7471" spans="6:6" x14ac:dyDescent="0.25">
      <x:c r="F7471" s="11"/>
    </x:row>
    <x:row r="7472" spans="6:6" x14ac:dyDescent="0.25">
      <x:c r="F7472" s="11"/>
    </x:row>
    <x:row r="7473" spans="6:6" x14ac:dyDescent="0.25">
      <x:c r="F7473" s="11"/>
    </x:row>
    <x:row r="7474" spans="6:6" x14ac:dyDescent="0.25">
      <x:c r="F7474" s="11"/>
    </x:row>
    <x:row r="7475" spans="6:6" x14ac:dyDescent="0.25">
      <x:c r="F7475" s="11"/>
    </x:row>
    <x:row r="7476" spans="6:6" x14ac:dyDescent="0.25">
      <x:c r="F7476" s="11"/>
    </x:row>
    <x:row r="7477" spans="6:6" x14ac:dyDescent="0.25">
      <x:c r="F7477" s="11"/>
    </x:row>
    <x:row r="7478" spans="6:6" x14ac:dyDescent="0.25">
      <x:c r="F7478" s="11"/>
    </x:row>
    <x:row r="7479" spans="6:6" x14ac:dyDescent="0.25">
      <x:c r="F7479" s="11"/>
    </x:row>
    <x:row r="7480" spans="6:6" x14ac:dyDescent="0.25">
      <x:c r="F7480" s="11"/>
    </x:row>
    <x:row r="7481" spans="6:6" x14ac:dyDescent="0.25">
      <x:c r="F7481" s="11"/>
    </x:row>
    <x:row r="7482" spans="6:6" x14ac:dyDescent="0.25">
      <x:c r="F7482" s="11"/>
    </x:row>
    <x:row r="7483" spans="6:6" x14ac:dyDescent="0.25">
      <x:c r="F7483" s="11"/>
    </x:row>
    <x:row r="7484" spans="6:6" x14ac:dyDescent="0.25">
      <x:c r="F7484" s="11"/>
    </x:row>
    <x:row r="7485" spans="6:6" x14ac:dyDescent="0.25">
      <x:c r="F7485" s="11"/>
    </x:row>
    <x:row r="7486" spans="6:6" x14ac:dyDescent="0.25">
      <x:c r="F7486" s="11"/>
    </x:row>
    <x:row r="7487" spans="6:6" x14ac:dyDescent="0.25">
      <x:c r="F7487" s="11"/>
    </x:row>
    <x:row r="7488" spans="6:6" x14ac:dyDescent="0.25">
      <x:c r="F7488" s="11"/>
    </x:row>
    <x:row r="7489" spans="6:6" x14ac:dyDescent="0.25">
      <x:c r="F7489" s="11"/>
    </x:row>
    <x:row r="7490" spans="6:6" x14ac:dyDescent="0.25">
      <x:c r="F7490" s="11"/>
    </x:row>
    <x:row r="7491" spans="6:6" x14ac:dyDescent="0.25">
      <x:c r="F7491" s="11"/>
    </x:row>
    <x:row r="7492" spans="6:6" x14ac:dyDescent="0.25">
      <x:c r="F7492" s="11"/>
    </x:row>
    <x:row r="7493" spans="6:6" x14ac:dyDescent="0.25">
      <x:c r="F7493" s="11"/>
    </x:row>
    <x:row r="7494" spans="6:6" x14ac:dyDescent="0.25">
      <x:c r="F7494" s="11"/>
    </x:row>
    <x:row r="7495" spans="6:6" x14ac:dyDescent="0.25">
      <x:c r="F7495" s="11"/>
    </x:row>
    <x:row r="7496" spans="6:6" x14ac:dyDescent="0.25">
      <x:c r="F7496" s="11"/>
    </x:row>
    <x:row r="7497" spans="6:6" x14ac:dyDescent="0.25">
      <x:c r="F7497" s="11"/>
    </x:row>
    <x:row r="7498" spans="6:6" x14ac:dyDescent="0.25">
      <x:c r="F7498" s="11"/>
    </x:row>
    <x:row r="7499" spans="6:6" x14ac:dyDescent="0.25">
      <x:c r="F7499" s="11"/>
    </x:row>
    <x:row r="7500" spans="6:6" x14ac:dyDescent="0.25">
      <x:c r="F7500" s="11"/>
    </x:row>
    <x:row r="7501" spans="6:6" x14ac:dyDescent="0.25">
      <x:c r="F7501" s="11"/>
    </x:row>
    <x:row r="7502" spans="6:6" x14ac:dyDescent="0.25">
      <x:c r="F7502" s="11"/>
    </x:row>
    <x:row r="7503" spans="6:6" x14ac:dyDescent="0.25">
      <x:c r="F7503" s="11"/>
    </x:row>
    <x:row r="7504" spans="6:6" x14ac:dyDescent="0.25">
      <x:c r="F7504" s="11"/>
    </x:row>
    <x:row r="7505" spans="6:6" x14ac:dyDescent="0.25">
      <x:c r="F7505" s="11"/>
    </x:row>
    <x:row r="7506" spans="6:6" x14ac:dyDescent="0.25">
      <x:c r="F7506" s="11"/>
    </x:row>
    <x:row r="7507" spans="6:6" x14ac:dyDescent="0.25">
      <x:c r="F7507" s="11"/>
    </x:row>
    <x:row r="7508" spans="6:6" x14ac:dyDescent="0.25">
      <x:c r="F7508" s="11"/>
    </x:row>
    <x:row r="7509" spans="6:6" x14ac:dyDescent="0.25">
      <x:c r="F7509" s="11"/>
    </x:row>
    <x:row r="7510" spans="6:6" x14ac:dyDescent="0.25">
      <x:c r="F7510" s="11"/>
    </x:row>
    <x:row r="7511" spans="6:6" x14ac:dyDescent="0.25">
      <x:c r="F7511" s="11"/>
    </x:row>
    <x:row r="7512" spans="6:6" x14ac:dyDescent="0.25">
      <x:c r="F7512" s="11"/>
    </x:row>
    <x:row r="7513" spans="6:6" x14ac:dyDescent="0.25">
      <x:c r="F7513" s="11"/>
    </x:row>
    <x:row r="7514" spans="6:6" x14ac:dyDescent="0.25">
      <x:c r="F7514" s="11"/>
    </x:row>
    <x:row r="7515" spans="6:6" x14ac:dyDescent="0.25">
      <x:c r="F7515" s="11"/>
    </x:row>
    <x:row r="7516" spans="6:6" x14ac:dyDescent="0.25">
      <x:c r="F7516" s="11"/>
    </x:row>
    <x:row r="7517" spans="6:6" x14ac:dyDescent="0.25">
      <x:c r="F7517" s="11"/>
    </x:row>
    <x:row r="7518" spans="6:6" x14ac:dyDescent="0.25">
      <x:c r="F7518" s="11"/>
    </x:row>
    <x:row r="7519" spans="6:6" x14ac:dyDescent="0.25">
      <x:c r="F7519" s="11"/>
    </x:row>
    <x:row r="7520" spans="6:6" x14ac:dyDescent="0.25">
      <x:c r="F7520" s="11"/>
    </x:row>
    <x:row r="7521" spans="6:6" x14ac:dyDescent="0.25">
      <x:c r="F7521" s="11"/>
    </x:row>
    <x:row r="7522" spans="6:6" x14ac:dyDescent="0.25">
      <x:c r="F7522" s="11"/>
    </x:row>
    <x:row r="7523" spans="6:6" x14ac:dyDescent="0.25">
      <x:c r="F7523" s="11"/>
    </x:row>
    <x:row r="7524" spans="6:6" x14ac:dyDescent="0.25">
      <x:c r="F7524" s="11"/>
    </x:row>
    <x:row r="7525" spans="6:6" x14ac:dyDescent="0.25">
      <x:c r="F7525" s="11"/>
    </x:row>
    <x:row r="7526" spans="6:6" x14ac:dyDescent="0.25">
      <x:c r="F7526" s="11"/>
    </x:row>
    <x:row r="7527" spans="6:6" x14ac:dyDescent="0.25">
      <x:c r="F7527" s="11"/>
    </x:row>
    <x:row r="7528" spans="6:6" x14ac:dyDescent="0.25">
      <x:c r="F7528" s="11"/>
    </x:row>
    <x:row r="7529" spans="6:6" x14ac:dyDescent="0.25">
      <x:c r="F7529" s="11"/>
    </x:row>
    <x:row r="7530" spans="6:6" x14ac:dyDescent="0.25">
      <x:c r="F7530" s="11"/>
    </x:row>
    <x:row r="7531" spans="6:6" x14ac:dyDescent="0.25">
      <x:c r="F7531" s="11"/>
    </x:row>
    <x:row r="7532" spans="6:6" x14ac:dyDescent="0.25">
      <x:c r="F7532" s="11"/>
    </x:row>
    <x:row r="7533" spans="6:6" x14ac:dyDescent="0.25">
      <x:c r="F7533" s="11"/>
    </x:row>
    <x:row r="7534" spans="6:6" x14ac:dyDescent="0.25">
      <x:c r="F7534" s="11"/>
    </x:row>
    <x:row r="7535" spans="6:6" x14ac:dyDescent="0.25">
      <x:c r="F7535" s="11"/>
    </x:row>
    <x:row r="7536" spans="6:6" x14ac:dyDescent="0.25">
      <x:c r="F7536" s="11"/>
    </x:row>
    <x:row r="7537" spans="6:6" x14ac:dyDescent="0.25">
      <x:c r="F7537" s="11"/>
    </x:row>
    <x:row r="7538" spans="6:6" x14ac:dyDescent="0.25">
      <x:c r="F7538" s="11"/>
    </x:row>
    <x:row r="7539" spans="6:6" x14ac:dyDescent="0.25">
      <x:c r="F7539" s="11"/>
    </x:row>
    <x:row r="7540" spans="6:6" x14ac:dyDescent="0.25">
      <x:c r="F7540" s="11"/>
    </x:row>
    <x:row r="7541" spans="6:6" x14ac:dyDescent="0.25">
      <x:c r="F7541" s="11"/>
    </x:row>
    <x:row r="7542" spans="6:6" x14ac:dyDescent="0.25">
      <x:c r="F7542" s="11"/>
    </x:row>
    <x:row r="7543" spans="6:6" x14ac:dyDescent="0.25">
      <x:c r="F7543" s="11"/>
    </x:row>
    <x:row r="7544" spans="6:6" x14ac:dyDescent="0.25">
      <x:c r="F7544" s="11"/>
    </x:row>
    <x:row r="7545" spans="6:6" x14ac:dyDescent="0.25">
      <x:c r="F7545" s="11"/>
    </x:row>
    <x:row r="7546" spans="6:6" x14ac:dyDescent="0.25">
      <x:c r="F7546" s="11"/>
    </x:row>
    <x:row r="7547" spans="6:6" x14ac:dyDescent="0.25">
      <x:c r="F7547" s="11"/>
    </x:row>
    <x:row r="7548" spans="6:6" x14ac:dyDescent="0.25">
      <x:c r="F7548" s="11"/>
    </x:row>
    <x:row r="7549" spans="6:6" x14ac:dyDescent="0.25">
      <x:c r="F7549" s="11"/>
    </x:row>
    <x:row r="7550" spans="6:6" x14ac:dyDescent="0.25">
      <x:c r="F7550" s="11"/>
    </x:row>
    <x:row r="7551" spans="6:6" x14ac:dyDescent="0.25">
      <x:c r="F7551" s="11"/>
    </x:row>
    <x:row r="7552" spans="6:6" x14ac:dyDescent="0.25">
      <x:c r="F7552" s="11"/>
    </x:row>
    <x:row r="7553" spans="6:6" x14ac:dyDescent="0.25">
      <x:c r="F7553" s="11"/>
    </x:row>
    <x:row r="7554" spans="6:6" x14ac:dyDescent="0.25">
      <x:c r="F7554" s="11"/>
    </x:row>
    <x:row r="7555" spans="6:6" x14ac:dyDescent="0.25">
      <x:c r="F7555" s="11"/>
    </x:row>
    <x:row r="7556" spans="6:6" x14ac:dyDescent="0.25">
      <x:c r="F7556" s="11"/>
    </x:row>
    <x:row r="7557" spans="6:6" x14ac:dyDescent="0.25">
      <x:c r="F7557" s="11"/>
    </x:row>
    <x:row r="7558" spans="6:6" x14ac:dyDescent="0.25">
      <x:c r="F7558" s="11"/>
    </x:row>
    <x:row r="7559" spans="6:6" x14ac:dyDescent="0.25">
      <x:c r="F7559" s="11"/>
    </x:row>
    <x:row r="7560" spans="6:6" x14ac:dyDescent="0.25">
      <x:c r="F7560" s="11"/>
    </x:row>
    <x:row r="7561" spans="6:6" x14ac:dyDescent="0.25">
      <x:c r="F7561" s="11"/>
    </x:row>
    <x:row r="7562" spans="6:6" x14ac:dyDescent="0.25">
      <x:c r="F7562" s="11"/>
    </x:row>
    <x:row r="7563" spans="6:6" x14ac:dyDescent="0.25">
      <x:c r="F7563" s="11"/>
    </x:row>
    <x:row r="7564" spans="6:6" x14ac:dyDescent="0.25">
      <x:c r="F7564" s="11"/>
    </x:row>
    <x:row r="7565" spans="6:6" x14ac:dyDescent="0.25">
      <x:c r="F7565" s="11"/>
    </x:row>
    <x:row r="7566" spans="6:6" x14ac:dyDescent="0.25">
      <x:c r="F7566" s="11"/>
    </x:row>
    <x:row r="7567" spans="6:6" x14ac:dyDescent="0.25">
      <x:c r="F7567" s="11"/>
    </x:row>
    <x:row r="7568" spans="6:6" x14ac:dyDescent="0.25">
      <x:c r="F7568" s="11"/>
    </x:row>
    <x:row r="7569" spans="6:6" x14ac:dyDescent="0.25">
      <x:c r="F7569" s="11"/>
    </x:row>
    <x:row r="7570" spans="6:6" x14ac:dyDescent="0.25">
      <x:c r="F7570" s="11"/>
    </x:row>
    <x:row r="7571" spans="6:6" x14ac:dyDescent="0.25">
      <x:c r="F7571" s="11"/>
    </x:row>
    <x:row r="7572" spans="6:6" x14ac:dyDescent="0.25">
      <x:c r="F7572" s="11"/>
    </x:row>
    <x:row r="7573" spans="6:6" x14ac:dyDescent="0.25">
      <x:c r="F7573" s="11"/>
    </x:row>
    <x:row r="7574" spans="6:6" x14ac:dyDescent="0.25">
      <x:c r="F7574" s="11"/>
    </x:row>
    <x:row r="7575" spans="6:6" x14ac:dyDescent="0.25">
      <x:c r="F7575" s="11"/>
    </x:row>
    <x:row r="7576" spans="6:6" x14ac:dyDescent="0.25">
      <x:c r="F7576" s="11"/>
    </x:row>
    <x:row r="7577" spans="6:6" x14ac:dyDescent="0.25">
      <x:c r="F7577" s="11"/>
    </x:row>
    <x:row r="7578" spans="6:6" x14ac:dyDescent="0.25">
      <x:c r="F7578" s="11"/>
    </x:row>
    <x:row r="7579" spans="6:6" x14ac:dyDescent="0.25">
      <x:c r="F7579" s="11"/>
    </x:row>
    <x:row r="7580" spans="6:6" x14ac:dyDescent="0.25">
      <x:c r="F7580" s="11"/>
    </x:row>
    <x:row r="7581" spans="6:6" x14ac:dyDescent="0.25">
      <x:c r="F7581" s="11"/>
    </x:row>
    <x:row r="7582" spans="6:6" x14ac:dyDescent="0.25">
      <x:c r="F7582" s="11"/>
    </x:row>
    <x:row r="7583" spans="6:6" x14ac:dyDescent="0.25">
      <x:c r="F7583" s="11"/>
    </x:row>
    <x:row r="7584" spans="6:6" x14ac:dyDescent="0.25">
      <x:c r="F7584" s="11"/>
    </x:row>
    <x:row r="7585" spans="6:6" x14ac:dyDescent="0.25">
      <x:c r="F7585" s="11"/>
    </x:row>
    <x:row r="7586" spans="6:6" x14ac:dyDescent="0.25">
      <x:c r="F7586" s="11"/>
    </x:row>
    <x:row r="7587" spans="6:6" x14ac:dyDescent="0.25">
      <x:c r="F7587" s="11"/>
    </x:row>
    <x:row r="7588" spans="6:6" x14ac:dyDescent="0.25">
      <x:c r="F7588" s="11"/>
    </x:row>
    <x:row r="7589" spans="6:6" x14ac:dyDescent="0.25">
      <x:c r="F7589" s="11"/>
    </x:row>
    <x:row r="7590" spans="6:6" x14ac:dyDescent="0.25">
      <x:c r="F7590" s="11"/>
    </x:row>
    <x:row r="7591" spans="6:6" x14ac:dyDescent="0.25">
      <x:c r="F7591" s="11"/>
    </x:row>
    <x:row r="7592" spans="6:6" x14ac:dyDescent="0.25">
      <x:c r="F7592" s="11"/>
    </x:row>
    <x:row r="7593" spans="6:6" x14ac:dyDescent="0.25">
      <x:c r="F7593" s="11"/>
    </x:row>
    <x:row r="7594" spans="6:6" x14ac:dyDescent="0.25">
      <x:c r="F7594" s="11"/>
    </x:row>
    <x:row r="7595" spans="6:6" x14ac:dyDescent="0.25">
      <x:c r="F7595" s="11"/>
    </x:row>
    <x:row r="7596" spans="6:6" x14ac:dyDescent="0.25">
      <x:c r="F7596" s="11"/>
    </x:row>
    <x:row r="7597" spans="6:6" x14ac:dyDescent="0.25">
      <x:c r="F7597" s="11"/>
    </x:row>
    <x:row r="7598" spans="6:6" x14ac:dyDescent="0.25">
      <x:c r="F7598" s="11"/>
    </x:row>
    <x:row r="7599" spans="6:6" x14ac:dyDescent="0.25">
      <x:c r="F7599" s="11"/>
    </x:row>
    <x:row r="7600" spans="6:6" x14ac:dyDescent="0.25">
      <x:c r="F7600" s="11"/>
    </x:row>
    <x:row r="7601" spans="6:6" x14ac:dyDescent="0.25">
      <x:c r="F7601" s="11"/>
    </x:row>
    <x:row r="7602" spans="6:6" x14ac:dyDescent="0.25">
      <x:c r="F7602" s="11"/>
    </x:row>
    <x:row r="7603" spans="6:6" x14ac:dyDescent="0.25">
      <x:c r="F7603" s="11"/>
    </x:row>
    <x:row r="7604" spans="6:6" x14ac:dyDescent="0.25">
      <x:c r="F7604" s="11"/>
    </x:row>
    <x:row r="7605" spans="6:6" x14ac:dyDescent="0.25">
      <x:c r="F7605" s="11"/>
    </x:row>
    <x:row r="7606" spans="6:6" x14ac:dyDescent="0.25">
      <x:c r="F7606" s="11"/>
    </x:row>
    <x:row r="7607" spans="6:6" x14ac:dyDescent="0.25">
      <x:c r="F7607" s="11"/>
    </x:row>
    <x:row r="7608" spans="6:6" x14ac:dyDescent="0.25">
      <x:c r="F7608" s="11"/>
    </x:row>
    <x:row r="7609" spans="6:6" x14ac:dyDescent="0.25">
      <x:c r="F7609" s="11"/>
    </x:row>
    <x:row r="7610" spans="6:6" x14ac:dyDescent="0.25">
      <x:c r="F7610" s="11"/>
    </x:row>
    <x:row r="7611" spans="6:6" x14ac:dyDescent="0.25">
      <x:c r="F7611" s="11"/>
    </x:row>
    <x:row r="7612" spans="6:6" x14ac:dyDescent="0.25">
      <x:c r="F7612" s="11"/>
    </x:row>
    <x:row r="7613" spans="6:6" x14ac:dyDescent="0.25">
      <x:c r="F7613" s="11"/>
    </x:row>
    <x:row r="7614" spans="6:6" x14ac:dyDescent="0.25">
      <x:c r="F7614" s="11"/>
    </x:row>
    <x:row r="7615" spans="6:6" x14ac:dyDescent="0.25">
      <x:c r="F7615" s="11"/>
    </x:row>
    <x:row r="7616" spans="6:6" x14ac:dyDescent="0.25">
      <x:c r="F7616" s="11"/>
    </x:row>
    <x:row r="7617" spans="6:6" x14ac:dyDescent="0.25">
      <x:c r="F7617" s="11"/>
    </x:row>
    <x:row r="7618" spans="6:6" x14ac:dyDescent="0.25">
      <x:c r="F7618" s="11"/>
    </x:row>
    <x:row r="7619" spans="6:6" x14ac:dyDescent="0.25">
      <x:c r="F7619" s="11"/>
    </x:row>
    <x:row r="7620" spans="6:6" x14ac:dyDescent="0.25">
      <x:c r="F7620" s="11"/>
    </x:row>
    <x:row r="7621" spans="6:6" x14ac:dyDescent="0.25">
      <x:c r="F7621" s="11"/>
    </x:row>
    <x:row r="7622" spans="6:6" x14ac:dyDescent="0.25">
      <x:c r="F7622" s="11"/>
    </x:row>
    <x:row r="7623" spans="6:6" x14ac:dyDescent="0.25">
      <x:c r="F7623" s="11"/>
    </x:row>
    <x:row r="7624" spans="6:6" x14ac:dyDescent="0.25">
      <x:c r="F7624" s="11"/>
    </x:row>
    <x:row r="7625" spans="6:6" x14ac:dyDescent="0.25">
      <x:c r="F7625" s="11"/>
    </x:row>
    <x:row r="7626" spans="6:6" x14ac:dyDescent="0.25">
      <x:c r="F7626" s="11"/>
    </x:row>
    <x:row r="7627" spans="6:6" x14ac:dyDescent="0.25">
      <x:c r="F7627" s="11"/>
    </x:row>
    <x:row r="7628" spans="6:6" x14ac:dyDescent="0.25">
      <x:c r="F7628" s="11"/>
    </x:row>
    <x:row r="7629" spans="6:6" x14ac:dyDescent="0.25">
      <x:c r="F7629" s="11"/>
    </x:row>
    <x:row r="7630" spans="6:6" x14ac:dyDescent="0.25">
      <x:c r="F7630" s="11"/>
    </x:row>
    <x:row r="7631" spans="6:6" x14ac:dyDescent="0.25">
      <x:c r="F7631" s="11"/>
    </x:row>
    <x:row r="7632" spans="6:6" x14ac:dyDescent="0.25">
      <x:c r="F7632" s="11"/>
    </x:row>
    <x:row r="7633" spans="6:6" x14ac:dyDescent="0.25">
      <x:c r="F7633" s="11"/>
    </x:row>
    <x:row r="7634" spans="6:6" x14ac:dyDescent="0.25">
      <x:c r="F7634" s="11"/>
    </x:row>
    <x:row r="7635" spans="6:6" x14ac:dyDescent="0.25">
      <x:c r="F7635" s="11"/>
    </x:row>
    <x:row r="7636" spans="6:6" x14ac:dyDescent="0.25">
      <x:c r="F7636" s="11"/>
    </x:row>
    <x:row r="7637" spans="6:6" x14ac:dyDescent="0.25">
      <x:c r="F7637" s="11"/>
    </x:row>
    <x:row r="7638" spans="6:6" x14ac:dyDescent="0.25">
      <x:c r="F7638" s="11"/>
    </x:row>
    <x:row r="7639" spans="6:6" x14ac:dyDescent="0.25">
      <x:c r="F7639" s="11"/>
    </x:row>
    <x:row r="7640" spans="6:6" x14ac:dyDescent="0.25">
      <x:c r="F7640" s="11"/>
    </x:row>
    <x:row r="7641" spans="6:6" x14ac:dyDescent="0.25">
      <x:c r="F7641" s="11"/>
    </x:row>
    <x:row r="7642" spans="6:6" x14ac:dyDescent="0.25">
      <x:c r="F7642" s="11"/>
    </x:row>
    <x:row r="7643" spans="6:6" x14ac:dyDescent="0.25">
      <x:c r="F7643" s="11"/>
    </x:row>
    <x:row r="7644" spans="6:6" x14ac:dyDescent="0.25">
      <x:c r="F7644" s="11"/>
    </x:row>
    <x:row r="7645" spans="6:6" x14ac:dyDescent="0.25">
      <x:c r="F7645" s="11"/>
    </x:row>
    <x:row r="7646" spans="6:6" x14ac:dyDescent="0.25">
      <x:c r="F7646" s="11"/>
    </x:row>
    <x:row r="7647" spans="6:6" x14ac:dyDescent="0.25">
      <x:c r="F7647" s="11"/>
    </x:row>
    <x:row r="7648" spans="6:6" x14ac:dyDescent="0.25">
      <x:c r="F7648" s="11"/>
    </x:row>
    <x:row r="7649" spans="6:6" x14ac:dyDescent="0.25">
      <x:c r="F7649" s="11"/>
    </x:row>
    <x:row r="7650" spans="6:6" x14ac:dyDescent="0.25">
      <x:c r="F7650" s="11"/>
    </x:row>
    <x:row r="7651" spans="6:6" x14ac:dyDescent="0.25">
      <x:c r="F7651" s="11"/>
    </x:row>
    <x:row r="7652" spans="6:6" x14ac:dyDescent="0.25">
      <x:c r="F7652" s="11"/>
    </x:row>
    <x:row r="7653" spans="6:6" x14ac:dyDescent="0.25">
      <x:c r="F7653" s="11"/>
    </x:row>
    <x:row r="7654" spans="6:6" x14ac:dyDescent="0.25">
      <x:c r="F7654" s="11"/>
    </x:row>
    <x:row r="7655" spans="6:6" x14ac:dyDescent="0.25">
      <x:c r="F7655" s="11"/>
    </x:row>
    <x:row r="7656" spans="6:6" x14ac:dyDescent="0.25">
      <x:c r="F7656" s="11"/>
    </x:row>
    <x:row r="7657" spans="6:6" x14ac:dyDescent="0.25">
      <x:c r="F7657" s="11"/>
    </x:row>
    <x:row r="7658" spans="6:6" x14ac:dyDescent="0.25">
      <x:c r="F7658" s="11"/>
    </x:row>
    <x:row r="7659" spans="6:6" x14ac:dyDescent="0.25">
      <x:c r="F7659" s="11"/>
    </x:row>
    <x:row r="7660" spans="6:6" x14ac:dyDescent="0.25">
      <x:c r="F7660" s="11"/>
    </x:row>
    <x:row r="7661" spans="6:6" x14ac:dyDescent="0.25">
      <x:c r="F7661" s="11"/>
    </x:row>
    <x:row r="7662" spans="6:6" x14ac:dyDescent="0.25">
      <x:c r="F7662" s="11"/>
    </x:row>
    <x:row r="7663" spans="6:6" x14ac:dyDescent="0.25">
      <x:c r="F7663" s="11"/>
    </x:row>
    <x:row r="7664" spans="6:6" x14ac:dyDescent="0.25">
      <x:c r="F7664" s="11"/>
    </x:row>
    <x:row r="7665" spans="6:6" x14ac:dyDescent="0.25">
      <x:c r="F7665" s="11"/>
    </x:row>
    <x:row r="7666" spans="6:6" x14ac:dyDescent="0.25">
      <x:c r="F7666" s="11"/>
    </x:row>
    <x:row r="7667" spans="6:6" x14ac:dyDescent="0.25">
      <x:c r="F7667" s="11"/>
    </x:row>
    <x:row r="7668" spans="6:6" x14ac:dyDescent="0.25">
      <x:c r="F7668" s="11"/>
    </x:row>
    <x:row r="7669" spans="6:6" x14ac:dyDescent="0.25">
      <x:c r="F7669" s="11"/>
    </x:row>
    <x:row r="7670" spans="6:6" x14ac:dyDescent="0.25">
      <x:c r="F7670" s="11"/>
    </x:row>
    <x:row r="7671" spans="6:6" x14ac:dyDescent="0.25">
      <x:c r="F7671" s="11"/>
    </x:row>
    <x:row r="7672" spans="6:6" x14ac:dyDescent="0.25">
      <x:c r="F7672" s="11"/>
    </x:row>
    <x:row r="7673" spans="6:6" x14ac:dyDescent="0.25">
      <x:c r="F7673" s="11"/>
    </x:row>
    <x:row r="7674" spans="6:6" x14ac:dyDescent="0.25">
      <x:c r="F7674" s="11"/>
    </x:row>
    <x:row r="7675" spans="6:6" x14ac:dyDescent="0.25">
      <x:c r="F7675" s="11"/>
    </x:row>
    <x:row r="7676" spans="6:6" x14ac:dyDescent="0.25">
      <x:c r="F7676" s="11"/>
    </x:row>
    <x:row r="7677" spans="6:6" x14ac:dyDescent="0.25">
      <x:c r="F7677" s="11"/>
    </x:row>
    <x:row r="7678" spans="6:6" x14ac:dyDescent="0.25">
      <x:c r="F7678" s="11"/>
    </x:row>
    <x:row r="7679" spans="6:6" x14ac:dyDescent="0.25">
      <x:c r="F7679" s="11"/>
    </x:row>
    <x:row r="7680" spans="6:6" x14ac:dyDescent="0.25">
      <x:c r="F7680" s="11"/>
    </x:row>
    <x:row r="7681" spans="6:6" x14ac:dyDescent="0.25">
      <x:c r="F7681" s="11"/>
    </x:row>
    <x:row r="7682" spans="6:6" x14ac:dyDescent="0.25">
      <x:c r="F7682" s="11"/>
    </x:row>
    <x:row r="7683" spans="6:6" x14ac:dyDescent="0.25">
      <x:c r="F7683" s="11"/>
    </x:row>
    <x:row r="7684" spans="6:6" x14ac:dyDescent="0.25">
      <x:c r="F7684" s="11"/>
    </x:row>
    <x:row r="7685" spans="6:6" x14ac:dyDescent="0.25">
      <x:c r="F7685" s="11"/>
    </x:row>
    <x:row r="7686" spans="6:6" x14ac:dyDescent="0.25">
      <x:c r="F7686" s="11"/>
    </x:row>
    <x:row r="7687" spans="6:6" x14ac:dyDescent="0.25">
      <x:c r="F7687" s="11"/>
    </x:row>
    <x:row r="7688" spans="6:6" x14ac:dyDescent="0.25">
      <x:c r="F7688" s="11"/>
    </x:row>
    <x:row r="7689" spans="6:6" x14ac:dyDescent="0.25">
      <x:c r="F7689" s="11"/>
    </x:row>
    <x:row r="7690" spans="6:6" x14ac:dyDescent="0.25">
      <x:c r="F7690" s="11"/>
    </x:row>
    <x:row r="7691" spans="6:6" x14ac:dyDescent="0.25">
      <x:c r="F7691" s="11"/>
    </x:row>
    <x:row r="7692" spans="6:6" x14ac:dyDescent="0.25">
      <x:c r="F7692" s="11"/>
    </x:row>
    <x:row r="7693" spans="6:6" x14ac:dyDescent="0.25">
      <x:c r="F7693" s="11"/>
    </x:row>
    <x:row r="7694" spans="6:6" x14ac:dyDescent="0.25">
      <x:c r="F7694" s="11"/>
    </x:row>
    <x:row r="7695" spans="6:6" x14ac:dyDescent="0.25">
      <x:c r="F7695" s="11"/>
    </x:row>
    <x:row r="7696" spans="6:6" x14ac:dyDescent="0.25">
      <x:c r="F7696" s="11"/>
    </x:row>
    <x:row r="7697" spans="6:6" x14ac:dyDescent="0.25">
      <x:c r="F7697" s="11"/>
    </x:row>
    <x:row r="7698" spans="6:6" x14ac:dyDescent="0.25">
      <x:c r="F7698" s="11"/>
    </x:row>
    <x:row r="7699" spans="6:6" x14ac:dyDescent="0.25">
      <x:c r="F7699" s="11"/>
    </x:row>
    <x:row r="7700" spans="6:6" x14ac:dyDescent="0.25">
      <x:c r="F7700" s="11"/>
    </x:row>
    <x:row r="7701" spans="6:6" x14ac:dyDescent="0.25">
      <x:c r="F7701" s="11"/>
    </x:row>
    <x:row r="7702" spans="6:6" x14ac:dyDescent="0.25">
      <x:c r="F7702" s="11"/>
    </x:row>
    <x:row r="7703" spans="6:6" x14ac:dyDescent="0.25">
      <x:c r="F7703" s="11"/>
    </x:row>
    <x:row r="7704" spans="6:6" x14ac:dyDescent="0.25">
      <x:c r="F7704" s="11"/>
    </x:row>
    <x:row r="7705" spans="6:6" x14ac:dyDescent="0.25">
      <x:c r="F7705" s="11"/>
    </x:row>
    <x:row r="7706" spans="6:6" x14ac:dyDescent="0.25">
      <x:c r="F7706" s="11"/>
    </x:row>
    <x:row r="7707" spans="6:6" x14ac:dyDescent="0.25">
      <x:c r="F7707" s="11"/>
    </x:row>
    <x:row r="7708" spans="6:6" x14ac:dyDescent="0.25">
      <x:c r="F7708" s="11"/>
    </x:row>
    <x:row r="7709" spans="6:6" x14ac:dyDescent="0.25">
      <x:c r="F7709" s="11"/>
    </x:row>
    <x:row r="7710" spans="6:6" x14ac:dyDescent="0.25">
      <x:c r="F7710" s="11"/>
    </x:row>
    <x:row r="7711" spans="6:6" x14ac:dyDescent="0.25">
      <x:c r="F7711" s="11"/>
    </x:row>
    <x:row r="7712" spans="6:6" x14ac:dyDescent="0.25">
      <x:c r="F7712" s="11"/>
    </x:row>
    <x:row r="7713" spans="6:6" x14ac:dyDescent="0.25">
      <x:c r="F7713" s="11"/>
    </x:row>
    <x:row r="7714" spans="6:6" x14ac:dyDescent="0.25">
      <x:c r="F7714" s="11"/>
    </x:row>
    <x:row r="7715" spans="6:6" x14ac:dyDescent="0.25">
      <x:c r="F7715" s="11"/>
    </x:row>
    <x:row r="7716" spans="6:6" x14ac:dyDescent="0.25">
      <x:c r="F7716" s="11"/>
    </x:row>
    <x:row r="7717" spans="6:6" x14ac:dyDescent="0.25">
      <x:c r="F7717" s="11"/>
    </x:row>
    <x:row r="7718" spans="6:6" x14ac:dyDescent="0.25">
      <x:c r="F7718" s="11"/>
    </x:row>
    <x:row r="7719" spans="6:6" x14ac:dyDescent="0.25">
      <x:c r="F7719" s="11"/>
    </x:row>
    <x:row r="7720" spans="6:6" x14ac:dyDescent="0.25">
      <x:c r="F7720" s="11"/>
    </x:row>
    <x:row r="7721" spans="6:6" x14ac:dyDescent="0.25">
      <x:c r="F7721" s="11"/>
    </x:row>
    <x:row r="7722" spans="6:6" x14ac:dyDescent="0.25">
      <x:c r="F7722" s="11"/>
    </x:row>
    <x:row r="7723" spans="6:6" x14ac:dyDescent="0.25">
      <x:c r="F7723" s="11"/>
    </x:row>
    <x:row r="7724" spans="6:6" x14ac:dyDescent="0.25">
      <x:c r="F7724" s="11"/>
    </x:row>
    <x:row r="7725" spans="6:6" x14ac:dyDescent="0.25">
      <x:c r="F7725" s="11"/>
    </x:row>
    <x:row r="7726" spans="6:6" x14ac:dyDescent="0.25">
      <x:c r="F7726" s="11"/>
    </x:row>
    <x:row r="7727" spans="6:6" x14ac:dyDescent="0.25">
      <x:c r="F7727" s="11"/>
    </x:row>
    <x:row r="7728" spans="6:6" x14ac:dyDescent="0.25">
      <x:c r="F7728" s="11"/>
    </x:row>
    <x:row r="7729" spans="6:6" x14ac:dyDescent="0.25">
      <x:c r="F7729" s="11"/>
    </x:row>
    <x:row r="7730" spans="6:6" x14ac:dyDescent="0.25">
      <x:c r="F7730" s="11"/>
    </x:row>
    <x:row r="7731" spans="6:6" x14ac:dyDescent="0.25">
      <x:c r="F7731" s="11"/>
    </x:row>
    <x:row r="7732" spans="6:6" x14ac:dyDescent="0.25">
      <x:c r="F7732" s="11"/>
    </x:row>
    <x:row r="7733" spans="6:6" x14ac:dyDescent="0.25">
      <x:c r="F7733" s="11"/>
    </x:row>
    <x:row r="7734" spans="6:6" x14ac:dyDescent="0.25">
      <x:c r="F7734" s="11"/>
    </x:row>
    <x:row r="7735" spans="6:6" x14ac:dyDescent="0.25">
      <x:c r="F7735" s="11"/>
    </x:row>
    <x:row r="7736" spans="6:6" x14ac:dyDescent="0.25">
      <x:c r="F7736" s="11"/>
    </x:row>
    <x:row r="7737" spans="6:6" x14ac:dyDescent="0.25">
      <x:c r="F7737" s="11"/>
    </x:row>
    <x:row r="7738" spans="6:6" x14ac:dyDescent="0.25">
      <x:c r="F7738" s="11"/>
    </x:row>
    <x:row r="7739" spans="6:6" x14ac:dyDescent="0.25">
      <x:c r="F7739" s="11"/>
    </x:row>
    <x:row r="7740" spans="6:6" x14ac:dyDescent="0.25">
      <x:c r="F7740" s="11"/>
    </x:row>
    <x:row r="7741" spans="6:6" x14ac:dyDescent="0.25">
      <x:c r="F7741" s="11"/>
    </x:row>
    <x:row r="7742" spans="6:6" x14ac:dyDescent="0.25">
      <x:c r="F7742" s="11"/>
    </x:row>
    <x:row r="7743" spans="6:6" x14ac:dyDescent="0.25">
      <x:c r="F7743" s="11"/>
    </x:row>
    <x:row r="7744" spans="6:6" x14ac:dyDescent="0.25">
      <x:c r="F7744" s="11"/>
    </x:row>
    <x:row r="7745" spans="6:6" x14ac:dyDescent="0.25">
      <x:c r="F7745" s="11"/>
    </x:row>
    <x:row r="7746" spans="6:6" x14ac:dyDescent="0.25">
      <x:c r="F7746" s="11"/>
    </x:row>
    <x:row r="7747" spans="6:6" x14ac:dyDescent="0.25">
      <x:c r="F7747" s="11"/>
    </x:row>
    <x:row r="7748" spans="6:6" x14ac:dyDescent="0.25">
      <x:c r="F7748" s="11"/>
    </x:row>
    <x:row r="7749" spans="6:6" x14ac:dyDescent="0.25">
      <x:c r="F7749" s="11"/>
    </x:row>
    <x:row r="7750" spans="6:6" x14ac:dyDescent="0.25">
      <x:c r="F7750" s="11"/>
    </x:row>
    <x:row r="7751" spans="6:6" x14ac:dyDescent="0.25">
      <x:c r="F7751" s="11"/>
    </x:row>
    <x:row r="7752" spans="6:6" x14ac:dyDescent="0.25">
      <x:c r="F7752" s="11"/>
    </x:row>
    <x:row r="7753" spans="6:6" x14ac:dyDescent="0.25">
      <x:c r="F7753" s="11"/>
    </x:row>
    <x:row r="7754" spans="6:6" x14ac:dyDescent="0.25">
      <x:c r="F7754" s="11"/>
    </x:row>
    <x:row r="7755" spans="6:6" x14ac:dyDescent="0.25">
      <x:c r="F7755" s="11"/>
    </x:row>
    <x:row r="7756" spans="6:6" x14ac:dyDescent="0.25">
      <x:c r="F7756" s="11"/>
    </x:row>
    <x:row r="7757" spans="6:6" x14ac:dyDescent="0.25">
      <x:c r="F7757" s="11"/>
    </x:row>
    <x:row r="7758" spans="6:6" x14ac:dyDescent="0.25">
      <x:c r="F7758" s="11"/>
    </x:row>
    <x:row r="7759" spans="6:6" x14ac:dyDescent="0.25">
      <x:c r="F7759" s="11"/>
    </x:row>
    <x:row r="7760" spans="6:6" x14ac:dyDescent="0.25">
      <x:c r="F7760" s="11"/>
    </x:row>
    <x:row r="7761" spans="6:6" x14ac:dyDescent="0.25">
      <x:c r="F7761" s="11"/>
    </x:row>
    <x:row r="7762" spans="6:6" x14ac:dyDescent="0.25">
      <x:c r="F7762" s="11"/>
    </x:row>
    <x:row r="7763" spans="6:6" x14ac:dyDescent="0.25">
      <x:c r="F7763" s="11"/>
    </x:row>
    <x:row r="7764" spans="6:6" x14ac:dyDescent="0.25">
      <x:c r="F7764" s="11"/>
    </x:row>
    <x:row r="7765" spans="6:6" x14ac:dyDescent="0.25">
      <x:c r="F7765" s="11"/>
    </x:row>
    <x:row r="7766" spans="6:6" x14ac:dyDescent="0.25">
      <x:c r="F7766" s="11"/>
    </x:row>
    <x:row r="7767" spans="6:6" x14ac:dyDescent="0.25">
      <x:c r="F7767" s="11"/>
    </x:row>
    <x:row r="7768" spans="6:6" x14ac:dyDescent="0.25">
      <x:c r="F7768" s="11"/>
    </x:row>
    <x:row r="7769" spans="6:6" x14ac:dyDescent="0.25">
      <x:c r="F7769" s="11"/>
    </x:row>
    <x:row r="7770" spans="6:6" x14ac:dyDescent="0.25">
      <x:c r="F7770" s="11"/>
    </x:row>
    <x:row r="7771" spans="6:6" x14ac:dyDescent="0.25">
      <x:c r="F7771" s="11"/>
    </x:row>
    <x:row r="7772" spans="6:6" x14ac:dyDescent="0.25">
      <x:c r="F7772" s="11"/>
    </x:row>
    <x:row r="7773" spans="6:6" x14ac:dyDescent="0.25">
      <x:c r="F7773" s="11"/>
    </x:row>
    <x:row r="7774" spans="6:6" x14ac:dyDescent="0.25">
      <x:c r="F7774" s="11"/>
    </x:row>
    <x:row r="7775" spans="6:6" x14ac:dyDescent="0.25">
      <x:c r="F7775" s="11"/>
    </x:row>
    <x:row r="7776" spans="6:6" x14ac:dyDescent="0.25">
      <x:c r="F7776" s="11"/>
    </x:row>
    <x:row r="7777" spans="6:6" x14ac:dyDescent="0.25">
      <x:c r="F7777" s="11"/>
    </x:row>
    <x:row r="7778" spans="6:6" x14ac:dyDescent="0.25">
      <x:c r="F7778" s="11"/>
    </x:row>
    <x:row r="7779" spans="6:6" x14ac:dyDescent="0.25">
      <x:c r="F7779" s="11"/>
    </x:row>
    <x:row r="7780" spans="6:6" x14ac:dyDescent="0.25">
      <x:c r="F7780" s="11"/>
    </x:row>
    <x:row r="7781" spans="6:6" x14ac:dyDescent="0.25">
      <x:c r="F7781" s="11"/>
    </x:row>
    <x:row r="7782" spans="6:6" x14ac:dyDescent="0.25">
      <x:c r="F7782" s="11"/>
    </x:row>
    <x:row r="7783" spans="6:6" x14ac:dyDescent="0.25">
      <x:c r="F7783" s="11"/>
    </x:row>
    <x:row r="7784" spans="6:6" x14ac:dyDescent="0.25">
      <x:c r="F7784" s="11"/>
    </x:row>
    <x:row r="7785" spans="6:6" x14ac:dyDescent="0.25">
      <x:c r="F7785" s="11"/>
    </x:row>
    <x:row r="7786" spans="6:6" x14ac:dyDescent="0.25">
      <x:c r="F7786" s="11"/>
    </x:row>
    <x:row r="7787" spans="6:6" x14ac:dyDescent="0.25">
      <x:c r="F7787" s="11"/>
    </x:row>
    <x:row r="7788" spans="6:6" x14ac:dyDescent="0.25">
      <x:c r="F7788" s="11"/>
    </x:row>
    <x:row r="7789" spans="6:6" x14ac:dyDescent="0.25">
      <x:c r="F7789" s="11"/>
    </x:row>
    <x:row r="7790" spans="6:6" x14ac:dyDescent="0.25">
      <x:c r="F7790" s="11"/>
    </x:row>
    <x:row r="7791" spans="6:6" x14ac:dyDescent="0.25">
      <x:c r="F7791" s="11"/>
    </x:row>
    <x:row r="7792" spans="6:6" x14ac:dyDescent="0.25">
      <x:c r="F7792" s="11"/>
    </x:row>
    <x:row r="7793" spans="6:6" x14ac:dyDescent="0.25">
      <x:c r="F7793" s="11"/>
    </x:row>
    <x:row r="7794" spans="6:6" x14ac:dyDescent="0.25">
      <x:c r="F7794" s="11"/>
    </x:row>
    <x:row r="7795" spans="6:6" x14ac:dyDescent="0.25">
      <x:c r="F7795" s="11"/>
    </x:row>
    <x:row r="7796" spans="6:6" x14ac:dyDescent="0.25">
      <x:c r="F7796" s="11"/>
    </x:row>
    <x:row r="7797" spans="6:6" x14ac:dyDescent="0.25">
      <x:c r="F7797" s="11"/>
    </x:row>
    <x:row r="7798" spans="6:6" x14ac:dyDescent="0.25">
      <x:c r="F7798" s="11"/>
    </x:row>
    <x:row r="7799" spans="6:6" x14ac:dyDescent="0.25">
      <x:c r="F7799" s="11"/>
    </x:row>
    <x:row r="7800" spans="6:6" x14ac:dyDescent="0.25">
      <x:c r="F7800" s="11"/>
    </x:row>
    <x:row r="7801" spans="6:6" x14ac:dyDescent="0.25">
      <x:c r="F7801" s="11"/>
    </x:row>
    <x:row r="7802" spans="6:6" x14ac:dyDescent="0.25">
      <x:c r="F7802" s="11"/>
    </x:row>
    <x:row r="7803" spans="6:6" x14ac:dyDescent="0.25">
      <x:c r="F7803" s="11"/>
    </x:row>
    <x:row r="7804" spans="6:6" x14ac:dyDescent="0.25">
      <x:c r="F7804" s="11"/>
    </x:row>
    <x:row r="7805" spans="6:6" x14ac:dyDescent="0.25">
      <x:c r="F7805" s="11"/>
    </x:row>
    <x:row r="7806" spans="6:6" x14ac:dyDescent="0.25">
      <x:c r="F7806" s="11"/>
    </x:row>
    <x:row r="7807" spans="6:6" x14ac:dyDescent="0.25">
      <x:c r="F7807" s="11"/>
    </x:row>
    <x:row r="7808" spans="6:6" x14ac:dyDescent="0.25">
      <x:c r="F7808" s="11"/>
    </x:row>
    <x:row r="7809" spans="6:6" x14ac:dyDescent="0.25">
      <x:c r="F7809" s="11"/>
    </x:row>
    <x:row r="7810" spans="6:6" x14ac:dyDescent="0.25">
      <x:c r="F7810" s="11"/>
    </x:row>
    <x:row r="7811" spans="6:6" x14ac:dyDescent="0.25">
      <x:c r="F7811" s="11"/>
    </x:row>
    <x:row r="7812" spans="6:6" x14ac:dyDescent="0.25">
      <x:c r="F7812" s="11"/>
    </x:row>
    <x:row r="7813" spans="6:6" x14ac:dyDescent="0.25">
      <x:c r="F7813" s="11"/>
    </x:row>
    <x:row r="7814" spans="6:6" x14ac:dyDescent="0.25">
      <x:c r="F7814" s="11"/>
    </x:row>
    <x:row r="7815" spans="6:6" x14ac:dyDescent="0.25">
      <x:c r="F7815" s="11"/>
    </x:row>
    <x:row r="7816" spans="6:6" x14ac:dyDescent="0.25">
      <x:c r="F7816" s="11"/>
    </x:row>
    <x:row r="7817" spans="6:6" x14ac:dyDescent="0.25">
      <x:c r="F7817" s="11"/>
    </x:row>
    <x:row r="7818" spans="6:6" x14ac:dyDescent="0.25">
      <x:c r="F7818" s="11"/>
    </x:row>
    <x:row r="7819" spans="6:6" x14ac:dyDescent="0.25">
      <x:c r="F7819" s="11"/>
    </x:row>
    <x:row r="7820" spans="6:6" x14ac:dyDescent="0.25">
      <x:c r="F7820" s="11"/>
    </x:row>
    <x:row r="7821" spans="6:6" x14ac:dyDescent="0.25">
      <x:c r="F7821" s="11"/>
    </x:row>
    <x:row r="7822" spans="6:6" x14ac:dyDescent="0.25">
      <x:c r="F7822" s="11"/>
    </x:row>
    <x:row r="7823" spans="6:6" x14ac:dyDescent="0.25">
      <x:c r="F7823" s="11"/>
    </x:row>
    <x:row r="7824" spans="6:6" x14ac:dyDescent="0.25">
      <x:c r="F7824" s="11"/>
    </x:row>
    <x:row r="7825" spans="6:6" x14ac:dyDescent="0.25">
      <x:c r="F7825" s="11"/>
    </x:row>
    <x:row r="7826" spans="6:6" x14ac:dyDescent="0.25">
      <x:c r="F7826" s="11"/>
    </x:row>
    <x:row r="7827" spans="6:6" x14ac:dyDescent="0.25">
      <x:c r="F7827" s="11"/>
    </x:row>
    <x:row r="7828" spans="6:6" x14ac:dyDescent="0.25">
      <x:c r="F7828" s="11"/>
    </x:row>
    <x:row r="7829" spans="6:6" x14ac:dyDescent="0.25">
      <x:c r="F7829" s="11"/>
    </x:row>
    <x:row r="7830" spans="6:6" x14ac:dyDescent="0.25">
      <x:c r="F7830" s="11"/>
    </x:row>
    <x:row r="7831" spans="6:6" x14ac:dyDescent="0.25">
      <x:c r="F7831" s="11"/>
    </x:row>
    <x:row r="7832" spans="6:6" x14ac:dyDescent="0.25">
      <x:c r="F7832" s="11"/>
    </x:row>
    <x:row r="7833" spans="6:6" x14ac:dyDescent="0.25">
      <x:c r="F7833" s="11"/>
    </x:row>
    <x:row r="7834" spans="6:6" x14ac:dyDescent="0.25">
      <x:c r="F7834" s="11"/>
    </x:row>
    <x:row r="7835" spans="6:6" x14ac:dyDescent="0.25">
      <x:c r="F7835" s="11"/>
    </x:row>
    <x:row r="7836" spans="6:6" x14ac:dyDescent="0.25">
      <x:c r="F7836" s="11"/>
    </x:row>
    <x:row r="7837" spans="6:6" x14ac:dyDescent="0.25">
      <x:c r="F7837" s="11"/>
    </x:row>
    <x:row r="7838" spans="6:6" x14ac:dyDescent="0.25">
      <x:c r="F7838" s="11"/>
    </x:row>
    <x:row r="7839" spans="6:6" x14ac:dyDescent="0.25">
      <x:c r="F7839" s="11"/>
    </x:row>
    <x:row r="7840" spans="6:6" x14ac:dyDescent="0.25">
      <x:c r="F7840" s="11"/>
    </x:row>
    <x:row r="7841" spans="6:6" x14ac:dyDescent="0.25">
      <x:c r="F7841" s="11"/>
    </x:row>
    <x:row r="7842" spans="6:6" x14ac:dyDescent="0.25">
      <x:c r="F7842" s="11"/>
    </x:row>
    <x:row r="7843" spans="6:6" x14ac:dyDescent="0.25">
      <x:c r="F7843" s="11"/>
    </x:row>
    <x:row r="7844" spans="6:6" x14ac:dyDescent="0.25">
      <x:c r="F7844" s="11"/>
    </x:row>
    <x:row r="7845" spans="6:6" x14ac:dyDescent="0.25">
      <x:c r="F7845" s="11"/>
    </x:row>
    <x:row r="7846" spans="6:6" x14ac:dyDescent="0.25">
      <x:c r="F7846" s="11"/>
    </x:row>
    <x:row r="7847" spans="6:6" x14ac:dyDescent="0.25">
      <x:c r="F7847" s="11"/>
    </x:row>
    <x:row r="7848" spans="6:6" x14ac:dyDescent="0.25">
      <x:c r="F7848" s="11"/>
    </x:row>
    <x:row r="7849" spans="6:6" x14ac:dyDescent="0.25">
      <x:c r="F7849" s="11"/>
    </x:row>
    <x:row r="7850" spans="6:6" x14ac:dyDescent="0.25">
      <x:c r="F7850" s="11"/>
    </x:row>
    <x:row r="7851" spans="6:6" x14ac:dyDescent="0.25">
      <x:c r="F7851" s="11"/>
    </x:row>
    <x:row r="7852" spans="6:6" x14ac:dyDescent="0.25">
      <x:c r="F7852" s="11"/>
    </x:row>
    <x:row r="7853" spans="6:6" x14ac:dyDescent="0.25">
      <x:c r="F7853" s="11"/>
    </x:row>
    <x:row r="7854" spans="6:6" x14ac:dyDescent="0.25">
      <x:c r="F7854" s="11"/>
    </x:row>
    <x:row r="7855" spans="6:6" x14ac:dyDescent="0.25">
      <x:c r="F7855" s="11"/>
    </x:row>
    <x:row r="7856" spans="6:6" x14ac:dyDescent="0.25">
      <x:c r="F7856" s="11"/>
    </x:row>
    <x:row r="7857" spans="6:6" x14ac:dyDescent="0.25">
      <x:c r="F7857" s="11"/>
    </x:row>
    <x:row r="7858" spans="6:6" x14ac:dyDescent="0.25">
      <x:c r="F7858" s="11"/>
    </x:row>
    <x:row r="7859" spans="6:6" x14ac:dyDescent="0.25">
      <x:c r="F7859" s="11"/>
    </x:row>
    <x:row r="7860" spans="6:6" x14ac:dyDescent="0.25">
      <x:c r="F7860" s="11"/>
    </x:row>
    <x:row r="7861" spans="6:6" x14ac:dyDescent="0.25">
      <x:c r="F7861" s="11"/>
    </x:row>
    <x:row r="7862" spans="6:6" x14ac:dyDescent="0.25">
      <x:c r="F7862" s="11"/>
    </x:row>
    <x:row r="7863" spans="6:6" x14ac:dyDescent="0.25">
      <x:c r="F7863" s="11"/>
    </x:row>
    <x:row r="7864" spans="6:6" x14ac:dyDescent="0.25">
      <x:c r="F7864" s="11"/>
    </x:row>
    <x:row r="7865" spans="6:6" x14ac:dyDescent="0.25">
      <x:c r="F7865" s="11"/>
    </x:row>
    <x:row r="7866" spans="6:6" x14ac:dyDescent="0.25">
      <x:c r="F7866" s="11"/>
    </x:row>
    <x:row r="7867" spans="6:6" x14ac:dyDescent="0.25">
      <x:c r="F7867" s="11"/>
    </x:row>
    <x:row r="7868" spans="6:6" x14ac:dyDescent="0.25">
      <x:c r="F7868" s="11"/>
    </x:row>
    <x:row r="7869" spans="6:6" x14ac:dyDescent="0.25">
      <x:c r="F7869" s="11"/>
    </x:row>
    <x:row r="7870" spans="6:6" x14ac:dyDescent="0.25">
      <x:c r="F7870" s="11"/>
    </x:row>
    <x:row r="7871" spans="6:6" x14ac:dyDescent="0.25">
      <x:c r="F7871" s="11"/>
    </x:row>
    <x:row r="7872" spans="6:6" x14ac:dyDescent="0.25">
      <x:c r="F7872" s="11"/>
    </x:row>
    <x:row r="7873" spans="6:6" x14ac:dyDescent="0.25">
      <x:c r="F7873" s="11"/>
    </x:row>
    <x:row r="7874" spans="6:6" x14ac:dyDescent="0.25">
      <x:c r="F7874" s="11"/>
    </x:row>
    <x:row r="7875" spans="6:6" x14ac:dyDescent="0.25">
      <x:c r="F7875" s="11"/>
    </x:row>
    <x:row r="7876" spans="6:6" x14ac:dyDescent="0.25">
      <x:c r="F7876" s="11"/>
    </x:row>
    <x:row r="7877" spans="6:6" x14ac:dyDescent="0.25">
      <x:c r="F7877" s="11"/>
    </x:row>
    <x:row r="7878" spans="6:6" x14ac:dyDescent="0.25">
      <x:c r="F7878" s="11"/>
    </x:row>
    <x:row r="7879" spans="6:6" x14ac:dyDescent="0.25">
      <x:c r="F7879" s="11"/>
    </x:row>
    <x:row r="7880" spans="6:6" x14ac:dyDescent="0.25">
      <x:c r="F7880" s="11"/>
    </x:row>
    <x:row r="7881" spans="6:6" x14ac:dyDescent="0.25">
      <x:c r="F7881" s="11"/>
    </x:row>
    <x:row r="7882" spans="6:6" x14ac:dyDescent="0.25">
      <x:c r="F7882" s="11"/>
    </x:row>
    <x:row r="7883" spans="6:6" x14ac:dyDescent="0.25">
      <x:c r="F7883" s="11"/>
    </x:row>
    <x:row r="7884" spans="6:6" x14ac:dyDescent="0.25">
      <x:c r="F7884" s="11"/>
    </x:row>
    <x:row r="7885" spans="6:6" x14ac:dyDescent="0.25">
      <x:c r="F7885" s="11"/>
    </x:row>
    <x:row r="7886" spans="6:6" x14ac:dyDescent="0.25">
      <x:c r="F7886" s="11"/>
    </x:row>
    <x:row r="7887" spans="6:6" x14ac:dyDescent="0.25">
      <x:c r="F7887" s="11"/>
    </x:row>
    <x:row r="7888" spans="6:6" x14ac:dyDescent="0.25">
      <x:c r="F7888" s="11"/>
    </x:row>
    <x:row r="7889" spans="6:6" x14ac:dyDescent="0.25">
      <x:c r="F7889" s="11"/>
    </x:row>
    <x:row r="7890" spans="6:6" x14ac:dyDescent="0.25">
      <x:c r="F7890" s="11"/>
    </x:row>
    <x:row r="7891" spans="6:6" x14ac:dyDescent="0.25">
      <x:c r="F7891" s="11"/>
    </x:row>
    <x:row r="7892" spans="6:6" x14ac:dyDescent="0.25">
      <x:c r="F7892" s="11"/>
    </x:row>
    <x:row r="7893" spans="6:6" x14ac:dyDescent="0.25">
      <x:c r="F7893" s="11"/>
    </x:row>
    <x:row r="7894" spans="6:6" x14ac:dyDescent="0.25">
      <x:c r="F7894" s="11"/>
    </x:row>
    <x:row r="7895" spans="6:6" x14ac:dyDescent="0.25">
      <x:c r="F7895" s="11"/>
    </x:row>
    <x:row r="7896" spans="6:6" x14ac:dyDescent="0.25">
      <x:c r="F7896" s="11"/>
    </x:row>
    <x:row r="7897" spans="6:6" x14ac:dyDescent="0.25">
      <x:c r="F7897" s="11"/>
    </x:row>
    <x:row r="7898" spans="6:6" x14ac:dyDescent="0.25">
      <x:c r="F7898" s="11"/>
    </x:row>
    <x:row r="7899" spans="6:6" x14ac:dyDescent="0.25">
      <x:c r="F7899" s="11"/>
    </x:row>
    <x:row r="7900" spans="6:6" x14ac:dyDescent="0.25">
      <x:c r="F7900" s="11"/>
    </x:row>
    <x:row r="7901" spans="6:6" x14ac:dyDescent="0.25">
      <x:c r="F7901" s="11"/>
    </x:row>
    <x:row r="7902" spans="6:6" x14ac:dyDescent="0.25">
      <x:c r="F7902" s="11"/>
    </x:row>
    <x:row r="7903" spans="6:6" x14ac:dyDescent="0.25">
      <x:c r="F7903" s="11"/>
    </x:row>
    <x:row r="7904" spans="6:6" x14ac:dyDescent="0.25">
      <x:c r="F7904" s="11"/>
    </x:row>
    <x:row r="7905" spans="6:6" x14ac:dyDescent="0.25">
      <x:c r="F7905" s="11"/>
    </x:row>
    <x:row r="7906" spans="6:6" x14ac:dyDescent="0.25">
      <x:c r="F7906" s="11"/>
    </x:row>
    <x:row r="7907" spans="6:6" x14ac:dyDescent="0.25">
      <x:c r="F7907" s="11"/>
    </x:row>
    <x:row r="7908" spans="6:6" x14ac:dyDescent="0.25">
      <x:c r="F7908" s="11"/>
    </x:row>
    <x:row r="7909" spans="6:6" x14ac:dyDescent="0.25">
      <x:c r="F7909" s="11"/>
    </x:row>
    <x:row r="7910" spans="6:6" x14ac:dyDescent="0.25">
      <x:c r="F7910" s="11"/>
    </x:row>
    <x:row r="7911" spans="6:6" x14ac:dyDescent="0.25">
      <x:c r="F7911" s="11"/>
    </x:row>
    <x:row r="7912" spans="6:6" x14ac:dyDescent="0.25">
      <x:c r="F7912" s="11"/>
    </x:row>
    <x:row r="7913" spans="6:6" x14ac:dyDescent="0.25">
      <x:c r="F7913" s="11"/>
    </x:row>
    <x:row r="7914" spans="6:6" x14ac:dyDescent="0.25">
      <x:c r="F7914" s="11"/>
    </x:row>
    <x:row r="7915" spans="6:6" x14ac:dyDescent="0.25">
      <x:c r="F7915" s="11"/>
    </x:row>
    <x:row r="7916" spans="6:6" x14ac:dyDescent="0.25">
      <x:c r="F7916" s="11"/>
    </x:row>
    <x:row r="7917" spans="6:6" x14ac:dyDescent="0.25">
      <x:c r="F7917" s="11"/>
    </x:row>
    <x:row r="7918" spans="6:6" x14ac:dyDescent="0.25">
      <x:c r="F7918" s="11"/>
    </x:row>
    <x:row r="7919" spans="6:6" x14ac:dyDescent="0.25">
      <x:c r="F7919" s="11"/>
    </x:row>
    <x:row r="7920" spans="6:6" x14ac:dyDescent="0.25">
      <x:c r="F7920" s="11"/>
    </x:row>
    <x:row r="7921" spans="6:6" x14ac:dyDescent="0.25">
      <x:c r="F7921" s="11"/>
    </x:row>
    <x:row r="7922" spans="6:6" x14ac:dyDescent="0.25">
      <x:c r="F7922" s="11"/>
    </x:row>
    <x:row r="7923" spans="6:6" x14ac:dyDescent="0.25">
      <x:c r="F7923" s="11"/>
    </x:row>
    <x:row r="7924" spans="6:6" x14ac:dyDescent="0.25">
      <x:c r="F7924" s="11"/>
    </x:row>
    <x:row r="7925" spans="6:6" x14ac:dyDescent="0.25">
      <x:c r="F7925" s="11"/>
    </x:row>
    <x:row r="7926" spans="6:6" x14ac:dyDescent="0.25">
      <x:c r="F7926" s="11"/>
    </x:row>
    <x:row r="7927" spans="6:6" x14ac:dyDescent="0.25">
      <x:c r="F7927" s="11"/>
    </x:row>
    <x:row r="7928" spans="6:6" x14ac:dyDescent="0.25">
      <x:c r="F7928" s="11"/>
    </x:row>
    <x:row r="7929" spans="6:6" x14ac:dyDescent="0.25">
      <x:c r="F7929" s="11"/>
    </x:row>
    <x:row r="7930" spans="6:6" x14ac:dyDescent="0.25">
      <x:c r="F7930" s="11"/>
    </x:row>
    <x:row r="7931" spans="6:6" x14ac:dyDescent="0.25">
      <x:c r="F7931" s="11"/>
    </x:row>
    <x:row r="7932" spans="6:6" x14ac:dyDescent="0.25">
      <x:c r="F7932" s="11"/>
    </x:row>
    <x:row r="7933" spans="6:6" x14ac:dyDescent="0.25">
      <x:c r="F7933" s="11"/>
    </x:row>
    <x:row r="7934" spans="6:6" x14ac:dyDescent="0.25">
      <x:c r="F7934" s="11"/>
    </x:row>
    <x:row r="7935" spans="6:6" x14ac:dyDescent="0.25">
      <x:c r="F7935" s="11"/>
    </x:row>
    <x:row r="7936" spans="6:6" x14ac:dyDescent="0.25">
      <x:c r="F7936" s="11"/>
    </x:row>
    <x:row r="7937" spans="6:6" x14ac:dyDescent="0.25">
      <x:c r="F7937" s="11"/>
    </x:row>
    <x:row r="7938" spans="6:6" x14ac:dyDescent="0.25">
      <x:c r="F7938" s="11"/>
    </x:row>
    <x:row r="7939" spans="6:6" x14ac:dyDescent="0.25">
      <x:c r="F7939" s="11"/>
    </x:row>
    <x:row r="7940" spans="6:6" x14ac:dyDescent="0.25">
      <x:c r="F7940" s="11"/>
    </x:row>
    <x:row r="7941" spans="6:6" x14ac:dyDescent="0.25">
      <x:c r="F7941" s="11"/>
    </x:row>
    <x:row r="7942" spans="6:6" x14ac:dyDescent="0.25">
      <x:c r="F7942" s="11"/>
    </x:row>
    <x:row r="7943" spans="6:6" x14ac:dyDescent="0.25">
      <x:c r="F7943" s="11"/>
    </x:row>
    <x:row r="7944" spans="6:6" x14ac:dyDescent="0.25">
      <x:c r="F7944" s="11"/>
    </x:row>
    <x:row r="7945" spans="6:6" x14ac:dyDescent="0.25">
      <x:c r="F7945" s="11"/>
    </x:row>
    <x:row r="7946" spans="6:6" x14ac:dyDescent="0.25">
      <x:c r="F7946" s="11"/>
    </x:row>
    <x:row r="7947" spans="6:6" x14ac:dyDescent="0.25">
      <x:c r="F7947" s="11"/>
    </x:row>
    <x:row r="7948" spans="6:6" x14ac:dyDescent="0.25">
      <x:c r="F7948" s="11"/>
    </x:row>
    <x:row r="7949" spans="6:6" x14ac:dyDescent="0.25">
      <x:c r="F7949" s="11"/>
    </x:row>
    <x:row r="7950" spans="6:6" x14ac:dyDescent="0.25">
      <x:c r="F7950" s="11"/>
    </x:row>
    <x:row r="7951" spans="6:6" x14ac:dyDescent="0.25">
      <x:c r="F7951" s="11"/>
    </x:row>
    <x:row r="7952" spans="6:6" x14ac:dyDescent="0.25">
      <x:c r="F7952" s="11"/>
    </x:row>
    <x:row r="7953" spans="6:6" x14ac:dyDescent="0.25">
      <x:c r="F7953" s="11"/>
    </x:row>
    <x:row r="7954" spans="6:6" x14ac:dyDescent="0.25">
      <x:c r="F7954" s="11"/>
    </x:row>
    <x:row r="7955" spans="6:6" x14ac:dyDescent="0.25">
      <x:c r="F7955" s="11"/>
    </x:row>
    <x:row r="7956" spans="6:6" x14ac:dyDescent="0.25">
      <x:c r="F7956" s="11"/>
    </x:row>
    <x:row r="7957" spans="6:6" x14ac:dyDescent="0.25">
      <x:c r="F7957" s="11"/>
    </x:row>
    <x:row r="7958" spans="6:6" x14ac:dyDescent="0.25">
      <x:c r="F7958" s="11"/>
    </x:row>
    <x:row r="7959" spans="6:6" x14ac:dyDescent="0.25">
      <x:c r="F7959" s="11"/>
    </x:row>
    <x:row r="7960" spans="6:6" x14ac:dyDescent="0.25">
      <x:c r="F7960" s="11"/>
    </x:row>
    <x:row r="7961" spans="6:6" x14ac:dyDescent="0.25">
      <x:c r="F7961" s="11"/>
    </x:row>
    <x:row r="7962" spans="6:6" x14ac:dyDescent="0.25">
      <x:c r="F7962" s="11"/>
    </x:row>
    <x:row r="7963" spans="6:6" x14ac:dyDescent="0.25">
      <x:c r="F7963" s="11"/>
    </x:row>
    <x:row r="7964" spans="6:6" x14ac:dyDescent="0.25">
      <x:c r="F7964" s="11"/>
    </x:row>
    <x:row r="7965" spans="6:6" x14ac:dyDescent="0.25">
      <x:c r="F7965" s="11"/>
    </x:row>
    <x:row r="7966" spans="6:6" x14ac:dyDescent="0.25">
      <x:c r="F7966" s="11"/>
    </x:row>
    <x:row r="7967" spans="6:6" x14ac:dyDescent="0.25">
      <x:c r="F7967" s="11"/>
    </x:row>
    <x:row r="7968" spans="6:6" x14ac:dyDescent="0.25">
      <x:c r="F7968" s="11"/>
    </x:row>
    <x:row r="7969" spans="6:6" x14ac:dyDescent="0.25">
      <x:c r="F7969" s="11"/>
    </x:row>
    <x:row r="7970" spans="6:6" x14ac:dyDescent="0.25">
      <x:c r="F7970" s="11"/>
    </x:row>
    <x:row r="7971" spans="6:6" x14ac:dyDescent="0.25">
      <x:c r="F7971" s="11"/>
    </x:row>
    <x:row r="7972" spans="6:6" x14ac:dyDescent="0.25">
      <x:c r="F7972" s="11"/>
    </x:row>
    <x:row r="7973" spans="6:6" x14ac:dyDescent="0.25">
      <x:c r="F7973" s="11"/>
    </x:row>
    <x:row r="7974" spans="6:6" x14ac:dyDescent="0.25">
      <x:c r="F7974" s="11"/>
    </x:row>
    <x:row r="7975" spans="6:6" x14ac:dyDescent="0.25">
      <x:c r="F7975" s="11"/>
    </x:row>
    <x:row r="7976" spans="6:6" x14ac:dyDescent="0.25">
      <x:c r="F7976" s="11"/>
    </x:row>
    <x:row r="7977" spans="6:6" x14ac:dyDescent="0.25">
      <x:c r="F7977" s="11"/>
    </x:row>
    <x:row r="7978" spans="6:6" x14ac:dyDescent="0.25">
      <x:c r="F7978" s="11"/>
    </x:row>
    <x:row r="7979" spans="6:6" x14ac:dyDescent="0.25">
      <x:c r="F7979" s="11"/>
    </x:row>
    <x:row r="7980" spans="6:6" x14ac:dyDescent="0.25">
      <x:c r="F7980" s="11"/>
    </x:row>
    <x:row r="7981" spans="6:6" x14ac:dyDescent="0.25">
      <x:c r="F7981" s="11"/>
    </x:row>
    <x:row r="7982" spans="6:6" x14ac:dyDescent="0.25">
      <x:c r="F7982" s="11"/>
    </x:row>
    <x:row r="7983" spans="6:6" x14ac:dyDescent="0.25">
      <x:c r="F7983" s="11"/>
    </x:row>
    <x:row r="7984" spans="6:6" x14ac:dyDescent="0.25">
      <x:c r="F7984" s="11"/>
    </x:row>
    <x:row r="7985" spans="6:6" x14ac:dyDescent="0.25">
      <x:c r="F7985" s="11"/>
    </x:row>
    <x:row r="7986" spans="6:6" x14ac:dyDescent="0.25">
      <x:c r="F7986" s="11"/>
    </x:row>
    <x:row r="7987" spans="6:6" x14ac:dyDescent="0.25">
      <x:c r="F7987" s="11"/>
    </x:row>
    <x:row r="7988" spans="6:6" x14ac:dyDescent="0.25">
      <x:c r="F7988" s="11"/>
    </x:row>
    <x:row r="7989" spans="6:6" x14ac:dyDescent="0.25">
      <x:c r="F7989" s="11"/>
    </x:row>
    <x:row r="7990" spans="6:6" x14ac:dyDescent="0.25">
      <x:c r="F7990" s="11"/>
    </x:row>
    <x:row r="7991" spans="6:6" x14ac:dyDescent="0.25">
      <x:c r="F7991" s="11"/>
    </x:row>
    <x:row r="7992" spans="6:6" x14ac:dyDescent="0.25">
      <x:c r="F7992" s="11"/>
    </x:row>
    <x:row r="7993" spans="6:6" x14ac:dyDescent="0.25">
      <x:c r="F7993" s="11"/>
    </x:row>
    <x:row r="7994" spans="6:6" x14ac:dyDescent="0.25">
      <x:c r="F7994" s="11"/>
    </x:row>
    <x:row r="7995" spans="6:6" x14ac:dyDescent="0.25">
      <x:c r="F7995" s="11"/>
    </x:row>
    <x:row r="7996" spans="6:6" x14ac:dyDescent="0.25">
      <x:c r="F7996" s="11"/>
    </x:row>
    <x:row r="7997" spans="6:6" x14ac:dyDescent="0.25">
      <x:c r="F7997" s="11"/>
    </x:row>
    <x:row r="7998" spans="6:6" x14ac:dyDescent="0.25">
      <x:c r="F7998" s="11"/>
    </x:row>
    <x:row r="7999" spans="6:6" x14ac:dyDescent="0.25">
      <x:c r="F7999" s="11"/>
    </x:row>
    <x:row r="8000" spans="6:6" x14ac:dyDescent="0.25">
      <x:c r="F8000" s="11"/>
    </x:row>
    <x:row r="8001" spans="6:6" x14ac:dyDescent="0.25">
      <x:c r="F8001" s="11"/>
    </x:row>
    <x:row r="8002" spans="6:6" x14ac:dyDescent="0.25">
      <x:c r="F8002" s="11"/>
    </x:row>
    <x:row r="8003" spans="6:6" x14ac:dyDescent="0.25">
      <x:c r="F8003" s="11"/>
    </x:row>
    <x:row r="8004" spans="6:6" x14ac:dyDescent="0.25">
      <x:c r="F8004" s="11"/>
    </x:row>
    <x:row r="8005" spans="6:6" x14ac:dyDescent="0.25">
      <x:c r="F8005" s="11"/>
    </x:row>
    <x:row r="8006" spans="6:6" x14ac:dyDescent="0.25">
      <x:c r="F8006" s="11"/>
    </x:row>
    <x:row r="8007" spans="6:6" x14ac:dyDescent="0.25">
      <x:c r="F8007" s="11"/>
    </x:row>
    <x:row r="8008" spans="6:6" x14ac:dyDescent="0.25">
      <x:c r="F8008" s="11"/>
    </x:row>
    <x:row r="8009" spans="6:6" x14ac:dyDescent="0.25">
      <x:c r="F8009" s="11"/>
    </x:row>
    <x:row r="8010" spans="6:6" x14ac:dyDescent="0.25">
      <x:c r="F8010" s="11"/>
    </x:row>
    <x:row r="8011" spans="6:6" x14ac:dyDescent="0.25">
      <x:c r="F8011" s="11"/>
    </x:row>
    <x:row r="8012" spans="6:6" x14ac:dyDescent="0.25">
      <x:c r="F8012" s="11"/>
    </x:row>
    <x:row r="8013" spans="6:6" x14ac:dyDescent="0.25">
      <x:c r="F8013" s="11"/>
    </x:row>
    <x:row r="8014" spans="6:6" x14ac:dyDescent="0.25">
      <x:c r="F8014" s="11"/>
    </x:row>
    <x:row r="8015" spans="6:6" x14ac:dyDescent="0.25">
      <x:c r="F8015" s="11"/>
    </x:row>
    <x:row r="8016" spans="6:6" x14ac:dyDescent="0.25">
      <x:c r="F8016" s="11"/>
    </x:row>
    <x:row r="8017" spans="6:6" x14ac:dyDescent="0.25">
      <x:c r="F8017" s="11"/>
    </x:row>
    <x:row r="8018" spans="6:6" x14ac:dyDescent="0.25">
      <x:c r="F8018" s="11"/>
    </x:row>
    <x:row r="8019" spans="6:6" x14ac:dyDescent="0.25">
      <x:c r="F8019" s="11"/>
    </x:row>
    <x:row r="8020" spans="6:6" x14ac:dyDescent="0.25">
      <x:c r="F8020" s="11"/>
    </x:row>
    <x:row r="8021" spans="6:6" x14ac:dyDescent="0.25">
      <x:c r="F8021" s="11"/>
    </x:row>
    <x:row r="8022" spans="6:6" x14ac:dyDescent="0.25">
      <x:c r="F8022" s="11"/>
    </x:row>
    <x:row r="8023" spans="6:6" x14ac:dyDescent="0.25">
      <x:c r="F8023" s="11"/>
    </x:row>
    <x:row r="8024" spans="6:6" x14ac:dyDescent="0.25">
      <x:c r="F8024" s="11"/>
    </x:row>
    <x:row r="8025" spans="6:6" x14ac:dyDescent="0.25">
      <x:c r="F8025" s="11"/>
    </x:row>
    <x:row r="8026" spans="6:6" x14ac:dyDescent="0.25">
      <x:c r="F8026" s="11"/>
    </x:row>
    <x:row r="8027" spans="6:6" x14ac:dyDescent="0.25">
      <x:c r="F8027" s="11"/>
    </x:row>
    <x:row r="8028" spans="6:6" x14ac:dyDescent="0.25">
      <x:c r="F8028" s="11"/>
    </x:row>
    <x:row r="8029" spans="6:6" x14ac:dyDescent="0.25">
      <x:c r="F8029" s="11"/>
    </x:row>
    <x:row r="8030" spans="6:6" x14ac:dyDescent="0.25">
      <x:c r="F8030" s="11"/>
    </x:row>
    <x:row r="8031" spans="6:6" x14ac:dyDescent="0.25">
      <x:c r="F8031" s="11"/>
    </x:row>
    <x:row r="8032" spans="6:6" x14ac:dyDescent="0.25">
      <x:c r="F8032" s="11"/>
    </x:row>
    <x:row r="8033" spans="6:6" x14ac:dyDescent="0.25">
      <x:c r="F8033" s="11"/>
    </x:row>
    <x:row r="8034" spans="6:6" x14ac:dyDescent="0.25">
      <x:c r="F8034" s="11"/>
    </x:row>
    <x:row r="8035" spans="6:6" x14ac:dyDescent="0.25">
      <x:c r="F8035" s="11"/>
    </x:row>
    <x:row r="8036" spans="6:6" x14ac:dyDescent="0.25">
      <x:c r="F8036" s="11"/>
    </x:row>
    <x:row r="8037" spans="6:6" x14ac:dyDescent="0.25">
      <x:c r="F8037" s="11"/>
    </x:row>
    <x:row r="8038" spans="6:6" x14ac:dyDescent="0.25">
      <x:c r="F8038" s="11"/>
    </x:row>
    <x:row r="8039" spans="6:6" x14ac:dyDescent="0.25">
      <x:c r="F8039" s="11"/>
    </x:row>
    <x:row r="8040" spans="6:6" x14ac:dyDescent="0.25">
      <x:c r="F8040" s="11"/>
    </x:row>
    <x:row r="8041" spans="6:6" x14ac:dyDescent="0.25">
      <x:c r="F8041" s="11"/>
    </x:row>
    <x:row r="8042" spans="6:6" x14ac:dyDescent="0.25">
      <x:c r="F8042" s="11"/>
    </x:row>
    <x:row r="8043" spans="6:6" x14ac:dyDescent="0.25">
      <x:c r="F8043" s="11"/>
    </x:row>
    <x:row r="8044" spans="6:6" x14ac:dyDescent="0.25">
      <x:c r="F8044" s="11"/>
    </x:row>
    <x:row r="8045" spans="6:6" x14ac:dyDescent="0.25">
      <x:c r="F8045" s="11"/>
    </x:row>
    <x:row r="8046" spans="6:6" x14ac:dyDescent="0.25">
      <x:c r="F8046" s="11"/>
    </x:row>
    <x:row r="8047" spans="6:6" x14ac:dyDescent="0.25">
      <x:c r="F8047" s="11"/>
    </x:row>
    <x:row r="8048" spans="6:6" x14ac:dyDescent="0.25">
      <x:c r="F8048" s="11"/>
    </x:row>
    <x:row r="8049" spans="6:6" x14ac:dyDescent="0.25">
      <x:c r="F8049" s="11"/>
    </x:row>
    <x:row r="8050" spans="6:6" x14ac:dyDescent="0.25">
      <x:c r="F8050" s="11"/>
    </x:row>
    <x:row r="8051" spans="6:6" x14ac:dyDescent="0.25">
      <x:c r="F8051" s="11"/>
    </x:row>
    <x:row r="8052" spans="6:6" x14ac:dyDescent="0.25">
      <x:c r="F8052" s="11"/>
    </x:row>
    <x:row r="8053" spans="6:6" x14ac:dyDescent="0.25">
      <x:c r="F8053" s="11"/>
    </x:row>
    <x:row r="8054" spans="6:6" x14ac:dyDescent="0.25">
      <x:c r="F8054" s="11"/>
    </x:row>
    <x:row r="8055" spans="6:6" x14ac:dyDescent="0.25">
      <x:c r="F8055" s="11"/>
    </x:row>
    <x:row r="8056" spans="6:6" x14ac:dyDescent="0.25">
      <x:c r="F8056" s="11"/>
    </x:row>
    <x:row r="8057" spans="6:6" x14ac:dyDescent="0.25">
      <x:c r="F8057" s="11"/>
    </x:row>
    <x:row r="8058" spans="6:6" x14ac:dyDescent="0.25">
      <x:c r="F8058" s="11"/>
    </x:row>
    <x:row r="8059" spans="6:6" x14ac:dyDescent="0.25">
      <x:c r="F8059" s="11"/>
    </x:row>
    <x:row r="8060" spans="6:6" x14ac:dyDescent="0.25">
      <x:c r="F8060" s="11"/>
    </x:row>
    <x:row r="8061" spans="6:6" x14ac:dyDescent="0.25">
      <x:c r="F8061" s="11"/>
    </x:row>
    <x:row r="8062" spans="6:6" x14ac:dyDescent="0.25">
      <x:c r="F8062" s="11"/>
    </x:row>
    <x:row r="8063" spans="6:6" x14ac:dyDescent="0.25">
      <x:c r="F8063" s="11"/>
    </x:row>
    <x:row r="8064" spans="6:6" x14ac:dyDescent="0.25">
      <x:c r="F8064" s="11"/>
    </x:row>
    <x:row r="8065" spans="6:6" x14ac:dyDescent="0.25">
      <x:c r="F8065" s="11"/>
    </x:row>
    <x:row r="8066" spans="6:6" x14ac:dyDescent="0.25">
      <x:c r="F8066" s="11"/>
    </x:row>
    <x:row r="8067" spans="6:6" x14ac:dyDescent="0.25">
      <x:c r="F8067" s="11"/>
    </x:row>
    <x:row r="8068" spans="6:6" x14ac:dyDescent="0.25">
      <x:c r="F8068" s="11"/>
    </x:row>
    <x:row r="8069" spans="6:6" x14ac:dyDescent="0.25">
      <x:c r="F8069" s="11"/>
    </x:row>
    <x:row r="8070" spans="6:6" x14ac:dyDescent="0.25">
      <x:c r="F8070" s="11"/>
    </x:row>
    <x:row r="8071" spans="6:6" x14ac:dyDescent="0.25">
      <x:c r="F8071" s="11"/>
    </x:row>
    <x:row r="8072" spans="6:6" x14ac:dyDescent="0.25">
      <x:c r="F8072" s="11"/>
    </x:row>
    <x:row r="8073" spans="6:6" x14ac:dyDescent="0.25">
      <x:c r="F8073" s="11"/>
    </x:row>
    <x:row r="8074" spans="6:6" x14ac:dyDescent="0.25">
      <x:c r="F8074" s="11"/>
    </x:row>
    <x:row r="8075" spans="6:6" x14ac:dyDescent="0.25">
      <x:c r="F8075" s="11"/>
    </x:row>
    <x:row r="8076" spans="6:6" x14ac:dyDescent="0.25">
      <x:c r="F8076" s="11"/>
    </x:row>
    <x:row r="8077" spans="6:6" x14ac:dyDescent="0.25">
      <x:c r="F8077" s="11"/>
    </x:row>
    <x:row r="8078" spans="6:6" x14ac:dyDescent="0.25">
      <x:c r="F8078" s="11"/>
    </x:row>
    <x:row r="8079" spans="6:6" x14ac:dyDescent="0.25">
      <x:c r="F8079" s="11"/>
    </x:row>
    <x:row r="8080" spans="6:6" x14ac:dyDescent="0.25">
      <x:c r="F8080" s="11"/>
    </x:row>
    <x:row r="8081" spans="6:6" x14ac:dyDescent="0.25">
      <x:c r="F8081" s="11"/>
    </x:row>
    <x:row r="8082" spans="6:6" x14ac:dyDescent="0.25">
      <x:c r="F8082" s="11"/>
    </x:row>
    <x:row r="8083" spans="6:6" x14ac:dyDescent="0.25">
      <x:c r="F8083" s="11"/>
    </x:row>
    <x:row r="8084" spans="6:6" x14ac:dyDescent="0.25">
      <x:c r="F8084" s="11"/>
    </x:row>
    <x:row r="8085" spans="6:6" x14ac:dyDescent="0.25">
      <x:c r="F8085" s="11"/>
    </x:row>
    <x:row r="8086" spans="6:6" x14ac:dyDescent="0.25">
      <x:c r="F8086" s="11"/>
    </x:row>
    <x:row r="8087" spans="6:6" x14ac:dyDescent="0.25">
      <x:c r="F8087" s="11"/>
    </x:row>
    <x:row r="8088" spans="6:6" x14ac:dyDescent="0.25">
      <x:c r="F8088" s="11"/>
    </x:row>
    <x:row r="8089" spans="6:6" x14ac:dyDescent="0.25">
      <x:c r="F8089" s="11"/>
    </x:row>
    <x:row r="8090" spans="6:6" x14ac:dyDescent="0.25">
      <x:c r="F8090" s="11"/>
    </x:row>
    <x:row r="8091" spans="6:6" x14ac:dyDescent="0.25">
      <x:c r="F8091" s="11"/>
    </x:row>
    <x:row r="8092" spans="6:6" x14ac:dyDescent="0.25">
      <x:c r="F8092" s="11"/>
    </x:row>
    <x:row r="8093" spans="6:6" x14ac:dyDescent="0.25">
      <x:c r="F8093" s="11"/>
    </x:row>
    <x:row r="8094" spans="6:6" x14ac:dyDescent="0.25">
      <x:c r="F8094" s="11"/>
    </x:row>
    <x:row r="8095" spans="6:6" x14ac:dyDescent="0.25">
      <x:c r="F8095" s="11"/>
    </x:row>
    <x:row r="8096" spans="6:6" x14ac:dyDescent="0.25">
      <x:c r="F8096" s="11"/>
    </x:row>
    <x:row r="8097" spans="6:6" x14ac:dyDescent="0.25">
      <x:c r="F8097" s="11"/>
    </x:row>
    <x:row r="8098" spans="6:6" x14ac:dyDescent="0.25">
      <x:c r="F8098" s="11"/>
    </x:row>
    <x:row r="8099" spans="6:6" x14ac:dyDescent="0.25">
      <x:c r="F8099" s="11"/>
    </x:row>
    <x:row r="8100" spans="6:6" x14ac:dyDescent="0.25">
      <x:c r="F8100" s="11"/>
    </x:row>
    <x:row r="8101" spans="6:6" x14ac:dyDescent="0.25">
      <x:c r="F8101" s="11"/>
    </x:row>
    <x:row r="8102" spans="6:6" x14ac:dyDescent="0.25">
      <x:c r="F8102" s="11"/>
    </x:row>
    <x:row r="8103" spans="6:6" x14ac:dyDescent="0.25">
      <x:c r="F8103" s="11"/>
    </x:row>
    <x:row r="8104" spans="6:6" x14ac:dyDescent="0.25">
      <x:c r="F8104" s="11"/>
    </x:row>
    <x:row r="8105" spans="6:6" x14ac:dyDescent="0.25">
      <x:c r="F8105" s="11"/>
    </x:row>
    <x:row r="8106" spans="6:6" x14ac:dyDescent="0.25">
      <x:c r="F8106" s="11"/>
    </x:row>
    <x:row r="8107" spans="6:6" x14ac:dyDescent="0.25">
      <x:c r="F8107" s="11"/>
    </x:row>
    <x:row r="8108" spans="6:6" x14ac:dyDescent="0.25">
      <x:c r="F8108" s="11"/>
    </x:row>
    <x:row r="8109" spans="6:6" x14ac:dyDescent="0.25">
      <x:c r="F8109" s="11"/>
    </x:row>
    <x:row r="8110" spans="6:6" x14ac:dyDescent="0.25">
      <x:c r="F8110" s="11"/>
    </x:row>
    <x:row r="8111" spans="6:6" x14ac:dyDescent="0.25">
      <x:c r="F8111" s="11"/>
    </x:row>
    <x:row r="8112" spans="6:6" x14ac:dyDescent="0.25">
      <x:c r="F8112" s="11"/>
    </x:row>
    <x:row r="8113" spans="6:6" x14ac:dyDescent="0.25">
      <x:c r="F8113" s="11"/>
    </x:row>
    <x:row r="8114" spans="6:6" x14ac:dyDescent="0.25">
      <x:c r="F8114" s="11"/>
    </x:row>
    <x:row r="8115" spans="6:6" x14ac:dyDescent="0.25">
      <x:c r="F8115" s="11"/>
    </x:row>
    <x:row r="8116" spans="6:6" x14ac:dyDescent="0.25">
      <x:c r="F8116" s="11"/>
    </x:row>
    <x:row r="8117" spans="6:6" x14ac:dyDescent="0.25">
      <x:c r="F8117" s="11"/>
    </x:row>
    <x:row r="8118" spans="6:6" x14ac:dyDescent="0.25">
      <x:c r="F8118" s="11"/>
    </x:row>
    <x:row r="8119" spans="6:6" x14ac:dyDescent="0.25">
      <x:c r="F8119" s="11"/>
    </x:row>
    <x:row r="8120" spans="6:6" x14ac:dyDescent="0.25">
      <x:c r="F8120" s="11"/>
    </x:row>
    <x:row r="8121" spans="6:6" x14ac:dyDescent="0.25">
      <x:c r="F8121" s="11"/>
    </x:row>
    <x:row r="8122" spans="6:6" x14ac:dyDescent="0.25">
      <x:c r="F8122" s="11"/>
    </x:row>
    <x:row r="8123" spans="6:6" x14ac:dyDescent="0.25">
      <x:c r="F8123" s="11"/>
    </x:row>
    <x:row r="8124" spans="6:6" x14ac:dyDescent="0.25">
      <x:c r="F8124" s="11"/>
    </x:row>
    <x:row r="8125" spans="6:6" x14ac:dyDescent="0.25">
      <x:c r="F8125" s="11"/>
    </x:row>
    <x:row r="8126" spans="6:6" x14ac:dyDescent="0.25">
      <x:c r="F8126" s="11"/>
    </x:row>
    <x:row r="8127" spans="6:6" x14ac:dyDescent="0.25">
      <x:c r="F8127" s="11"/>
    </x:row>
    <x:row r="8128" spans="6:6" x14ac:dyDescent="0.25">
      <x:c r="F8128" s="11"/>
    </x:row>
    <x:row r="8129" spans="6:6" x14ac:dyDescent="0.25">
      <x:c r="F8129" s="11"/>
    </x:row>
    <x:row r="8130" spans="6:6" x14ac:dyDescent="0.25">
      <x:c r="F8130" s="11"/>
    </x:row>
    <x:row r="8131" spans="6:6" x14ac:dyDescent="0.25">
      <x:c r="F8131" s="11"/>
    </x:row>
    <x:row r="8132" spans="6:6" x14ac:dyDescent="0.25">
      <x:c r="F8132" s="11"/>
    </x:row>
    <x:row r="8133" spans="6:6" x14ac:dyDescent="0.25">
      <x:c r="F8133" s="11"/>
    </x:row>
    <x:row r="8134" spans="6:6" x14ac:dyDescent="0.25">
      <x:c r="F8134" s="11"/>
    </x:row>
    <x:row r="8135" spans="6:6" x14ac:dyDescent="0.25">
      <x:c r="F8135" s="11"/>
    </x:row>
    <x:row r="8136" spans="6:6" x14ac:dyDescent="0.25">
      <x:c r="F8136" s="11"/>
    </x:row>
    <x:row r="8137" spans="6:6" x14ac:dyDescent="0.25">
      <x:c r="F8137" s="11"/>
    </x:row>
    <x:row r="8138" spans="6:6" x14ac:dyDescent="0.25">
      <x:c r="F8138" s="11"/>
    </x:row>
    <x:row r="8139" spans="6:6" x14ac:dyDescent="0.25">
      <x:c r="F8139" s="11"/>
    </x:row>
    <x:row r="8140" spans="6:6" x14ac:dyDescent="0.25">
      <x:c r="F8140" s="11"/>
    </x:row>
    <x:row r="8141" spans="6:6" x14ac:dyDescent="0.25">
      <x:c r="F8141" s="11"/>
    </x:row>
    <x:row r="8142" spans="6:6" x14ac:dyDescent="0.25">
      <x:c r="F8142" s="11"/>
    </x:row>
    <x:row r="8143" spans="6:6" x14ac:dyDescent="0.25">
      <x:c r="F8143" s="11"/>
    </x:row>
    <x:row r="8144" spans="6:6" x14ac:dyDescent="0.25">
      <x:c r="F8144" s="11"/>
    </x:row>
    <x:row r="8145" spans="6:6" x14ac:dyDescent="0.25">
      <x:c r="F8145" s="11"/>
    </x:row>
    <x:row r="8146" spans="6:6" x14ac:dyDescent="0.25">
      <x:c r="F8146" s="11"/>
    </x:row>
    <x:row r="8147" spans="6:6" x14ac:dyDescent="0.25">
      <x:c r="F8147" s="11"/>
    </x:row>
    <x:row r="8148" spans="6:6" x14ac:dyDescent="0.25">
      <x:c r="F8148" s="11"/>
    </x:row>
    <x:row r="8149" spans="6:6" x14ac:dyDescent="0.25">
      <x:c r="F8149" s="11"/>
    </x:row>
    <x:row r="8150" spans="6:6" x14ac:dyDescent="0.25">
      <x:c r="F8150" s="11"/>
    </x:row>
    <x:row r="8151" spans="6:6" x14ac:dyDescent="0.25">
      <x:c r="F8151" s="11"/>
    </x:row>
    <x:row r="8152" spans="6:6" x14ac:dyDescent="0.25">
      <x:c r="F8152" s="11"/>
    </x:row>
    <x:row r="8153" spans="6:6" x14ac:dyDescent="0.25">
      <x:c r="F8153" s="11"/>
    </x:row>
    <x:row r="8154" spans="6:6" x14ac:dyDescent="0.25">
      <x:c r="F8154" s="11"/>
    </x:row>
    <x:row r="8155" spans="6:6" x14ac:dyDescent="0.25">
      <x:c r="F8155" s="11"/>
    </x:row>
    <x:row r="8156" spans="6:6" x14ac:dyDescent="0.25">
      <x:c r="F8156" s="11"/>
    </x:row>
    <x:row r="8157" spans="6:6" x14ac:dyDescent="0.25">
      <x:c r="F8157" s="11"/>
    </x:row>
    <x:row r="8158" spans="6:6" x14ac:dyDescent="0.25">
      <x:c r="F8158" s="11"/>
    </x:row>
    <x:row r="8159" spans="6:6" x14ac:dyDescent="0.25">
      <x:c r="F8159" s="11"/>
    </x:row>
    <x:row r="8160" spans="6:6" x14ac:dyDescent="0.25">
      <x:c r="F8160" s="11"/>
    </x:row>
    <x:row r="8161" spans="6:6" x14ac:dyDescent="0.25">
      <x:c r="F8161" s="11"/>
    </x:row>
    <x:row r="8162" spans="6:6" x14ac:dyDescent="0.25">
      <x:c r="F8162" s="11"/>
    </x:row>
    <x:row r="8163" spans="6:6" x14ac:dyDescent="0.25">
      <x:c r="F8163" s="11"/>
    </x:row>
    <x:row r="8164" spans="6:6" x14ac:dyDescent="0.25">
      <x:c r="F8164" s="11"/>
    </x:row>
    <x:row r="8165" spans="6:6" x14ac:dyDescent="0.25">
      <x:c r="F8165" s="11"/>
    </x:row>
    <x:row r="8166" spans="6:6" x14ac:dyDescent="0.25">
      <x:c r="F8166" s="11"/>
    </x:row>
    <x:row r="8167" spans="6:6" x14ac:dyDescent="0.25">
      <x:c r="F8167" s="11"/>
    </x:row>
    <x:row r="8168" spans="6:6" x14ac:dyDescent="0.25">
      <x:c r="F8168" s="11"/>
    </x:row>
    <x:row r="8169" spans="6:6" x14ac:dyDescent="0.25">
      <x:c r="F8169" s="11"/>
    </x:row>
    <x:row r="8170" spans="6:6" x14ac:dyDescent="0.25">
      <x:c r="F8170" s="11"/>
    </x:row>
    <x:row r="8171" spans="6:6" x14ac:dyDescent="0.25">
      <x:c r="F8171" s="11"/>
    </x:row>
    <x:row r="8172" spans="6:6" x14ac:dyDescent="0.25">
      <x:c r="F8172" s="11"/>
    </x:row>
    <x:row r="8173" spans="6:6" x14ac:dyDescent="0.25">
      <x:c r="F8173" s="11"/>
    </x:row>
    <x:row r="8174" spans="6:6" x14ac:dyDescent="0.25">
      <x:c r="F8174" s="11"/>
    </x:row>
    <x:row r="8175" spans="6:6" x14ac:dyDescent="0.25">
      <x:c r="F8175" s="11"/>
    </x:row>
    <x:row r="8176" spans="6:6" x14ac:dyDescent="0.25">
      <x:c r="F8176" s="11"/>
    </x:row>
    <x:row r="8177" spans="6:6" x14ac:dyDescent="0.25">
      <x:c r="F8177" s="11"/>
    </x:row>
    <x:row r="8178" spans="6:6" x14ac:dyDescent="0.25">
      <x:c r="F8178" s="11"/>
    </x:row>
    <x:row r="8179" spans="6:6" x14ac:dyDescent="0.25">
      <x:c r="F8179" s="11"/>
    </x:row>
    <x:row r="8180" spans="6:6" x14ac:dyDescent="0.25">
      <x:c r="F8180" s="11"/>
    </x:row>
    <x:row r="8181" spans="6:6" x14ac:dyDescent="0.25">
      <x:c r="F8181" s="11"/>
    </x:row>
    <x:row r="8182" spans="6:6" x14ac:dyDescent="0.25">
      <x:c r="F8182" s="11"/>
    </x:row>
    <x:row r="8183" spans="6:6" x14ac:dyDescent="0.25">
      <x:c r="F8183" s="11"/>
    </x:row>
    <x:row r="8184" spans="6:6" x14ac:dyDescent="0.25">
      <x:c r="F8184" s="11"/>
    </x:row>
    <x:row r="8185" spans="6:6" x14ac:dyDescent="0.25">
      <x:c r="F8185" s="11"/>
    </x:row>
    <x:row r="8186" spans="6:6" x14ac:dyDescent="0.25">
      <x:c r="F8186" s="11"/>
    </x:row>
    <x:row r="8187" spans="6:6" x14ac:dyDescent="0.25">
      <x:c r="F8187" s="11"/>
    </x:row>
    <x:row r="8188" spans="6:6" x14ac:dyDescent="0.25">
      <x:c r="F8188" s="11"/>
    </x:row>
    <x:row r="8189" spans="6:6" x14ac:dyDescent="0.25">
      <x:c r="F8189" s="11"/>
    </x:row>
    <x:row r="8190" spans="6:6" x14ac:dyDescent="0.25">
      <x:c r="F8190" s="11"/>
    </x:row>
    <x:row r="8191" spans="6:6" x14ac:dyDescent="0.25">
      <x:c r="F8191" s="11"/>
    </x:row>
    <x:row r="8192" spans="6:6" x14ac:dyDescent="0.25">
      <x:c r="F8192" s="11"/>
    </x:row>
    <x:row r="8193" spans="6:6" x14ac:dyDescent="0.25">
      <x:c r="F8193" s="11"/>
    </x:row>
    <x:row r="8194" spans="6:6" x14ac:dyDescent="0.25">
      <x:c r="F8194" s="11"/>
    </x:row>
    <x:row r="8195" spans="6:6" x14ac:dyDescent="0.25">
      <x:c r="F8195" s="11"/>
    </x:row>
    <x:row r="8196" spans="6:6" x14ac:dyDescent="0.25">
      <x:c r="F8196" s="11"/>
    </x:row>
    <x:row r="8197" spans="6:6" x14ac:dyDescent="0.25">
      <x:c r="F8197" s="11"/>
    </x:row>
    <x:row r="8198" spans="6:6" x14ac:dyDescent="0.25">
      <x:c r="F8198" s="11"/>
    </x:row>
    <x:row r="8199" spans="6:6" x14ac:dyDescent="0.25">
      <x:c r="F8199" s="11"/>
    </x:row>
    <x:row r="8200" spans="6:6" x14ac:dyDescent="0.25">
      <x:c r="F8200" s="11"/>
    </x:row>
    <x:row r="8201" spans="6:6" x14ac:dyDescent="0.25">
      <x:c r="F8201" s="11"/>
    </x:row>
    <x:row r="8202" spans="6:6" x14ac:dyDescent="0.25">
      <x:c r="F8202" s="11"/>
    </x:row>
    <x:row r="8203" spans="6:6" x14ac:dyDescent="0.25">
      <x:c r="F8203" s="11"/>
    </x:row>
    <x:row r="8204" spans="6:6" x14ac:dyDescent="0.25">
      <x:c r="F8204" s="11"/>
    </x:row>
    <x:row r="8205" spans="6:6" x14ac:dyDescent="0.25">
      <x:c r="F8205" s="11"/>
    </x:row>
    <x:row r="8206" spans="6:6" x14ac:dyDescent="0.25">
      <x:c r="F8206" s="11"/>
    </x:row>
    <x:row r="8207" spans="6:6" x14ac:dyDescent="0.25">
      <x:c r="F8207" s="11"/>
    </x:row>
    <x:row r="8208" spans="6:6" x14ac:dyDescent="0.25">
      <x:c r="F8208" s="11"/>
    </x:row>
    <x:row r="8209" spans="6:6" x14ac:dyDescent="0.25">
      <x:c r="F8209" s="11"/>
    </x:row>
    <x:row r="8210" spans="6:6" x14ac:dyDescent="0.25">
      <x:c r="F8210" s="11"/>
    </x:row>
    <x:row r="8211" spans="6:6" x14ac:dyDescent="0.25">
      <x:c r="F8211" s="11"/>
    </x:row>
    <x:row r="8212" spans="6:6" x14ac:dyDescent="0.25">
      <x:c r="F8212" s="11"/>
    </x:row>
    <x:row r="8213" spans="6:6" x14ac:dyDescent="0.25">
      <x:c r="F8213" s="11"/>
    </x:row>
    <x:row r="8214" spans="6:6" x14ac:dyDescent="0.25">
      <x:c r="F8214" s="11"/>
    </x:row>
    <x:row r="8215" spans="6:6" x14ac:dyDescent="0.25">
      <x:c r="F8215" s="11"/>
    </x:row>
    <x:row r="8216" spans="6:6" x14ac:dyDescent="0.25">
      <x:c r="F8216" s="11"/>
    </x:row>
    <x:row r="8217" spans="6:6" x14ac:dyDescent="0.25">
      <x:c r="F8217" s="11"/>
    </x:row>
    <x:row r="8218" spans="6:6" x14ac:dyDescent="0.25">
      <x:c r="F8218" s="11"/>
    </x:row>
    <x:row r="8219" spans="6:6" x14ac:dyDescent="0.25">
      <x:c r="F8219" s="11"/>
    </x:row>
    <x:row r="8220" spans="6:6" x14ac:dyDescent="0.25">
      <x:c r="F8220" s="11"/>
    </x:row>
    <x:row r="8221" spans="6:6" x14ac:dyDescent="0.25">
      <x:c r="F8221" s="11"/>
    </x:row>
    <x:row r="8222" spans="6:6" x14ac:dyDescent="0.25">
      <x:c r="F8222" s="11"/>
    </x:row>
    <x:row r="8223" spans="6:6" x14ac:dyDescent="0.25">
      <x:c r="F8223" s="11"/>
    </x:row>
    <x:row r="8224" spans="6:6" x14ac:dyDescent="0.25">
      <x:c r="F8224" s="11"/>
    </x:row>
    <x:row r="8225" spans="6:6" x14ac:dyDescent="0.25">
      <x:c r="F8225" s="11"/>
    </x:row>
    <x:row r="8226" spans="6:6" x14ac:dyDescent="0.25">
      <x:c r="F8226" s="11"/>
    </x:row>
    <x:row r="8227" spans="6:6" x14ac:dyDescent="0.25">
      <x:c r="F8227" s="11"/>
    </x:row>
    <x:row r="8228" spans="6:6" x14ac:dyDescent="0.25">
      <x:c r="F8228" s="11"/>
    </x:row>
    <x:row r="8229" spans="6:6" x14ac:dyDescent="0.25">
      <x:c r="F8229" s="11"/>
    </x:row>
    <x:row r="8230" spans="6:6" x14ac:dyDescent="0.25">
      <x:c r="F8230" s="11"/>
    </x:row>
    <x:row r="8231" spans="6:6" x14ac:dyDescent="0.25">
      <x:c r="F8231" s="11"/>
    </x:row>
    <x:row r="8232" spans="6:6" x14ac:dyDescent="0.25">
      <x:c r="F8232" s="11"/>
    </x:row>
    <x:row r="8233" spans="6:6" x14ac:dyDescent="0.25">
      <x:c r="F8233" s="11"/>
    </x:row>
    <x:row r="8234" spans="6:6" x14ac:dyDescent="0.25">
      <x:c r="F8234" s="11"/>
    </x:row>
    <x:row r="8235" spans="6:6" x14ac:dyDescent="0.25">
      <x:c r="F8235" s="11"/>
    </x:row>
    <x:row r="8236" spans="6:6" x14ac:dyDescent="0.25">
      <x:c r="F8236" s="11"/>
    </x:row>
    <x:row r="8237" spans="6:6" x14ac:dyDescent="0.25">
      <x:c r="F8237" s="11"/>
    </x:row>
    <x:row r="8238" spans="6:6" x14ac:dyDescent="0.25">
      <x:c r="F8238" s="11"/>
    </x:row>
    <x:row r="8239" spans="6:6" x14ac:dyDescent="0.25">
      <x:c r="F8239" s="11"/>
    </x:row>
    <x:row r="8240" spans="6:6" x14ac:dyDescent="0.25">
      <x:c r="F8240" s="11"/>
    </x:row>
    <x:row r="8241" spans="6:6" x14ac:dyDescent="0.25">
      <x:c r="F8241" s="11"/>
    </x:row>
    <x:row r="8242" spans="6:6" x14ac:dyDescent="0.25">
      <x:c r="F8242" s="11"/>
    </x:row>
    <x:row r="8243" spans="6:6" x14ac:dyDescent="0.25">
      <x:c r="F8243" s="11"/>
    </x:row>
    <x:row r="8244" spans="6:6" x14ac:dyDescent="0.25">
      <x:c r="F8244" s="11"/>
    </x:row>
    <x:row r="8245" spans="6:6" x14ac:dyDescent="0.25">
      <x:c r="F8245" s="11"/>
    </x:row>
    <x:row r="8246" spans="6:6" x14ac:dyDescent="0.25">
      <x:c r="F8246" s="11"/>
    </x:row>
    <x:row r="8247" spans="6:6" x14ac:dyDescent="0.25">
      <x:c r="F8247" s="11"/>
    </x:row>
    <x:row r="8248" spans="6:6" x14ac:dyDescent="0.25">
      <x:c r="F8248" s="11"/>
    </x:row>
    <x:row r="8249" spans="6:6" x14ac:dyDescent="0.25">
      <x:c r="F8249" s="11"/>
    </x:row>
    <x:row r="8250" spans="6:6" x14ac:dyDescent="0.25">
      <x:c r="F8250" s="11"/>
    </x:row>
    <x:row r="8251" spans="6:6" x14ac:dyDescent="0.25">
      <x:c r="F8251" s="11"/>
    </x:row>
    <x:row r="8252" spans="6:6" x14ac:dyDescent="0.25">
      <x:c r="F8252" s="11"/>
    </x:row>
    <x:row r="8253" spans="6:6" x14ac:dyDescent="0.25">
      <x:c r="F8253" s="11"/>
    </x:row>
    <x:row r="8254" spans="6:6" x14ac:dyDescent="0.25">
      <x:c r="F8254" s="11"/>
    </x:row>
    <x:row r="8255" spans="6:6" x14ac:dyDescent="0.25">
      <x:c r="F8255" s="11"/>
    </x:row>
    <x:row r="8256" spans="6:6" x14ac:dyDescent="0.25">
      <x:c r="F8256" s="11"/>
    </x:row>
    <x:row r="8257" spans="6:6" x14ac:dyDescent="0.25">
      <x:c r="F8257" s="11"/>
    </x:row>
    <x:row r="8258" spans="6:6" x14ac:dyDescent="0.25">
      <x:c r="F8258" s="11"/>
    </x:row>
    <x:row r="8259" spans="6:6" x14ac:dyDescent="0.25">
      <x:c r="F8259" s="11"/>
    </x:row>
    <x:row r="8260" spans="6:6" x14ac:dyDescent="0.25">
      <x:c r="F8260" s="11"/>
    </x:row>
    <x:row r="8261" spans="6:6" x14ac:dyDescent="0.25">
      <x:c r="F8261" s="11"/>
    </x:row>
    <x:row r="8262" spans="6:6" x14ac:dyDescent="0.25">
      <x:c r="F8262" s="11"/>
    </x:row>
    <x:row r="8263" spans="6:6" x14ac:dyDescent="0.25">
      <x:c r="F8263" s="11"/>
    </x:row>
    <x:row r="8264" spans="6:6" x14ac:dyDescent="0.25">
      <x:c r="F8264" s="11"/>
    </x:row>
    <x:row r="8265" spans="6:6" x14ac:dyDescent="0.25">
      <x:c r="F8265" s="11"/>
    </x:row>
    <x:row r="8266" spans="6:6" x14ac:dyDescent="0.25">
      <x:c r="F8266" s="11"/>
    </x:row>
    <x:row r="8267" spans="6:6" x14ac:dyDescent="0.25">
      <x:c r="F8267" s="11"/>
    </x:row>
    <x:row r="8268" spans="6:6" x14ac:dyDescent="0.25">
      <x:c r="F8268" s="11"/>
    </x:row>
    <x:row r="8269" spans="6:6" x14ac:dyDescent="0.25">
      <x:c r="F8269" s="11"/>
    </x:row>
    <x:row r="8270" spans="6:6" x14ac:dyDescent="0.25">
      <x:c r="F8270" s="11"/>
    </x:row>
    <x:row r="8271" spans="6:6" x14ac:dyDescent="0.25">
      <x:c r="F8271" s="11"/>
    </x:row>
    <x:row r="8272" spans="6:6" x14ac:dyDescent="0.25">
      <x:c r="F8272" s="11"/>
    </x:row>
    <x:row r="8273" spans="6:6" x14ac:dyDescent="0.25">
      <x:c r="F8273" s="11"/>
    </x:row>
    <x:row r="8274" spans="6:6" x14ac:dyDescent="0.25">
      <x:c r="F8274" s="11"/>
    </x:row>
    <x:row r="8275" spans="6:6" x14ac:dyDescent="0.25">
      <x:c r="F8275" s="11"/>
    </x:row>
    <x:row r="8276" spans="6:6" x14ac:dyDescent="0.25">
      <x:c r="F8276" s="11"/>
    </x:row>
    <x:row r="8277" spans="6:6" x14ac:dyDescent="0.25">
      <x:c r="F8277" s="11"/>
    </x:row>
    <x:row r="8278" spans="6:6" x14ac:dyDescent="0.25">
      <x:c r="F8278" s="11"/>
    </x:row>
    <x:row r="8279" spans="6:6" x14ac:dyDescent="0.25">
      <x:c r="F8279" s="11"/>
    </x:row>
    <x:row r="8280" spans="6:6" x14ac:dyDescent="0.25">
      <x:c r="F8280" s="11"/>
    </x:row>
    <x:row r="8281" spans="6:6" x14ac:dyDescent="0.25">
      <x:c r="F8281" s="11"/>
    </x:row>
    <x:row r="8282" spans="6:6" x14ac:dyDescent="0.25">
      <x:c r="F8282" s="11"/>
    </x:row>
    <x:row r="8283" spans="6:6" x14ac:dyDescent="0.25">
      <x:c r="F8283" s="11"/>
    </x:row>
    <x:row r="8284" spans="6:6" x14ac:dyDescent="0.25">
      <x:c r="F8284" s="11"/>
    </x:row>
    <x:row r="8285" spans="6:6" x14ac:dyDescent="0.25">
      <x:c r="F8285" s="11"/>
    </x:row>
    <x:row r="8286" spans="6:6" x14ac:dyDescent="0.25">
      <x:c r="F8286" s="11"/>
    </x:row>
    <x:row r="8287" spans="6:6" x14ac:dyDescent="0.25">
      <x:c r="F8287" s="11"/>
    </x:row>
    <x:row r="8288" spans="6:6" x14ac:dyDescent="0.25">
      <x:c r="F8288" s="11"/>
    </x:row>
    <x:row r="8289" spans="6:6" x14ac:dyDescent="0.25">
      <x:c r="F8289" s="11"/>
    </x:row>
    <x:row r="8290" spans="6:6" x14ac:dyDescent="0.25">
      <x:c r="F8290" s="11"/>
    </x:row>
    <x:row r="8291" spans="6:6" x14ac:dyDescent="0.25">
      <x:c r="F8291" s="11"/>
    </x:row>
    <x:row r="8292" spans="6:6" x14ac:dyDescent="0.25">
      <x:c r="F8292" s="11"/>
    </x:row>
    <x:row r="8293" spans="6:6" x14ac:dyDescent="0.25">
      <x:c r="F8293" s="11"/>
    </x:row>
    <x:row r="8294" spans="6:6" x14ac:dyDescent="0.25">
      <x:c r="F8294" s="11"/>
    </x:row>
    <x:row r="8295" spans="6:6" x14ac:dyDescent="0.25">
      <x:c r="F8295" s="11"/>
    </x:row>
    <x:row r="8296" spans="6:6" x14ac:dyDescent="0.25">
      <x:c r="F8296" s="11"/>
    </x:row>
    <x:row r="8297" spans="6:6" x14ac:dyDescent="0.25">
      <x:c r="F8297" s="11"/>
    </x:row>
    <x:row r="8298" spans="6:6" x14ac:dyDescent="0.25">
      <x:c r="F8298" s="11"/>
    </x:row>
    <x:row r="8299" spans="6:6" x14ac:dyDescent="0.25">
      <x:c r="F8299" s="11"/>
    </x:row>
    <x:row r="8300" spans="6:6" x14ac:dyDescent="0.25">
      <x:c r="F8300" s="11"/>
    </x:row>
    <x:row r="8301" spans="6:6" x14ac:dyDescent="0.25">
      <x:c r="F8301" s="11"/>
    </x:row>
    <x:row r="8302" spans="6:6" x14ac:dyDescent="0.25">
      <x:c r="F8302" s="11"/>
    </x:row>
    <x:row r="8303" spans="6:6" x14ac:dyDescent="0.25">
      <x:c r="F8303" s="11"/>
    </x:row>
    <x:row r="8304" spans="6:6" x14ac:dyDescent="0.25">
      <x:c r="F8304" s="11"/>
    </x:row>
    <x:row r="8305" spans="6:6" x14ac:dyDescent="0.25">
      <x:c r="F8305" s="11"/>
    </x:row>
    <x:row r="8306" spans="6:6" x14ac:dyDescent="0.25">
      <x:c r="F8306" s="11"/>
    </x:row>
    <x:row r="8307" spans="6:6" x14ac:dyDescent="0.25">
      <x:c r="F8307" s="11"/>
    </x:row>
    <x:row r="8308" spans="6:6" x14ac:dyDescent="0.25">
      <x:c r="F8308" s="11"/>
    </x:row>
    <x:row r="8309" spans="6:6" x14ac:dyDescent="0.25">
      <x:c r="F8309" s="11"/>
    </x:row>
    <x:row r="8310" spans="6:6" x14ac:dyDescent="0.25">
      <x:c r="F8310" s="11"/>
    </x:row>
    <x:row r="8311" spans="6:6" x14ac:dyDescent="0.25">
      <x:c r="F8311" s="11"/>
    </x:row>
    <x:row r="8312" spans="6:6" x14ac:dyDescent="0.25">
      <x:c r="F8312" s="11"/>
    </x:row>
    <x:row r="8313" spans="6:6" x14ac:dyDescent="0.25">
      <x:c r="F8313" s="11"/>
    </x:row>
    <x:row r="8314" spans="6:6" x14ac:dyDescent="0.25">
      <x:c r="F8314" s="11"/>
    </x:row>
    <x:row r="8315" spans="6:6" x14ac:dyDescent="0.25">
      <x:c r="F8315" s="11"/>
    </x:row>
    <x:row r="8316" spans="6:6" x14ac:dyDescent="0.25">
      <x:c r="F8316" s="11"/>
    </x:row>
    <x:row r="8317" spans="6:6" x14ac:dyDescent="0.25">
      <x:c r="F8317" s="11"/>
    </x:row>
    <x:row r="8318" spans="6:6" x14ac:dyDescent="0.25">
      <x:c r="F8318" s="11"/>
    </x:row>
    <x:row r="8319" spans="6:6" x14ac:dyDescent="0.25">
      <x:c r="F8319" s="11"/>
    </x:row>
    <x:row r="8320" spans="6:6" x14ac:dyDescent="0.25">
      <x:c r="F8320" s="11"/>
    </x:row>
    <x:row r="8321" spans="6:6" x14ac:dyDescent="0.25">
      <x:c r="F8321" s="11"/>
    </x:row>
    <x:row r="8322" spans="6:6" x14ac:dyDescent="0.25">
      <x:c r="F8322" s="11"/>
    </x:row>
    <x:row r="8323" spans="6:6" x14ac:dyDescent="0.25">
      <x:c r="F8323" s="11"/>
    </x:row>
    <x:row r="8324" spans="6:6" x14ac:dyDescent="0.25">
      <x:c r="F8324" s="11"/>
    </x:row>
    <x:row r="8325" spans="6:6" x14ac:dyDescent="0.25">
      <x:c r="F8325" s="11"/>
    </x:row>
    <x:row r="8326" spans="6:6" x14ac:dyDescent="0.25">
      <x:c r="F8326" s="11"/>
    </x:row>
    <x:row r="8327" spans="6:6" x14ac:dyDescent="0.25">
      <x:c r="F8327" s="11"/>
    </x:row>
    <x:row r="8328" spans="6:6" x14ac:dyDescent="0.25">
      <x:c r="F8328" s="11"/>
    </x:row>
    <x:row r="8329" spans="6:6" x14ac:dyDescent="0.25">
      <x:c r="F8329" s="11"/>
    </x:row>
    <x:row r="8330" spans="6:6" x14ac:dyDescent="0.25">
      <x:c r="F8330" s="11"/>
    </x:row>
    <x:row r="8331" spans="6:6" x14ac:dyDescent="0.25">
      <x:c r="F8331" s="11"/>
    </x:row>
    <x:row r="8332" spans="6:6" x14ac:dyDescent="0.25">
      <x:c r="F8332" s="11"/>
    </x:row>
    <x:row r="8333" spans="6:6" x14ac:dyDescent="0.25">
      <x:c r="F8333" s="11"/>
    </x:row>
    <x:row r="8334" spans="6:6" x14ac:dyDescent="0.25">
      <x:c r="F8334" s="11"/>
    </x:row>
    <x:row r="8335" spans="6:6" x14ac:dyDescent="0.25">
      <x:c r="F8335" s="11"/>
    </x:row>
    <x:row r="8336" spans="6:6" x14ac:dyDescent="0.25">
      <x:c r="F8336" s="11"/>
    </x:row>
    <x:row r="8337" spans="6:6" x14ac:dyDescent="0.25">
      <x:c r="F8337" s="11"/>
    </x:row>
    <x:row r="8338" spans="6:6" x14ac:dyDescent="0.25">
      <x:c r="F8338" s="11"/>
    </x:row>
    <x:row r="8339" spans="6:6" x14ac:dyDescent="0.25">
      <x:c r="F8339" s="11"/>
    </x:row>
    <x:row r="8340" spans="6:6" x14ac:dyDescent="0.25">
      <x:c r="F8340" s="11"/>
    </x:row>
    <x:row r="8341" spans="6:6" x14ac:dyDescent="0.25">
      <x:c r="F8341" s="11"/>
    </x:row>
    <x:row r="8342" spans="6:6" x14ac:dyDescent="0.25">
      <x:c r="F8342" s="11"/>
    </x:row>
    <x:row r="8343" spans="6:6" x14ac:dyDescent="0.25">
      <x:c r="F8343" s="11"/>
    </x:row>
    <x:row r="8344" spans="6:6" x14ac:dyDescent="0.25">
      <x:c r="F8344" s="11"/>
    </x:row>
    <x:row r="8345" spans="6:6" x14ac:dyDescent="0.25">
      <x:c r="F8345" s="11"/>
    </x:row>
    <x:row r="8346" spans="6:6" x14ac:dyDescent="0.25">
      <x:c r="F8346" s="11"/>
    </x:row>
    <x:row r="8347" spans="6:6" x14ac:dyDescent="0.25">
      <x:c r="F8347" s="11"/>
    </x:row>
    <x:row r="8348" spans="6:6" x14ac:dyDescent="0.25">
      <x:c r="F8348" s="11"/>
    </x:row>
    <x:row r="8349" spans="6:6" x14ac:dyDescent="0.25">
      <x:c r="F8349" s="11"/>
    </x:row>
    <x:row r="8350" spans="6:6" x14ac:dyDescent="0.25">
      <x:c r="F8350" s="11"/>
    </x:row>
    <x:row r="8351" spans="6:6" x14ac:dyDescent="0.25">
      <x:c r="F8351" s="11"/>
    </x:row>
    <x:row r="8352" spans="6:6" x14ac:dyDescent="0.25">
      <x:c r="F8352" s="11"/>
    </x:row>
    <x:row r="8353" spans="6:6" x14ac:dyDescent="0.25">
      <x:c r="F8353" s="11"/>
    </x:row>
    <x:row r="8354" spans="6:6" x14ac:dyDescent="0.25">
      <x:c r="F8354" s="11"/>
    </x:row>
    <x:row r="8355" spans="6:6" x14ac:dyDescent="0.25">
      <x:c r="F8355" s="11"/>
    </x:row>
    <x:row r="8356" spans="6:6" x14ac:dyDescent="0.25">
      <x:c r="F8356" s="11"/>
    </x:row>
    <x:row r="8357" spans="6:6" x14ac:dyDescent="0.25">
      <x:c r="F8357" s="11"/>
    </x:row>
    <x:row r="8358" spans="6:6" x14ac:dyDescent="0.25">
      <x:c r="F8358" s="11"/>
    </x:row>
    <x:row r="8359" spans="6:6" x14ac:dyDescent="0.25">
      <x:c r="F8359" s="11"/>
    </x:row>
    <x:row r="8360" spans="6:6" x14ac:dyDescent="0.25">
      <x:c r="F8360" s="11"/>
    </x:row>
    <x:row r="8361" spans="6:6" x14ac:dyDescent="0.25">
      <x:c r="F8361" s="11"/>
    </x:row>
    <x:row r="8362" spans="6:6" x14ac:dyDescent="0.25">
      <x:c r="F8362" s="11"/>
    </x:row>
    <x:row r="8363" spans="6:6" x14ac:dyDescent="0.25">
      <x:c r="F8363" s="11"/>
    </x:row>
    <x:row r="8364" spans="6:6" x14ac:dyDescent="0.25">
      <x:c r="F8364" s="11"/>
    </x:row>
    <x:row r="8365" spans="6:6" x14ac:dyDescent="0.25">
      <x:c r="F8365" s="11"/>
    </x:row>
    <x:row r="8366" spans="6:6" x14ac:dyDescent="0.25">
      <x:c r="F8366" s="11"/>
    </x:row>
    <x:row r="8367" spans="6:6" x14ac:dyDescent="0.25">
      <x:c r="F8367" s="11"/>
    </x:row>
    <x:row r="8368" spans="6:6" x14ac:dyDescent="0.25">
      <x:c r="F8368" s="11"/>
    </x:row>
    <x:row r="8369" spans="6:6" x14ac:dyDescent="0.25">
      <x:c r="F8369" s="11"/>
    </x:row>
    <x:row r="8370" spans="6:6" x14ac:dyDescent="0.25">
      <x:c r="F8370" s="11"/>
    </x:row>
    <x:row r="8371" spans="6:6" x14ac:dyDescent="0.25">
      <x:c r="F8371" s="11"/>
    </x:row>
    <x:row r="8372" spans="6:6" x14ac:dyDescent="0.25">
      <x:c r="F8372" s="11"/>
    </x:row>
    <x:row r="8373" spans="6:6" x14ac:dyDescent="0.25">
      <x:c r="F8373" s="11"/>
    </x:row>
    <x:row r="8374" spans="6:6" x14ac:dyDescent="0.25">
      <x:c r="F8374" s="11"/>
    </x:row>
    <x:row r="8375" spans="6:6" x14ac:dyDescent="0.25">
      <x:c r="F8375" s="11"/>
    </x:row>
    <x:row r="8376" spans="6:6" x14ac:dyDescent="0.25">
      <x:c r="F8376" s="11"/>
    </x:row>
    <x:row r="8377" spans="6:6" x14ac:dyDescent="0.25">
      <x:c r="F8377" s="11"/>
    </x:row>
    <x:row r="8378" spans="6:6" x14ac:dyDescent="0.25">
      <x:c r="F8378" s="11"/>
    </x:row>
    <x:row r="8379" spans="6:6" x14ac:dyDescent="0.25">
      <x:c r="F8379" s="11"/>
    </x:row>
    <x:row r="8380" spans="6:6" x14ac:dyDescent="0.25">
      <x:c r="F8380" s="11"/>
    </x:row>
    <x:row r="8381" spans="6:6" x14ac:dyDescent="0.25">
      <x:c r="F8381" s="11"/>
    </x:row>
    <x:row r="8382" spans="6:6" x14ac:dyDescent="0.25">
      <x:c r="F8382" s="11"/>
    </x:row>
    <x:row r="8383" spans="6:6" x14ac:dyDescent="0.25">
      <x:c r="F8383" s="11"/>
    </x:row>
    <x:row r="8384" spans="6:6" x14ac:dyDescent="0.25">
      <x:c r="F8384" s="11"/>
    </x:row>
    <x:row r="8385" spans="6:6" x14ac:dyDescent="0.25">
      <x:c r="F8385" s="11"/>
    </x:row>
    <x:row r="8386" spans="6:6" x14ac:dyDescent="0.25">
      <x:c r="F8386" s="11"/>
    </x:row>
    <x:row r="8387" spans="6:6" x14ac:dyDescent="0.25">
      <x:c r="F8387" s="11"/>
    </x:row>
    <x:row r="8388" spans="6:6" x14ac:dyDescent="0.25">
      <x:c r="F8388" s="11"/>
    </x:row>
    <x:row r="8389" spans="6:6" x14ac:dyDescent="0.25">
      <x:c r="F8389" s="11"/>
    </x:row>
    <x:row r="8390" spans="6:6" x14ac:dyDescent="0.25">
      <x:c r="F8390" s="11"/>
    </x:row>
    <x:row r="8391" spans="6:6" x14ac:dyDescent="0.25">
      <x:c r="F8391" s="11"/>
    </x:row>
    <x:row r="8392" spans="6:6" x14ac:dyDescent="0.25">
      <x:c r="F8392" s="11"/>
    </x:row>
    <x:row r="8393" spans="6:6" x14ac:dyDescent="0.25">
      <x:c r="F8393" s="11"/>
    </x:row>
    <x:row r="8394" spans="6:6" x14ac:dyDescent="0.25">
      <x:c r="F8394" s="11"/>
    </x:row>
    <x:row r="8395" spans="6:6" x14ac:dyDescent="0.25">
      <x:c r="F8395" s="11"/>
    </x:row>
    <x:row r="8396" spans="6:6" x14ac:dyDescent="0.25">
      <x:c r="F8396" s="11"/>
    </x:row>
    <x:row r="8397" spans="6:6" x14ac:dyDescent="0.25">
      <x:c r="F8397" s="11"/>
    </x:row>
    <x:row r="8398" spans="6:6" x14ac:dyDescent="0.25">
      <x:c r="F8398" s="11"/>
    </x:row>
    <x:row r="8399" spans="6:6" x14ac:dyDescent="0.25">
      <x:c r="F8399" s="11"/>
    </x:row>
    <x:row r="8400" spans="6:6" x14ac:dyDescent="0.25">
      <x:c r="F8400" s="11"/>
    </x:row>
    <x:row r="8401" spans="6:6" x14ac:dyDescent="0.25">
      <x:c r="F8401" s="11"/>
    </x:row>
    <x:row r="8402" spans="6:6" x14ac:dyDescent="0.25">
      <x:c r="F8402" s="11"/>
    </x:row>
    <x:row r="8403" spans="6:6" x14ac:dyDescent="0.25">
      <x:c r="F8403" s="11"/>
    </x:row>
    <x:row r="8404" spans="6:6" x14ac:dyDescent="0.25">
      <x:c r="F8404" s="11"/>
    </x:row>
    <x:row r="8405" spans="6:6" x14ac:dyDescent="0.25">
      <x:c r="F8405" s="11"/>
    </x:row>
    <x:row r="8406" spans="6:6" x14ac:dyDescent="0.25">
      <x:c r="F8406" s="11"/>
    </x:row>
    <x:row r="8407" spans="6:6" x14ac:dyDescent="0.25">
      <x:c r="F8407" s="11"/>
    </x:row>
    <x:row r="8408" spans="6:6" x14ac:dyDescent="0.25">
      <x:c r="F8408" s="11"/>
    </x:row>
    <x:row r="8409" spans="6:6" x14ac:dyDescent="0.25">
      <x:c r="F8409" s="11"/>
    </x:row>
    <x:row r="8410" spans="6:6" x14ac:dyDescent="0.25">
      <x:c r="F8410" s="11"/>
    </x:row>
    <x:row r="8411" spans="6:6" x14ac:dyDescent="0.25">
      <x:c r="F8411" s="11"/>
    </x:row>
    <x:row r="8412" spans="6:6" x14ac:dyDescent="0.25">
      <x:c r="F8412" s="11"/>
    </x:row>
    <x:row r="8413" spans="6:6" x14ac:dyDescent="0.25">
      <x:c r="F8413" s="11"/>
    </x:row>
    <x:row r="8414" spans="6:6" x14ac:dyDescent="0.25">
      <x:c r="F8414" s="11"/>
    </x:row>
    <x:row r="8415" spans="6:6" x14ac:dyDescent="0.25">
      <x:c r="F8415" s="11"/>
    </x:row>
    <x:row r="8416" spans="6:6" x14ac:dyDescent="0.25">
      <x:c r="F8416" s="11"/>
    </x:row>
    <x:row r="8417" spans="6:6" x14ac:dyDescent="0.25">
      <x:c r="F8417" s="11"/>
    </x:row>
    <x:row r="8418" spans="6:6" x14ac:dyDescent="0.25">
      <x:c r="F8418" s="11"/>
    </x:row>
    <x:row r="8419" spans="6:6" x14ac:dyDescent="0.25">
      <x:c r="F8419" s="11"/>
    </x:row>
    <x:row r="8420" spans="6:6" x14ac:dyDescent="0.25">
      <x:c r="F8420" s="11"/>
    </x:row>
    <x:row r="8421" spans="6:6" x14ac:dyDescent="0.25">
      <x:c r="F8421" s="11"/>
    </x:row>
    <x:row r="8422" spans="6:6" x14ac:dyDescent="0.25">
      <x:c r="F8422" s="11"/>
    </x:row>
    <x:row r="8423" spans="6:6" x14ac:dyDescent="0.25">
      <x:c r="F8423" s="11"/>
    </x:row>
    <x:row r="8424" spans="6:6" x14ac:dyDescent="0.25">
      <x:c r="F8424" s="11"/>
    </x:row>
    <x:row r="8425" spans="6:6" x14ac:dyDescent="0.25">
      <x:c r="F8425" s="11"/>
    </x:row>
    <x:row r="8426" spans="6:6" x14ac:dyDescent="0.25">
      <x:c r="F8426" s="11"/>
    </x:row>
    <x:row r="8427" spans="6:6" x14ac:dyDescent="0.25">
      <x:c r="F8427" s="11"/>
    </x:row>
    <x:row r="8428" spans="6:6" x14ac:dyDescent="0.25">
      <x:c r="F8428" s="11"/>
    </x:row>
    <x:row r="8429" spans="6:6" x14ac:dyDescent="0.25">
      <x:c r="F8429" s="11"/>
    </x:row>
    <x:row r="8430" spans="6:6" x14ac:dyDescent="0.25">
      <x:c r="F8430" s="11"/>
    </x:row>
    <x:row r="8431" spans="6:6" x14ac:dyDescent="0.25">
      <x:c r="F8431" s="11"/>
    </x:row>
    <x:row r="8432" spans="6:6" x14ac:dyDescent="0.25">
      <x:c r="F8432" s="11"/>
    </x:row>
    <x:row r="8433" spans="6:6" x14ac:dyDescent="0.25">
      <x:c r="F8433" s="11"/>
    </x:row>
    <x:row r="8434" spans="6:6" x14ac:dyDescent="0.25">
      <x:c r="F8434" s="11"/>
    </x:row>
    <x:row r="8435" spans="6:6" x14ac:dyDescent="0.25">
      <x:c r="F8435" s="11"/>
    </x:row>
    <x:row r="8436" spans="6:6" x14ac:dyDescent="0.25">
      <x:c r="F8436" s="11"/>
    </x:row>
    <x:row r="8437" spans="6:6" x14ac:dyDescent="0.25">
      <x:c r="F8437" s="11"/>
    </x:row>
    <x:row r="8438" spans="6:6" x14ac:dyDescent="0.25">
      <x:c r="F8438" s="11"/>
    </x:row>
    <x:row r="8439" spans="6:6" x14ac:dyDescent="0.25">
      <x:c r="F8439" s="11"/>
    </x:row>
    <x:row r="8440" spans="6:6" x14ac:dyDescent="0.25">
      <x:c r="F8440" s="11"/>
    </x:row>
    <x:row r="8441" spans="6:6" x14ac:dyDescent="0.25">
      <x:c r="F8441" s="11"/>
    </x:row>
    <x:row r="8442" spans="6:6" x14ac:dyDescent="0.25">
      <x:c r="F8442" s="11"/>
    </x:row>
    <x:row r="8443" spans="6:6" x14ac:dyDescent="0.25">
      <x:c r="F8443" s="11"/>
    </x:row>
    <x:row r="8444" spans="6:6" x14ac:dyDescent="0.25">
      <x:c r="F8444" s="11"/>
    </x:row>
    <x:row r="8445" spans="6:6" x14ac:dyDescent="0.25">
      <x:c r="F8445" s="11"/>
    </x:row>
    <x:row r="8446" spans="6:6" x14ac:dyDescent="0.25">
      <x:c r="F8446" s="11"/>
    </x:row>
    <x:row r="8447" spans="6:6" x14ac:dyDescent="0.25">
      <x:c r="F8447" s="11"/>
    </x:row>
    <x:row r="8448" spans="6:6" x14ac:dyDescent="0.25">
      <x:c r="F8448" s="11"/>
    </x:row>
    <x:row r="8449" spans="6:6" x14ac:dyDescent="0.25">
      <x:c r="F8449" s="11"/>
    </x:row>
    <x:row r="8450" spans="6:6" x14ac:dyDescent="0.25">
      <x:c r="F8450" s="11"/>
    </x:row>
    <x:row r="8451" spans="6:6" x14ac:dyDescent="0.25">
      <x:c r="F8451" s="11"/>
    </x:row>
    <x:row r="8452" spans="6:6" x14ac:dyDescent="0.25">
      <x:c r="F8452" s="11"/>
    </x:row>
    <x:row r="8453" spans="6:6" x14ac:dyDescent="0.25">
      <x:c r="F8453" s="11"/>
    </x:row>
    <x:row r="8454" spans="6:6" x14ac:dyDescent="0.25">
      <x:c r="F8454" s="11"/>
    </x:row>
    <x:row r="8455" spans="6:6" x14ac:dyDescent="0.25">
      <x:c r="F8455" s="11"/>
    </x:row>
    <x:row r="8456" spans="6:6" x14ac:dyDescent="0.25">
      <x:c r="F8456" s="11"/>
    </x:row>
    <x:row r="8457" spans="6:6" x14ac:dyDescent="0.25">
      <x:c r="F8457" s="11"/>
    </x:row>
    <x:row r="8458" spans="6:6" x14ac:dyDescent="0.25">
      <x:c r="F8458" s="11"/>
    </x:row>
    <x:row r="8459" spans="6:6" x14ac:dyDescent="0.25">
      <x:c r="F8459" s="11"/>
    </x:row>
    <x:row r="8460" spans="6:6" x14ac:dyDescent="0.25">
      <x:c r="F8460" s="11"/>
    </x:row>
    <x:row r="8461" spans="6:6" x14ac:dyDescent="0.25">
      <x:c r="F8461" s="11"/>
    </x:row>
    <x:row r="8462" spans="6:6" x14ac:dyDescent="0.25">
      <x:c r="F8462" s="11"/>
    </x:row>
    <x:row r="8463" spans="6:6" x14ac:dyDescent="0.25">
      <x:c r="F8463" s="11"/>
    </x:row>
    <x:row r="8464" spans="6:6" x14ac:dyDescent="0.25">
      <x:c r="F8464" s="11"/>
    </x:row>
    <x:row r="8465" spans="6:6" x14ac:dyDescent="0.25">
      <x:c r="F8465" s="11"/>
    </x:row>
    <x:row r="8466" spans="6:6" x14ac:dyDescent="0.25">
      <x:c r="F8466" s="11"/>
    </x:row>
    <x:row r="8467" spans="6:6" x14ac:dyDescent="0.25">
      <x:c r="F8467" s="11"/>
    </x:row>
    <x:row r="8468" spans="6:6" x14ac:dyDescent="0.25">
      <x:c r="F8468" s="11"/>
    </x:row>
    <x:row r="8469" spans="6:6" x14ac:dyDescent="0.25">
      <x:c r="F8469" s="11"/>
    </x:row>
    <x:row r="8470" spans="6:6" x14ac:dyDescent="0.25">
      <x:c r="F8470" s="11"/>
    </x:row>
    <x:row r="8471" spans="6:6" x14ac:dyDescent="0.25">
      <x:c r="F8471" s="11"/>
    </x:row>
    <x:row r="8472" spans="6:6" x14ac:dyDescent="0.25">
      <x:c r="F8472" s="11"/>
    </x:row>
    <x:row r="8473" spans="6:6" x14ac:dyDescent="0.25">
      <x:c r="F8473" s="11"/>
    </x:row>
    <x:row r="8474" spans="6:6" x14ac:dyDescent="0.25">
      <x:c r="F8474" s="11"/>
    </x:row>
    <x:row r="8475" spans="6:6" x14ac:dyDescent="0.25">
      <x:c r="F8475" s="11"/>
    </x:row>
    <x:row r="8476" spans="6:6" x14ac:dyDescent="0.25">
      <x:c r="F8476" s="11"/>
    </x:row>
    <x:row r="8477" spans="6:6" x14ac:dyDescent="0.25">
      <x:c r="F8477" s="11"/>
    </x:row>
    <x:row r="8478" spans="6:6" x14ac:dyDescent="0.25">
      <x:c r="F8478" s="11"/>
    </x:row>
    <x:row r="8479" spans="6:6" x14ac:dyDescent="0.25">
      <x:c r="F8479" s="11"/>
    </x:row>
    <x:row r="8480" spans="6:6" x14ac:dyDescent="0.25">
      <x:c r="F8480" s="11"/>
    </x:row>
    <x:row r="8481" spans="6:6" x14ac:dyDescent="0.25">
      <x:c r="F8481" s="11"/>
    </x:row>
    <x:row r="8482" spans="6:6" x14ac:dyDescent="0.25">
      <x:c r="F8482" s="11"/>
    </x:row>
    <x:row r="8483" spans="6:6" x14ac:dyDescent="0.25">
      <x:c r="F8483" s="11"/>
    </x:row>
    <x:row r="8484" spans="6:6" x14ac:dyDescent="0.25">
      <x:c r="F8484" s="11"/>
    </x:row>
    <x:row r="8485" spans="6:6" x14ac:dyDescent="0.25">
      <x:c r="F8485" s="11"/>
    </x:row>
    <x:row r="8486" spans="6:6" x14ac:dyDescent="0.25">
      <x:c r="F8486" s="11"/>
    </x:row>
    <x:row r="8487" spans="6:6" x14ac:dyDescent="0.25">
      <x:c r="F8487" s="11"/>
    </x:row>
    <x:row r="8488" spans="6:6" x14ac:dyDescent="0.25">
      <x:c r="F8488" s="11"/>
    </x:row>
    <x:row r="8489" spans="6:6" x14ac:dyDescent="0.25">
      <x:c r="F8489" s="11"/>
    </x:row>
    <x:row r="8490" spans="6:6" x14ac:dyDescent="0.25">
      <x:c r="F8490" s="11"/>
    </x:row>
    <x:row r="8491" spans="6:6" x14ac:dyDescent="0.25">
      <x:c r="F8491" s="11"/>
    </x:row>
    <x:row r="8492" spans="6:6" x14ac:dyDescent="0.25">
      <x:c r="F8492" s="11"/>
    </x:row>
    <x:row r="8493" spans="6:6" x14ac:dyDescent="0.25">
      <x:c r="F8493" s="11"/>
    </x:row>
    <x:row r="8494" spans="6:6" x14ac:dyDescent="0.25">
      <x:c r="F8494" s="11"/>
    </x:row>
    <x:row r="8495" spans="6:6" x14ac:dyDescent="0.25">
      <x:c r="F8495" s="11"/>
    </x:row>
    <x:row r="8496" spans="6:6" x14ac:dyDescent="0.25">
      <x:c r="F8496" s="11"/>
    </x:row>
    <x:row r="8497" spans="6:6" x14ac:dyDescent="0.25">
      <x:c r="F8497" s="11"/>
    </x:row>
    <x:row r="8498" spans="6:6" x14ac:dyDescent="0.25">
      <x:c r="F8498" s="11"/>
    </x:row>
    <x:row r="8499" spans="6:6" x14ac:dyDescent="0.25">
      <x:c r="F8499" s="11"/>
    </x:row>
    <x:row r="8500" spans="6:6" x14ac:dyDescent="0.25">
      <x:c r="F8500" s="11"/>
    </x:row>
    <x:row r="8501" spans="6:6" x14ac:dyDescent="0.25">
      <x:c r="F8501" s="11"/>
    </x:row>
    <x:row r="8502" spans="6:6" x14ac:dyDescent="0.25">
      <x:c r="F8502" s="11"/>
    </x:row>
    <x:row r="8503" spans="6:6" x14ac:dyDescent="0.25">
      <x:c r="F8503" s="11"/>
    </x:row>
    <x:row r="8504" spans="6:6" x14ac:dyDescent="0.25">
      <x:c r="F8504" s="11"/>
    </x:row>
    <x:row r="8505" spans="6:6" x14ac:dyDescent="0.25">
      <x:c r="F8505" s="11"/>
    </x:row>
    <x:row r="8506" spans="6:6" x14ac:dyDescent="0.25">
      <x:c r="F8506" s="11"/>
    </x:row>
    <x:row r="8507" spans="6:6" x14ac:dyDescent="0.25">
      <x:c r="F8507" s="11"/>
    </x:row>
    <x:row r="8508" spans="6:6" x14ac:dyDescent="0.25">
      <x:c r="F8508" s="11"/>
    </x:row>
    <x:row r="8509" spans="6:6" x14ac:dyDescent="0.25">
      <x:c r="F8509" s="11"/>
    </x:row>
    <x:row r="8510" spans="6:6" x14ac:dyDescent="0.25">
      <x:c r="F8510" s="11"/>
    </x:row>
    <x:row r="8511" spans="6:6" x14ac:dyDescent="0.25">
      <x:c r="F8511" s="11"/>
    </x:row>
    <x:row r="8512" spans="6:6" x14ac:dyDescent="0.25">
      <x:c r="F8512" s="11"/>
    </x:row>
    <x:row r="8513" spans="6:6" x14ac:dyDescent="0.25">
      <x:c r="F8513" s="11"/>
    </x:row>
    <x:row r="8514" spans="6:6" x14ac:dyDescent="0.25">
      <x:c r="F8514" s="11"/>
    </x:row>
    <x:row r="8515" spans="6:6" x14ac:dyDescent="0.25">
      <x:c r="F8515" s="11"/>
    </x:row>
    <x:row r="8516" spans="6:6" x14ac:dyDescent="0.25">
      <x:c r="F8516" s="11"/>
    </x:row>
    <x:row r="8517" spans="6:6" x14ac:dyDescent="0.25">
      <x:c r="F8517" s="11"/>
    </x:row>
    <x:row r="8518" spans="6:6" x14ac:dyDescent="0.25">
      <x:c r="F8518" s="11"/>
    </x:row>
    <x:row r="8519" spans="6:6" x14ac:dyDescent="0.25">
      <x:c r="F8519" s="11"/>
    </x:row>
    <x:row r="8520" spans="6:6" x14ac:dyDescent="0.25">
      <x:c r="F8520" s="11"/>
    </x:row>
    <x:row r="8521" spans="6:6" x14ac:dyDescent="0.25">
      <x:c r="F8521" s="11"/>
    </x:row>
    <x:row r="8522" spans="6:6" x14ac:dyDescent="0.25">
      <x:c r="F8522" s="11"/>
    </x:row>
    <x:row r="8523" spans="6:6" x14ac:dyDescent="0.25">
      <x:c r="F8523" s="11"/>
    </x:row>
    <x:row r="8524" spans="6:6" x14ac:dyDescent="0.25">
      <x:c r="F8524" s="11"/>
    </x:row>
    <x:row r="8525" spans="6:6" x14ac:dyDescent="0.25">
      <x:c r="F8525" s="11"/>
    </x:row>
    <x:row r="8526" spans="6:6" x14ac:dyDescent="0.25">
      <x:c r="F8526" s="11"/>
    </x:row>
    <x:row r="8527" spans="6:6" x14ac:dyDescent="0.25">
      <x:c r="F8527" s="11"/>
    </x:row>
    <x:row r="8528" spans="6:6" x14ac:dyDescent="0.25">
      <x:c r="F8528" s="11"/>
    </x:row>
    <x:row r="8529" spans="6:6" x14ac:dyDescent="0.25">
      <x:c r="F8529" s="11"/>
    </x:row>
    <x:row r="8530" spans="6:6" x14ac:dyDescent="0.25">
      <x:c r="F8530" s="11"/>
    </x:row>
    <x:row r="8531" spans="6:6" x14ac:dyDescent="0.25">
      <x:c r="F8531" s="11"/>
    </x:row>
    <x:row r="8532" spans="6:6" x14ac:dyDescent="0.25">
      <x:c r="F8532" s="11"/>
    </x:row>
    <x:row r="8533" spans="6:6" x14ac:dyDescent="0.25">
      <x:c r="F8533" s="11"/>
    </x:row>
    <x:row r="8534" spans="6:6" x14ac:dyDescent="0.25">
      <x:c r="F8534" s="11"/>
    </x:row>
    <x:row r="8535" spans="6:6" x14ac:dyDescent="0.25">
      <x:c r="F8535" s="11"/>
    </x:row>
    <x:row r="8536" spans="6:6" x14ac:dyDescent="0.25">
      <x:c r="F8536" s="11"/>
    </x:row>
    <x:row r="8537" spans="6:6" x14ac:dyDescent="0.25">
      <x:c r="F8537" s="11"/>
    </x:row>
    <x:row r="8538" spans="6:6" x14ac:dyDescent="0.25">
      <x:c r="F8538" s="11"/>
    </x:row>
    <x:row r="8539" spans="6:6" x14ac:dyDescent="0.25">
      <x:c r="F8539" s="11"/>
    </x:row>
    <x:row r="8540" spans="6:6" x14ac:dyDescent="0.25">
      <x:c r="F8540" s="11"/>
    </x:row>
    <x:row r="8541" spans="6:6" x14ac:dyDescent="0.25">
      <x:c r="F8541" s="11"/>
    </x:row>
    <x:row r="8542" spans="6:6" x14ac:dyDescent="0.25">
      <x:c r="F8542" s="11"/>
    </x:row>
    <x:row r="8543" spans="6:6" x14ac:dyDescent="0.25">
      <x:c r="F8543" s="11"/>
    </x:row>
    <x:row r="8544" spans="6:6" x14ac:dyDescent="0.25">
      <x:c r="F8544" s="11"/>
    </x:row>
    <x:row r="8545" spans="6:6" x14ac:dyDescent="0.25">
      <x:c r="F8545" s="11"/>
    </x:row>
    <x:row r="8546" spans="6:6" x14ac:dyDescent="0.25">
      <x:c r="F8546" s="11"/>
    </x:row>
    <x:row r="8547" spans="6:6" x14ac:dyDescent="0.25">
      <x:c r="F8547" s="11"/>
    </x:row>
    <x:row r="8548" spans="6:6" x14ac:dyDescent="0.25">
      <x:c r="F8548" s="11"/>
    </x:row>
    <x:row r="8549" spans="6:6" x14ac:dyDescent="0.25">
      <x:c r="F8549" s="11"/>
    </x:row>
    <x:row r="8550" spans="6:6" x14ac:dyDescent="0.25">
      <x:c r="F8550" s="11"/>
    </x:row>
    <x:row r="8551" spans="6:6" x14ac:dyDescent="0.25">
      <x:c r="F8551" s="11"/>
    </x:row>
    <x:row r="8552" spans="6:6" x14ac:dyDescent="0.25">
      <x:c r="F8552" s="11"/>
    </x:row>
    <x:row r="8553" spans="6:6" x14ac:dyDescent="0.25">
      <x:c r="F8553" s="11"/>
    </x:row>
    <x:row r="8554" spans="6:6" x14ac:dyDescent="0.25">
      <x:c r="F8554" s="11"/>
    </x:row>
    <x:row r="8555" spans="6:6" x14ac:dyDescent="0.25">
      <x:c r="F8555" s="11"/>
    </x:row>
    <x:row r="8556" spans="6:6" x14ac:dyDescent="0.25">
      <x:c r="F8556" s="11"/>
    </x:row>
    <x:row r="8557" spans="6:6" x14ac:dyDescent="0.25">
      <x:c r="F8557" s="11"/>
    </x:row>
    <x:row r="8558" spans="6:6" x14ac:dyDescent="0.25">
      <x:c r="F8558" s="11"/>
    </x:row>
    <x:row r="8559" spans="6:6" x14ac:dyDescent="0.25">
      <x:c r="F8559" s="11"/>
    </x:row>
    <x:row r="8560" spans="6:6" x14ac:dyDescent="0.25">
      <x:c r="F8560" s="11"/>
    </x:row>
    <x:row r="8561" spans="6:6" x14ac:dyDescent="0.25">
      <x:c r="F8561" s="11"/>
    </x:row>
    <x:row r="8562" spans="6:6" x14ac:dyDescent="0.25">
      <x:c r="F8562" s="11"/>
    </x:row>
    <x:row r="8563" spans="6:6" x14ac:dyDescent="0.25">
      <x:c r="F8563" s="11"/>
    </x:row>
    <x:row r="8564" spans="6:6" x14ac:dyDescent="0.25">
      <x:c r="F8564" s="11"/>
    </x:row>
    <x:row r="8565" spans="6:6" x14ac:dyDescent="0.25">
      <x:c r="F8565" s="11"/>
    </x:row>
    <x:row r="8566" spans="6:6" x14ac:dyDescent="0.25">
      <x:c r="F8566" s="11"/>
    </x:row>
    <x:row r="8567" spans="6:6" x14ac:dyDescent="0.25">
      <x:c r="F8567" s="11"/>
    </x:row>
    <x:row r="8568" spans="6:6" x14ac:dyDescent="0.25">
      <x:c r="F8568" s="11"/>
    </x:row>
    <x:row r="8569" spans="6:6" x14ac:dyDescent="0.25">
      <x:c r="F8569" s="11"/>
    </x:row>
    <x:row r="8570" spans="6:6" x14ac:dyDescent="0.25">
      <x:c r="F8570" s="11"/>
    </x:row>
    <x:row r="8571" spans="6:6" x14ac:dyDescent="0.25">
      <x:c r="F8571" s="11"/>
    </x:row>
    <x:row r="8572" spans="6:6" x14ac:dyDescent="0.25">
      <x:c r="F8572" s="11"/>
    </x:row>
    <x:row r="8573" spans="6:6" x14ac:dyDescent="0.25">
      <x:c r="F8573" s="11"/>
    </x:row>
    <x:row r="8574" spans="6:6" x14ac:dyDescent="0.25">
      <x:c r="F8574" s="11"/>
    </x:row>
    <x:row r="8575" spans="6:6" x14ac:dyDescent="0.25">
      <x:c r="F8575" s="11"/>
    </x:row>
    <x:row r="8576" spans="6:6" x14ac:dyDescent="0.25">
      <x:c r="F8576" s="11"/>
    </x:row>
    <x:row r="8577" spans="6:6" x14ac:dyDescent="0.25">
      <x:c r="F8577" s="11"/>
    </x:row>
    <x:row r="8578" spans="6:6" x14ac:dyDescent="0.25">
      <x:c r="F8578" s="11"/>
    </x:row>
    <x:row r="8579" spans="6:6" x14ac:dyDescent="0.25">
      <x:c r="F8579" s="11"/>
    </x:row>
    <x:row r="8580" spans="6:6" x14ac:dyDescent="0.25">
      <x:c r="F8580" s="11"/>
    </x:row>
    <x:row r="8581" spans="6:6" x14ac:dyDescent="0.25">
      <x:c r="F8581" s="11"/>
    </x:row>
    <x:row r="8582" spans="6:6" x14ac:dyDescent="0.25">
      <x:c r="F8582" s="11"/>
    </x:row>
    <x:row r="8583" spans="6:6" x14ac:dyDescent="0.25">
      <x:c r="F8583" s="11"/>
    </x:row>
    <x:row r="8584" spans="6:6" x14ac:dyDescent="0.25">
      <x:c r="F8584" s="11"/>
    </x:row>
    <x:row r="8585" spans="6:6" x14ac:dyDescent="0.25">
      <x:c r="F8585" s="11"/>
    </x:row>
    <x:row r="8586" spans="6:6" x14ac:dyDescent="0.25">
      <x:c r="F8586" s="11"/>
    </x:row>
    <x:row r="8587" spans="6:6" x14ac:dyDescent="0.25">
      <x:c r="F8587" s="11"/>
    </x:row>
    <x:row r="8588" spans="6:6" x14ac:dyDescent="0.25">
      <x:c r="F8588" s="11"/>
    </x:row>
    <x:row r="8589" spans="6:6" x14ac:dyDescent="0.25">
      <x:c r="F8589" s="11"/>
    </x:row>
    <x:row r="8590" spans="6:6" x14ac:dyDescent="0.25">
      <x:c r="F8590" s="11"/>
    </x:row>
    <x:row r="8591" spans="6:6" x14ac:dyDescent="0.25">
      <x:c r="F8591" s="11"/>
    </x:row>
    <x:row r="8592" spans="6:6" x14ac:dyDescent="0.25">
      <x:c r="F8592" s="11"/>
    </x:row>
    <x:row r="8593" spans="6:6" x14ac:dyDescent="0.25">
      <x:c r="F8593" s="11"/>
    </x:row>
    <x:row r="8594" spans="6:6" x14ac:dyDescent="0.25">
      <x:c r="F8594" s="11"/>
    </x:row>
    <x:row r="8595" spans="6:6" x14ac:dyDescent="0.25">
      <x:c r="F8595" s="11"/>
    </x:row>
    <x:row r="8596" spans="6:6" x14ac:dyDescent="0.25">
      <x:c r="F8596" s="11"/>
    </x:row>
    <x:row r="8597" spans="6:6" x14ac:dyDescent="0.25">
      <x:c r="F8597" s="11"/>
    </x:row>
    <x:row r="8598" spans="6:6" x14ac:dyDescent="0.25">
      <x:c r="F8598" s="11"/>
    </x:row>
    <x:row r="8599" spans="6:6" x14ac:dyDescent="0.25">
      <x:c r="F8599" s="11"/>
    </x:row>
    <x:row r="8600" spans="6:6" x14ac:dyDescent="0.25">
      <x:c r="F8600" s="11"/>
    </x:row>
    <x:row r="8601" spans="6:6" x14ac:dyDescent="0.25">
      <x:c r="F8601" s="11"/>
    </x:row>
    <x:row r="8602" spans="6:6" x14ac:dyDescent="0.25">
      <x:c r="F8602" s="11"/>
    </x:row>
    <x:row r="8603" spans="6:6" x14ac:dyDescent="0.25">
      <x:c r="F8603" s="11"/>
    </x:row>
    <x:row r="8604" spans="6:6" x14ac:dyDescent="0.25">
      <x:c r="F8604" s="11"/>
    </x:row>
    <x:row r="8605" spans="6:6" x14ac:dyDescent="0.25">
      <x:c r="F8605" s="11"/>
    </x:row>
    <x:row r="8606" spans="6:6" x14ac:dyDescent="0.25">
      <x:c r="F8606" s="11"/>
    </x:row>
    <x:row r="8607" spans="6:6" x14ac:dyDescent="0.25">
      <x:c r="F8607" s="11"/>
    </x:row>
    <x:row r="8608" spans="6:6" x14ac:dyDescent="0.25">
      <x:c r="F8608" s="11"/>
    </x:row>
    <x:row r="8609" spans="6:6" x14ac:dyDescent="0.25">
      <x:c r="F8609" s="11"/>
    </x:row>
    <x:row r="8610" spans="6:6" x14ac:dyDescent="0.25">
      <x:c r="F8610" s="11"/>
    </x:row>
    <x:row r="8611" spans="6:6" x14ac:dyDescent="0.25">
      <x:c r="F8611" s="11"/>
    </x:row>
    <x:row r="8612" spans="6:6" x14ac:dyDescent="0.25">
      <x:c r="F8612" s="11"/>
    </x:row>
    <x:row r="8613" spans="6:6" x14ac:dyDescent="0.25">
      <x:c r="F8613" s="11"/>
    </x:row>
    <x:row r="8614" spans="6:6" x14ac:dyDescent="0.25">
      <x:c r="F8614" s="11"/>
    </x:row>
    <x:row r="8615" spans="6:6" x14ac:dyDescent="0.25">
      <x:c r="F8615" s="11"/>
    </x:row>
    <x:row r="8616" spans="6:6" x14ac:dyDescent="0.25">
      <x:c r="F8616" s="11"/>
    </x:row>
    <x:row r="8617" spans="6:6" x14ac:dyDescent="0.25">
      <x:c r="F8617" s="11"/>
    </x:row>
    <x:row r="8618" spans="6:6" x14ac:dyDescent="0.25">
      <x:c r="F8618" s="11"/>
    </x:row>
    <x:row r="8619" spans="6:6" x14ac:dyDescent="0.25">
      <x:c r="F8619" s="11"/>
    </x:row>
    <x:row r="8620" spans="6:6" x14ac:dyDescent="0.25">
      <x:c r="F8620" s="11"/>
    </x:row>
    <x:row r="8621" spans="6:6" x14ac:dyDescent="0.25">
      <x:c r="F8621" s="11"/>
    </x:row>
    <x:row r="8622" spans="6:6" x14ac:dyDescent="0.25">
      <x:c r="F8622" s="11"/>
    </x:row>
    <x:row r="8623" spans="6:6" x14ac:dyDescent="0.25">
      <x:c r="F8623" s="11"/>
    </x:row>
    <x:row r="8624" spans="6:6" x14ac:dyDescent="0.25">
      <x:c r="F8624" s="11"/>
    </x:row>
    <x:row r="8625" spans="6:6" x14ac:dyDescent="0.25">
      <x:c r="F8625" s="11"/>
    </x:row>
    <x:row r="8626" spans="6:6" x14ac:dyDescent="0.25">
      <x:c r="F8626" s="11"/>
    </x:row>
    <x:row r="8627" spans="6:6" x14ac:dyDescent="0.25">
      <x:c r="F8627" s="11"/>
    </x:row>
    <x:row r="8628" spans="6:6" x14ac:dyDescent="0.25">
      <x:c r="F8628" s="11"/>
    </x:row>
    <x:row r="8629" spans="6:6" x14ac:dyDescent="0.25">
      <x:c r="F8629" s="11"/>
    </x:row>
    <x:row r="8630" spans="6:6" x14ac:dyDescent="0.25">
      <x:c r="F8630" s="11"/>
    </x:row>
    <x:row r="8631" spans="6:6" x14ac:dyDescent="0.25">
      <x:c r="F8631" s="11"/>
    </x:row>
    <x:row r="8632" spans="6:6" x14ac:dyDescent="0.25">
      <x:c r="F8632" s="11"/>
    </x:row>
    <x:row r="8633" spans="6:6" x14ac:dyDescent="0.25">
      <x:c r="F8633" s="11"/>
    </x:row>
    <x:row r="8634" spans="6:6" x14ac:dyDescent="0.25">
      <x:c r="F8634" s="11"/>
    </x:row>
    <x:row r="8635" spans="6:6" x14ac:dyDescent="0.25">
      <x:c r="F8635" s="11"/>
    </x:row>
    <x:row r="8636" spans="6:6" x14ac:dyDescent="0.25">
      <x:c r="F8636" s="11"/>
    </x:row>
    <x:row r="8637" spans="6:6" x14ac:dyDescent="0.25">
      <x:c r="F8637" s="11"/>
    </x:row>
    <x:row r="8638" spans="6:6" x14ac:dyDescent="0.25">
      <x:c r="F8638" s="11"/>
    </x:row>
    <x:row r="8639" spans="6:6" x14ac:dyDescent="0.25">
      <x:c r="F8639" s="11"/>
    </x:row>
    <x:row r="8640" spans="6:6" x14ac:dyDescent="0.25">
      <x:c r="F8640" s="11"/>
    </x:row>
    <x:row r="8641" spans="6:6" x14ac:dyDescent="0.25">
      <x:c r="F8641" s="11"/>
    </x:row>
    <x:row r="8642" spans="6:6" x14ac:dyDescent="0.25">
      <x:c r="F8642" s="11"/>
    </x:row>
    <x:row r="8643" spans="6:6" x14ac:dyDescent="0.25">
      <x:c r="F8643" s="11"/>
    </x:row>
    <x:row r="8644" spans="6:6" x14ac:dyDescent="0.25">
      <x:c r="F8644" s="11"/>
    </x:row>
    <x:row r="8645" spans="6:6" x14ac:dyDescent="0.25">
      <x:c r="F8645" s="11"/>
    </x:row>
    <x:row r="8646" spans="6:6" x14ac:dyDescent="0.25">
      <x:c r="F8646" s="11"/>
    </x:row>
    <x:row r="8647" spans="6:6" x14ac:dyDescent="0.25">
      <x:c r="F8647" s="11"/>
    </x:row>
    <x:row r="8648" spans="6:6" x14ac:dyDescent="0.25">
      <x:c r="F8648" s="11"/>
    </x:row>
    <x:row r="8649" spans="6:6" x14ac:dyDescent="0.25">
      <x:c r="F8649" s="11"/>
    </x:row>
    <x:row r="8650" spans="6:6" x14ac:dyDescent="0.25">
      <x:c r="F8650" s="11"/>
    </x:row>
    <x:row r="8651" spans="6:6" x14ac:dyDescent="0.25">
      <x:c r="F8651" s="11"/>
    </x:row>
    <x:row r="8652" spans="6:6" x14ac:dyDescent="0.25">
      <x:c r="F8652" s="11"/>
    </x:row>
    <x:row r="8653" spans="6:6" x14ac:dyDescent="0.25">
      <x:c r="F8653" s="11"/>
    </x:row>
    <x:row r="8654" spans="6:6" x14ac:dyDescent="0.25">
      <x:c r="F8654" s="11"/>
    </x:row>
    <x:row r="8655" spans="6:6" x14ac:dyDescent="0.25">
      <x:c r="F8655" s="11"/>
    </x:row>
    <x:row r="8656" spans="6:6" x14ac:dyDescent="0.25">
      <x:c r="F8656" s="11"/>
    </x:row>
    <x:row r="8657" spans="6:6" x14ac:dyDescent="0.25">
      <x:c r="F8657" s="11"/>
    </x:row>
    <x:row r="8658" spans="6:6" x14ac:dyDescent="0.25">
      <x:c r="F8658" s="11"/>
    </x:row>
    <x:row r="8659" spans="6:6" x14ac:dyDescent="0.25">
      <x:c r="F8659" s="11"/>
    </x:row>
    <x:row r="8660" spans="6:6" x14ac:dyDescent="0.25">
      <x:c r="F8660" s="11"/>
    </x:row>
    <x:row r="8661" spans="6:6" x14ac:dyDescent="0.25">
      <x:c r="F8661" s="11"/>
    </x:row>
    <x:row r="8662" spans="6:6" x14ac:dyDescent="0.25">
      <x:c r="F8662" s="11"/>
    </x:row>
    <x:row r="8663" spans="6:6" x14ac:dyDescent="0.25">
      <x:c r="F8663" s="11"/>
    </x:row>
    <x:row r="8664" spans="6:6" x14ac:dyDescent="0.25">
      <x:c r="F8664" s="11"/>
    </x:row>
    <x:row r="8665" spans="6:6" x14ac:dyDescent="0.25">
      <x:c r="F8665" s="11"/>
    </x:row>
    <x:row r="8666" spans="6:6" x14ac:dyDescent="0.25">
      <x:c r="F8666" s="11"/>
    </x:row>
    <x:row r="8667" spans="6:6" x14ac:dyDescent="0.25">
      <x:c r="F8667" s="11"/>
    </x:row>
    <x:row r="8668" spans="6:6" x14ac:dyDescent="0.25">
      <x:c r="F8668" s="11"/>
    </x:row>
    <x:row r="8669" spans="6:6" x14ac:dyDescent="0.25">
      <x:c r="F8669" s="11"/>
    </x:row>
    <x:row r="8670" spans="6:6" x14ac:dyDescent="0.25">
      <x:c r="F8670" s="11"/>
    </x:row>
    <x:row r="8671" spans="6:6" x14ac:dyDescent="0.25">
      <x:c r="F8671" s="11"/>
    </x:row>
    <x:row r="8672" spans="6:6" x14ac:dyDescent="0.25">
      <x:c r="F8672" s="11"/>
    </x:row>
    <x:row r="8673" spans="6:6" x14ac:dyDescent="0.25">
      <x:c r="F8673" s="11"/>
    </x:row>
    <x:row r="8674" spans="6:6" x14ac:dyDescent="0.25">
      <x:c r="F8674" s="11"/>
    </x:row>
    <x:row r="8675" spans="6:6" x14ac:dyDescent="0.25">
      <x:c r="F8675" s="11"/>
    </x:row>
    <x:row r="8676" spans="6:6" x14ac:dyDescent="0.25">
      <x:c r="F8676" s="11"/>
    </x:row>
    <x:row r="8677" spans="6:6" x14ac:dyDescent="0.25">
      <x:c r="F8677" s="11"/>
    </x:row>
    <x:row r="8678" spans="6:6" x14ac:dyDescent="0.25">
      <x:c r="F8678" s="11"/>
    </x:row>
    <x:row r="8679" spans="6:6" x14ac:dyDescent="0.25">
      <x:c r="F8679" s="11"/>
    </x:row>
    <x:row r="8680" spans="6:6" x14ac:dyDescent="0.25">
      <x:c r="F8680" s="11"/>
    </x:row>
    <x:row r="8681" spans="6:6" x14ac:dyDescent="0.25">
      <x:c r="F8681" s="11"/>
    </x:row>
    <x:row r="8682" spans="6:6" x14ac:dyDescent="0.25">
      <x:c r="F8682" s="11"/>
    </x:row>
    <x:row r="8683" spans="6:6" x14ac:dyDescent="0.25">
      <x:c r="F8683" s="11"/>
    </x:row>
    <x:row r="8684" spans="6:6" x14ac:dyDescent="0.25">
      <x:c r="F8684" s="11"/>
    </x:row>
    <x:row r="8685" spans="6:6" x14ac:dyDescent="0.25">
      <x:c r="F8685" s="11"/>
    </x:row>
    <x:row r="8686" spans="6:6" x14ac:dyDescent="0.25">
      <x:c r="F8686" s="11"/>
    </x:row>
    <x:row r="8687" spans="6:6" x14ac:dyDescent="0.25">
      <x:c r="F8687" s="11"/>
    </x:row>
    <x:row r="8688" spans="6:6" x14ac:dyDescent="0.25">
      <x:c r="F8688" s="11"/>
    </x:row>
    <x:row r="8689" spans="6:6" x14ac:dyDescent="0.25">
      <x:c r="F8689" s="11"/>
    </x:row>
    <x:row r="8690" spans="6:6" x14ac:dyDescent="0.25">
      <x:c r="F8690" s="11"/>
    </x:row>
    <x:row r="8691" spans="6:6" x14ac:dyDescent="0.25">
      <x:c r="F8691" s="11"/>
    </x:row>
    <x:row r="8692" spans="6:6" x14ac:dyDescent="0.25">
      <x:c r="F8692" s="11"/>
    </x:row>
    <x:row r="8693" spans="6:6" x14ac:dyDescent="0.25">
      <x:c r="F8693" s="11"/>
    </x:row>
    <x:row r="8694" spans="6:6" x14ac:dyDescent="0.25">
      <x:c r="F8694" s="11"/>
    </x:row>
    <x:row r="8695" spans="6:6" x14ac:dyDescent="0.25">
      <x:c r="F8695" s="11"/>
    </x:row>
    <x:row r="8696" spans="6:6" x14ac:dyDescent="0.25">
      <x:c r="F8696" s="11"/>
    </x:row>
    <x:row r="8697" spans="6:6" x14ac:dyDescent="0.25">
      <x:c r="F8697" s="11"/>
    </x:row>
    <x:row r="8698" spans="6:6" x14ac:dyDescent="0.25">
      <x:c r="F8698" s="11"/>
    </x:row>
    <x:row r="8699" spans="6:6" x14ac:dyDescent="0.25">
      <x:c r="F8699" s="11"/>
    </x:row>
    <x:row r="8700" spans="6:6" x14ac:dyDescent="0.25">
      <x:c r="F8700" s="11"/>
    </x:row>
    <x:row r="8701" spans="6:6" x14ac:dyDescent="0.25">
      <x:c r="F8701" s="11"/>
    </x:row>
    <x:row r="8702" spans="6:6" x14ac:dyDescent="0.25">
      <x:c r="F8702" s="11"/>
    </x:row>
    <x:row r="8703" spans="6:6" x14ac:dyDescent="0.25">
      <x:c r="F8703" s="11"/>
    </x:row>
    <x:row r="8704" spans="6:6" x14ac:dyDescent="0.25">
      <x:c r="F8704" s="11"/>
    </x:row>
    <x:row r="8705" spans="6:6" x14ac:dyDescent="0.25">
      <x:c r="F8705" s="11"/>
    </x:row>
    <x:row r="8706" spans="6:6" x14ac:dyDescent="0.25">
      <x:c r="F8706" s="11"/>
    </x:row>
    <x:row r="8707" spans="6:6" x14ac:dyDescent="0.25">
      <x:c r="F8707" s="11"/>
    </x:row>
    <x:row r="8708" spans="6:6" x14ac:dyDescent="0.25">
      <x:c r="F8708" s="11"/>
    </x:row>
    <x:row r="8709" spans="6:6" x14ac:dyDescent="0.25">
      <x:c r="F8709" s="11"/>
    </x:row>
    <x:row r="8710" spans="6:6" x14ac:dyDescent="0.25">
      <x:c r="F8710" s="11"/>
    </x:row>
    <x:row r="8711" spans="6:6" x14ac:dyDescent="0.25">
      <x:c r="F8711" s="11"/>
    </x:row>
    <x:row r="8712" spans="6:6" x14ac:dyDescent="0.25">
      <x:c r="F8712" s="11"/>
    </x:row>
    <x:row r="8713" spans="6:6" x14ac:dyDescent="0.25">
      <x:c r="F8713" s="11"/>
    </x:row>
    <x:row r="8714" spans="6:6" x14ac:dyDescent="0.25">
      <x:c r="F8714" s="11"/>
    </x:row>
    <x:row r="8715" spans="6:6" x14ac:dyDescent="0.25">
      <x:c r="F8715" s="11"/>
    </x:row>
    <x:row r="8716" spans="6:6" x14ac:dyDescent="0.25">
      <x:c r="F8716" s="11"/>
    </x:row>
    <x:row r="8717" spans="6:6" x14ac:dyDescent="0.25">
      <x:c r="F8717" s="11"/>
    </x:row>
    <x:row r="8718" spans="6:6" x14ac:dyDescent="0.25">
      <x:c r="F8718" s="11"/>
    </x:row>
    <x:row r="8719" spans="6:6" x14ac:dyDescent="0.25">
      <x:c r="F8719" s="11"/>
    </x:row>
    <x:row r="8720" spans="6:6" x14ac:dyDescent="0.25">
      <x:c r="F8720" s="11"/>
    </x:row>
    <x:row r="8721" spans="6:6" x14ac:dyDescent="0.25">
      <x:c r="F8721" s="11"/>
    </x:row>
    <x:row r="8722" spans="6:6" x14ac:dyDescent="0.25">
      <x:c r="F8722" s="11"/>
    </x:row>
    <x:row r="8723" spans="6:6" x14ac:dyDescent="0.25">
      <x:c r="F8723" s="11"/>
    </x:row>
    <x:row r="8724" spans="6:6" x14ac:dyDescent="0.25">
      <x:c r="F8724" s="11"/>
    </x:row>
    <x:row r="8725" spans="6:6" x14ac:dyDescent="0.25">
      <x:c r="F8725" s="11"/>
    </x:row>
    <x:row r="8726" spans="6:6" x14ac:dyDescent="0.25">
      <x:c r="F8726" s="11"/>
    </x:row>
    <x:row r="8727" spans="6:6" x14ac:dyDescent="0.25">
      <x:c r="F8727" s="11"/>
    </x:row>
    <x:row r="8728" spans="6:6" x14ac:dyDescent="0.25">
      <x:c r="F8728" s="11"/>
    </x:row>
    <x:row r="8729" spans="6:6" x14ac:dyDescent="0.25">
      <x:c r="F8729" s="11"/>
    </x:row>
    <x:row r="8730" spans="6:6" x14ac:dyDescent="0.25">
      <x:c r="F8730" s="11"/>
    </x:row>
    <x:row r="8731" spans="6:6" x14ac:dyDescent="0.25">
      <x:c r="F8731" s="11"/>
    </x:row>
    <x:row r="8732" spans="6:6" x14ac:dyDescent="0.25">
      <x:c r="F8732" s="11"/>
    </x:row>
    <x:row r="8733" spans="6:6" x14ac:dyDescent="0.25">
      <x:c r="F8733" s="11"/>
    </x:row>
    <x:row r="8734" spans="6:6" x14ac:dyDescent="0.25">
      <x:c r="F8734" s="11"/>
    </x:row>
    <x:row r="8735" spans="6:6" x14ac:dyDescent="0.25">
      <x:c r="F8735" s="11"/>
    </x:row>
    <x:row r="8736" spans="6:6" x14ac:dyDescent="0.25">
      <x:c r="F8736" s="11"/>
    </x:row>
    <x:row r="8737" spans="6:6" x14ac:dyDescent="0.25">
      <x:c r="F8737" s="11"/>
    </x:row>
    <x:row r="8738" spans="6:6" x14ac:dyDescent="0.25">
      <x:c r="F8738" s="11"/>
    </x:row>
    <x:row r="8739" spans="6:6" x14ac:dyDescent="0.25">
      <x:c r="F8739" s="11"/>
    </x:row>
    <x:row r="8740" spans="6:6" x14ac:dyDescent="0.25">
      <x:c r="F8740" s="11"/>
    </x:row>
    <x:row r="8741" spans="6:6" x14ac:dyDescent="0.25">
      <x:c r="F8741" s="11"/>
    </x:row>
    <x:row r="8742" spans="6:6" x14ac:dyDescent="0.25">
      <x:c r="F8742" s="11"/>
    </x:row>
    <x:row r="8743" spans="6:6" x14ac:dyDescent="0.25">
      <x:c r="F8743" s="11"/>
    </x:row>
    <x:row r="8744" spans="6:6" x14ac:dyDescent="0.25">
      <x:c r="F8744" s="11"/>
    </x:row>
    <x:row r="8745" spans="6:6" x14ac:dyDescent="0.25">
      <x:c r="F8745" s="11"/>
    </x:row>
    <x:row r="8746" spans="6:6" x14ac:dyDescent="0.25">
      <x:c r="F8746" s="11"/>
    </x:row>
    <x:row r="8747" spans="6:6" x14ac:dyDescent="0.25">
      <x:c r="F8747" s="11"/>
    </x:row>
    <x:row r="8748" spans="6:6" x14ac:dyDescent="0.25">
      <x:c r="F8748" s="11"/>
    </x:row>
    <x:row r="8749" spans="6:6" x14ac:dyDescent="0.25">
      <x:c r="F8749" s="11"/>
    </x:row>
    <x:row r="8750" spans="6:6" x14ac:dyDescent="0.25">
      <x:c r="F8750" s="11"/>
    </x:row>
    <x:row r="8751" spans="6:6" x14ac:dyDescent="0.25">
      <x:c r="F8751" s="11"/>
    </x:row>
    <x:row r="8752" spans="6:6" x14ac:dyDescent="0.25">
      <x:c r="F8752" s="11"/>
    </x:row>
    <x:row r="8753" spans="6:6" x14ac:dyDescent="0.25">
      <x:c r="F8753" s="11"/>
    </x:row>
    <x:row r="8754" spans="6:6" x14ac:dyDescent="0.25">
      <x:c r="F8754" s="11"/>
    </x:row>
    <x:row r="8755" spans="6:6" x14ac:dyDescent="0.25">
      <x:c r="F8755" s="11"/>
    </x:row>
    <x:row r="8756" spans="6:6" x14ac:dyDescent="0.25">
      <x:c r="F8756" s="11"/>
    </x:row>
    <x:row r="8757" spans="6:6" x14ac:dyDescent="0.25">
      <x:c r="F8757" s="11"/>
    </x:row>
    <x:row r="8758" spans="6:6" x14ac:dyDescent="0.25">
      <x:c r="F8758" s="11"/>
    </x:row>
    <x:row r="8759" spans="6:6" x14ac:dyDescent="0.25">
      <x:c r="F8759" s="11"/>
    </x:row>
    <x:row r="8760" spans="6:6" x14ac:dyDescent="0.25">
      <x:c r="F8760" s="11"/>
    </x:row>
    <x:row r="8761" spans="6:6" x14ac:dyDescent="0.25">
      <x:c r="F8761" s="11"/>
    </x:row>
    <x:row r="8762" spans="6:6" x14ac:dyDescent="0.25">
      <x:c r="F8762" s="11"/>
    </x:row>
    <x:row r="8763" spans="6:6" x14ac:dyDescent="0.25">
      <x:c r="F8763" s="11"/>
    </x:row>
    <x:row r="8764" spans="6:6" x14ac:dyDescent="0.25">
      <x:c r="F8764" s="11"/>
    </x:row>
    <x:row r="8765" spans="6:6" x14ac:dyDescent="0.25">
      <x:c r="F8765" s="11"/>
    </x:row>
    <x:row r="8766" spans="6:6" x14ac:dyDescent="0.25">
      <x:c r="F8766" s="11"/>
    </x:row>
    <x:row r="8767" spans="6:6" x14ac:dyDescent="0.25">
      <x:c r="F8767" s="11"/>
    </x:row>
    <x:row r="8768" spans="6:6" x14ac:dyDescent="0.25">
      <x:c r="F8768" s="11"/>
    </x:row>
    <x:row r="8769" spans="6:6" x14ac:dyDescent="0.25">
      <x:c r="F8769" s="11"/>
    </x:row>
    <x:row r="8770" spans="6:6" x14ac:dyDescent="0.25">
      <x:c r="F8770" s="11"/>
    </x:row>
    <x:row r="8771" spans="6:6" x14ac:dyDescent="0.25">
      <x:c r="F8771" s="11"/>
    </x:row>
    <x:row r="8772" spans="6:6" x14ac:dyDescent="0.25">
      <x:c r="F8772" s="11"/>
    </x:row>
    <x:row r="8773" spans="6:6" x14ac:dyDescent="0.25">
      <x:c r="F8773" s="11"/>
    </x:row>
    <x:row r="8774" spans="6:6" x14ac:dyDescent="0.25">
      <x:c r="F8774" s="11"/>
    </x:row>
    <x:row r="8775" spans="6:6" x14ac:dyDescent="0.25">
      <x:c r="F8775" s="11"/>
    </x:row>
    <x:row r="8776" spans="6:6" x14ac:dyDescent="0.25">
      <x:c r="F8776" s="11"/>
    </x:row>
    <x:row r="8777" spans="6:6" x14ac:dyDescent="0.25">
      <x:c r="F8777" s="11"/>
    </x:row>
    <x:row r="8778" spans="6:6" x14ac:dyDescent="0.25">
      <x:c r="F8778" s="11"/>
    </x:row>
    <x:row r="8779" spans="6:6" x14ac:dyDescent="0.25">
      <x:c r="F8779" s="11"/>
    </x:row>
    <x:row r="8780" spans="6:6" x14ac:dyDescent="0.25">
      <x:c r="F8780" s="11"/>
    </x:row>
    <x:row r="8781" spans="6:6" x14ac:dyDescent="0.25">
      <x:c r="F8781" s="11"/>
    </x:row>
    <x:row r="8782" spans="6:6" x14ac:dyDescent="0.25">
      <x:c r="F8782" s="11"/>
    </x:row>
    <x:row r="8783" spans="6:6" x14ac:dyDescent="0.25">
      <x:c r="F8783" s="11"/>
    </x:row>
    <x:row r="8784" spans="6:6" x14ac:dyDescent="0.25">
      <x:c r="F8784" s="11"/>
    </x:row>
    <x:row r="8785" spans="6:6" x14ac:dyDescent="0.25">
      <x:c r="F8785" s="11"/>
    </x:row>
    <x:row r="8786" spans="6:6" x14ac:dyDescent="0.25">
      <x:c r="F8786" s="11"/>
    </x:row>
    <x:row r="8787" spans="6:6" x14ac:dyDescent="0.25">
      <x:c r="F8787" s="11"/>
    </x:row>
    <x:row r="8788" spans="6:6" x14ac:dyDescent="0.25">
      <x:c r="F8788" s="11"/>
    </x:row>
    <x:row r="8789" spans="6:6" x14ac:dyDescent="0.25">
      <x:c r="F8789" s="11"/>
    </x:row>
    <x:row r="8790" spans="6:6" x14ac:dyDescent="0.25">
      <x:c r="F8790" s="11"/>
    </x:row>
    <x:row r="8791" spans="6:6" x14ac:dyDescent="0.25">
      <x:c r="F8791" s="11"/>
    </x:row>
    <x:row r="8792" spans="6:6" x14ac:dyDescent="0.25">
      <x:c r="F8792" s="11"/>
    </x:row>
    <x:row r="8793" spans="6:6" x14ac:dyDescent="0.25">
      <x:c r="F8793" s="11"/>
    </x:row>
    <x:row r="8794" spans="6:6" x14ac:dyDescent="0.25">
      <x:c r="F8794" s="11"/>
    </x:row>
    <x:row r="8795" spans="6:6" x14ac:dyDescent="0.25">
      <x:c r="F8795" s="11"/>
    </x:row>
    <x:row r="8796" spans="6:6" x14ac:dyDescent="0.25">
      <x:c r="F8796" s="11"/>
    </x:row>
    <x:row r="8797" spans="6:6" x14ac:dyDescent="0.25">
      <x:c r="F8797" s="11"/>
    </x:row>
    <x:row r="8798" spans="6:6" x14ac:dyDescent="0.25">
      <x:c r="F8798" s="11"/>
    </x:row>
    <x:row r="8799" spans="6:6" x14ac:dyDescent="0.25">
      <x:c r="F8799" s="11"/>
    </x:row>
    <x:row r="8800" spans="6:6" x14ac:dyDescent="0.25">
      <x:c r="F8800" s="11"/>
    </x:row>
    <x:row r="8801" spans="6:6" x14ac:dyDescent="0.25">
      <x:c r="F8801" s="11"/>
    </x:row>
    <x:row r="8802" spans="6:6" x14ac:dyDescent="0.25">
      <x:c r="F8802" s="11"/>
    </x:row>
    <x:row r="8803" spans="6:6" x14ac:dyDescent="0.25">
      <x:c r="F8803" s="11"/>
    </x:row>
    <x:row r="8804" spans="6:6" x14ac:dyDescent="0.25">
      <x:c r="F8804" s="11"/>
    </x:row>
    <x:row r="8805" spans="6:6" x14ac:dyDescent="0.25">
      <x:c r="F8805" s="11"/>
    </x:row>
    <x:row r="8806" spans="6:6" x14ac:dyDescent="0.25">
      <x:c r="F8806" s="11"/>
    </x:row>
    <x:row r="8807" spans="6:6" x14ac:dyDescent="0.25">
      <x:c r="F8807" s="11"/>
    </x:row>
    <x:row r="8808" spans="6:6" x14ac:dyDescent="0.25">
      <x:c r="F8808" s="11"/>
    </x:row>
    <x:row r="8809" spans="6:6" x14ac:dyDescent="0.25">
      <x:c r="F8809" s="11"/>
    </x:row>
    <x:row r="8810" spans="6:6" x14ac:dyDescent="0.25">
      <x:c r="F8810" s="11"/>
    </x:row>
    <x:row r="8811" spans="6:6" x14ac:dyDescent="0.25">
      <x:c r="F8811" s="11"/>
    </x:row>
    <x:row r="8812" spans="6:6" x14ac:dyDescent="0.25">
      <x:c r="F8812" s="11"/>
    </x:row>
    <x:row r="8813" spans="6:6" x14ac:dyDescent="0.25">
      <x:c r="F8813" s="11"/>
    </x:row>
    <x:row r="8814" spans="6:6" x14ac:dyDescent="0.25">
      <x:c r="F8814" s="11"/>
    </x:row>
    <x:row r="8815" spans="6:6" x14ac:dyDescent="0.25">
      <x:c r="F8815" s="11"/>
    </x:row>
    <x:row r="8816" spans="6:6" x14ac:dyDescent="0.25">
      <x:c r="F8816" s="11"/>
    </x:row>
    <x:row r="8817" spans="6:6" x14ac:dyDescent="0.25">
      <x:c r="F8817" s="11"/>
    </x:row>
    <x:row r="8818" spans="6:6" x14ac:dyDescent="0.25">
      <x:c r="F8818" s="11"/>
    </x:row>
    <x:row r="8819" spans="6:6" x14ac:dyDescent="0.25">
      <x:c r="F8819" s="11"/>
    </x:row>
    <x:row r="8820" spans="6:6" x14ac:dyDescent="0.25">
      <x:c r="F8820" s="11"/>
    </x:row>
    <x:row r="8821" spans="6:6" x14ac:dyDescent="0.25">
      <x:c r="F8821" s="11"/>
    </x:row>
    <x:row r="8822" spans="6:6" x14ac:dyDescent="0.25">
      <x:c r="F8822" s="11"/>
    </x:row>
    <x:row r="8823" spans="6:6" x14ac:dyDescent="0.25">
      <x:c r="F8823" s="11"/>
    </x:row>
    <x:row r="8824" spans="6:6" x14ac:dyDescent="0.25">
      <x:c r="F8824" s="11"/>
    </x:row>
    <x:row r="8825" spans="6:6" x14ac:dyDescent="0.25">
      <x:c r="F8825" s="11"/>
    </x:row>
    <x:row r="8826" spans="6:6" x14ac:dyDescent="0.25">
      <x:c r="F8826" s="11"/>
    </x:row>
    <x:row r="8827" spans="6:6" x14ac:dyDescent="0.25">
      <x:c r="F8827" s="11"/>
    </x:row>
    <x:row r="8828" spans="6:6" x14ac:dyDescent="0.25">
      <x:c r="F8828" s="11"/>
    </x:row>
    <x:row r="8829" spans="6:6" x14ac:dyDescent="0.25">
      <x:c r="F8829" s="11"/>
    </x:row>
    <x:row r="8830" spans="6:6" x14ac:dyDescent="0.25">
      <x:c r="F8830" s="11"/>
    </x:row>
    <x:row r="8831" spans="6:6" x14ac:dyDescent="0.25">
      <x:c r="F8831" s="11"/>
    </x:row>
    <x:row r="8832" spans="6:6" x14ac:dyDescent="0.25">
      <x:c r="F8832" s="11"/>
    </x:row>
    <x:row r="8833" spans="6:6" x14ac:dyDescent="0.25">
      <x:c r="F8833" s="11"/>
    </x:row>
    <x:row r="8834" spans="6:6" x14ac:dyDescent="0.25">
      <x:c r="F8834" s="11"/>
    </x:row>
    <x:row r="8835" spans="6:6" x14ac:dyDescent="0.25">
      <x:c r="F8835" s="11"/>
    </x:row>
    <x:row r="8836" spans="6:6" x14ac:dyDescent="0.25">
      <x:c r="F8836" s="11"/>
    </x:row>
    <x:row r="8837" spans="6:6" x14ac:dyDescent="0.25">
      <x:c r="F8837" s="11"/>
    </x:row>
    <x:row r="8838" spans="6:6" x14ac:dyDescent="0.25">
      <x:c r="F8838" s="11"/>
    </x:row>
    <x:row r="8839" spans="6:6" x14ac:dyDescent="0.25">
      <x:c r="F8839" s="11"/>
    </x:row>
    <x:row r="8840" spans="6:6" x14ac:dyDescent="0.25">
      <x:c r="F8840" s="11"/>
    </x:row>
    <x:row r="8841" spans="6:6" x14ac:dyDescent="0.25">
      <x:c r="F8841" s="11"/>
    </x:row>
    <x:row r="8842" spans="6:6" x14ac:dyDescent="0.25">
      <x:c r="F8842" s="11"/>
    </x:row>
    <x:row r="8843" spans="6:6" x14ac:dyDescent="0.25">
      <x:c r="F8843" s="11"/>
    </x:row>
    <x:row r="8844" spans="6:6" x14ac:dyDescent="0.25">
      <x:c r="F8844" s="11"/>
    </x:row>
    <x:row r="8845" spans="6:6" x14ac:dyDescent="0.25">
      <x:c r="F8845" s="11"/>
    </x:row>
    <x:row r="8846" spans="6:6" x14ac:dyDescent="0.25">
      <x:c r="F8846" s="11"/>
    </x:row>
    <x:row r="8847" spans="6:6" x14ac:dyDescent="0.25">
      <x:c r="F8847" s="11"/>
    </x:row>
    <x:row r="8848" spans="6:6" x14ac:dyDescent="0.25">
      <x:c r="F8848" s="11"/>
    </x:row>
    <x:row r="8849" spans="6:6" x14ac:dyDescent="0.25">
      <x:c r="F8849" s="11"/>
    </x:row>
    <x:row r="8850" spans="6:6" x14ac:dyDescent="0.25">
      <x:c r="F8850" s="11"/>
    </x:row>
    <x:row r="8851" spans="6:6" x14ac:dyDescent="0.25">
      <x:c r="F8851" s="11"/>
    </x:row>
    <x:row r="8852" spans="6:6" x14ac:dyDescent="0.25">
      <x:c r="F8852" s="11"/>
    </x:row>
    <x:row r="8853" spans="6:6" x14ac:dyDescent="0.25">
      <x:c r="F8853" s="11"/>
    </x:row>
    <x:row r="8854" spans="6:6" x14ac:dyDescent="0.25">
      <x:c r="F8854" s="11"/>
    </x:row>
    <x:row r="8855" spans="6:6" x14ac:dyDescent="0.25">
      <x:c r="F8855" s="11"/>
    </x:row>
    <x:row r="8856" spans="6:6" x14ac:dyDescent="0.25">
      <x:c r="F8856" s="11"/>
    </x:row>
    <x:row r="8857" spans="6:6" x14ac:dyDescent="0.25">
      <x:c r="F8857" s="11"/>
    </x:row>
    <x:row r="8858" spans="6:6" x14ac:dyDescent="0.25">
      <x:c r="F8858" s="11"/>
    </x:row>
    <x:row r="8859" spans="6:6" x14ac:dyDescent="0.25">
      <x:c r="F8859" s="11"/>
    </x:row>
    <x:row r="8860" spans="6:6" x14ac:dyDescent="0.25">
      <x:c r="F8860" s="11"/>
    </x:row>
    <x:row r="8861" spans="6:6" x14ac:dyDescent="0.25">
      <x:c r="F8861" s="11"/>
    </x:row>
    <x:row r="8862" spans="6:6" x14ac:dyDescent="0.25">
      <x:c r="F8862" s="11"/>
    </x:row>
    <x:row r="8863" spans="6:6" x14ac:dyDescent="0.25">
      <x:c r="F8863" s="11"/>
    </x:row>
    <x:row r="8864" spans="6:6" x14ac:dyDescent="0.25">
      <x:c r="F8864" s="11"/>
    </x:row>
    <x:row r="8865" spans="6:6" x14ac:dyDescent="0.25">
      <x:c r="F8865" s="11"/>
    </x:row>
    <x:row r="8866" spans="6:6" x14ac:dyDescent="0.25">
      <x:c r="F8866" s="11"/>
    </x:row>
    <x:row r="8867" spans="6:6" x14ac:dyDescent="0.25">
      <x:c r="F8867" s="11"/>
    </x:row>
    <x:row r="8868" spans="6:6" x14ac:dyDescent="0.25">
      <x:c r="F8868" s="11"/>
    </x:row>
    <x:row r="8869" spans="6:6" x14ac:dyDescent="0.25">
      <x:c r="F8869" s="11"/>
    </x:row>
    <x:row r="8870" spans="6:6" x14ac:dyDescent="0.25">
      <x:c r="F8870" s="11"/>
    </x:row>
    <x:row r="8871" spans="6:6" x14ac:dyDescent="0.25">
      <x:c r="F8871" s="11"/>
    </x:row>
    <x:row r="8872" spans="6:6" x14ac:dyDescent="0.25">
      <x:c r="F8872" s="11"/>
    </x:row>
    <x:row r="8873" spans="6:6" x14ac:dyDescent="0.25">
      <x:c r="F8873" s="11"/>
    </x:row>
    <x:row r="8874" spans="6:6" x14ac:dyDescent="0.25">
      <x:c r="F8874" s="11"/>
    </x:row>
    <x:row r="8875" spans="6:6" x14ac:dyDescent="0.25">
      <x:c r="F8875" s="11"/>
    </x:row>
    <x:row r="8876" spans="6:6" x14ac:dyDescent="0.25">
      <x:c r="F8876" s="11"/>
    </x:row>
    <x:row r="8877" spans="6:6" x14ac:dyDescent="0.25">
      <x:c r="F8877" s="11"/>
    </x:row>
    <x:row r="8878" spans="6:6" x14ac:dyDescent="0.25">
      <x:c r="F8878" s="11"/>
    </x:row>
    <x:row r="8879" spans="6:6" x14ac:dyDescent="0.25">
      <x:c r="F8879" s="11"/>
    </x:row>
    <x:row r="8880" spans="6:6" x14ac:dyDescent="0.25">
      <x:c r="F8880" s="11"/>
    </x:row>
    <x:row r="8881" spans="6:6" x14ac:dyDescent="0.25">
      <x:c r="F8881" s="11"/>
    </x:row>
    <x:row r="8882" spans="6:6" x14ac:dyDescent="0.25">
      <x:c r="F8882" s="11"/>
    </x:row>
    <x:row r="8883" spans="6:6" x14ac:dyDescent="0.25">
      <x:c r="F8883" s="11"/>
    </x:row>
    <x:row r="8884" spans="6:6" x14ac:dyDescent="0.25">
      <x:c r="F8884" s="11"/>
    </x:row>
    <x:row r="8885" spans="6:6" x14ac:dyDescent="0.25">
      <x:c r="F8885" s="11"/>
    </x:row>
    <x:row r="8886" spans="6:6" x14ac:dyDescent="0.25">
      <x:c r="F8886" s="11"/>
    </x:row>
    <x:row r="8887" spans="6:6" x14ac:dyDescent="0.25">
      <x:c r="F8887" s="11"/>
    </x:row>
    <x:row r="8888" spans="6:6" x14ac:dyDescent="0.25">
      <x:c r="F8888" s="11"/>
    </x:row>
    <x:row r="8889" spans="6:6" x14ac:dyDescent="0.25">
      <x:c r="F8889" s="11"/>
    </x:row>
    <x:row r="8890" spans="6:6" x14ac:dyDescent="0.25">
      <x:c r="F8890" s="11"/>
    </x:row>
    <x:row r="8891" spans="6:6" x14ac:dyDescent="0.25">
      <x:c r="F8891" s="11"/>
    </x:row>
    <x:row r="8892" spans="6:6" x14ac:dyDescent="0.25">
      <x:c r="F8892" s="11"/>
    </x:row>
    <x:row r="8893" spans="6:6" x14ac:dyDescent="0.25">
      <x:c r="F8893" s="11"/>
    </x:row>
    <x:row r="8894" spans="6:6" x14ac:dyDescent="0.25">
      <x:c r="F8894" s="11"/>
    </x:row>
    <x:row r="8895" spans="6:6" x14ac:dyDescent="0.25">
      <x:c r="F8895" s="11"/>
    </x:row>
    <x:row r="8896" spans="6:6" x14ac:dyDescent="0.25">
      <x:c r="F8896" s="11"/>
    </x:row>
    <x:row r="8897" spans="6:6" x14ac:dyDescent="0.25">
      <x:c r="F8897" s="11"/>
    </x:row>
    <x:row r="8898" spans="6:6" x14ac:dyDescent="0.25">
      <x:c r="F8898" s="11"/>
    </x:row>
    <x:row r="8899" spans="6:6" x14ac:dyDescent="0.25">
      <x:c r="F8899" s="11"/>
    </x:row>
    <x:row r="8900" spans="6:6" x14ac:dyDescent="0.25">
      <x:c r="F8900" s="11"/>
    </x:row>
    <x:row r="8901" spans="6:6" x14ac:dyDescent="0.25">
      <x:c r="F8901" s="11"/>
    </x:row>
    <x:row r="8902" spans="6:6" x14ac:dyDescent="0.25">
      <x:c r="F8902" s="11"/>
    </x:row>
    <x:row r="8903" spans="6:6" x14ac:dyDescent="0.25">
      <x:c r="F8903" s="11"/>
    </x:row>
    <x:row r="8904" spans="6:6" x14ac:dyDescent="0.25">
      <x:c r="F8904" s="11"/>
    </x:row>
    <x:row r="8905" spans="6:6" x14ac:dyDescent="0.25">
      <x:c r="F8905" s="11"/>
    </x:row>
    <x:row r="8906" spans="6:6" x14ac:dyDescent="0.25">
      <x:c r="F8906" s="11"/>
    </x:row>
    <x:row r="8907" spans="6:6" x14ac:dyDescent="0.25">
      <x:c r="F8907" s="11"/>
    </x:row>
    <x:row r="8908" spans="6:6" x14ac:dyDescent="0.25">
      <x:c r="F8908" s="11"/>
    </x:row>
    <x:row r="8909" spans="6:6" x14ac:dyDescent="0.25">
      <x:c r="F8909" s="11"/>
    </x:row>
    <x:row r="8910" spans="6:6" x14ac:dyDescent="0.25">
      <x:c r="F8910" s="11"/>
    </x:row>
    <x:row r="8911" spans="6:6" x14ac:dyDescent="0.25">
      <x:c r="F8911" s="11"/>
    </x:row>
    <x:row r="8912" spans="6:6" x14ac:dyDescent="0.25">
      <x:c r="F8912" s="11"/>
    </x:row>
    <x:row r="8913" spans="6:6" x14ac:dyDescent="0.25">
      <x:c r="F8913" s="11"/>
    </x:row>
    <x:row r="8914" spans="6:6" x14ac:dyDescent="0.25">
      <x:c r="F8914" s="11"/>
    </x:row>
    <x:row r="8915" spans="6:6" x14ac:dyDescent="0.25">
      <x:c r="F8915" s="11"/>
    </x:row>
    <x:row r="8916" spans="6:6" x14ac:dyDescent="0.25">
      <x:c r="F8916" s="11"/>
    </x:row>
    <x:row r="8917" spans="6:6" x14ac:dyDescent="0.25">
      <x:c r="F8917" s="11"/>
    </x:row>
    <x:row r="8918" spans="6:6" x14ac:dyDescent="0.25">
      <x:c r="F8918" s="11"/>
    </x:row>
    <x:row r="8919" spans="6:6" x14ac:dyDescent="0.25">
      <x:c r="F8919" s="11"/>
    </x:row>
    <x:row r="8920" spans="6:6" x14ac:dyDescent="0.25">
      <x:c r="F8920" s="11"/>
    </x:row>
    <x:row r="8921" spans="6:6" x14ac:dyDescent="0.25">
      <x:c r="F8921" s="11"/>
    </x:row>
    <x:row r="8922" spans="6:6" x14ac:dyDescent="0.25">
      <x:c r="F8922" s="11"/>
    </x:row>
    <x:row r="8923" spans="6:6" x14ac:dyDescent="0.25">
      <x:c r="F8923" s="11"/>
    </x:row>
    <x:row r="8924" spans="6:6" x14ac:dyDescent="0.25">
      <x:c r="F8924" s="11"/>
    </x:row>
    <x:row r="8925" spans="6:6" x14ac:dyDescent="0.25">
      <x:c r="F8925" s="11"/>
    </x:row>
    <x:row r="8926" spans="6:6" x14ac:dyDescent="0.25">
      <x:c r="F8926" s="11"/>
    </x:row>
    <x:row r="8927" spans="6:6" x14ac:dyDescent="0.25">
      <x:c r="F8927" s="11"/>
    </x:row>
    <x:row r="8928" spans="6:6" x14ac:dyDescent="0.25">
      <x:c r="F8928" s="11"/>
    </x:row>
    <x:row r="8929" spans="6:6" x14ac:dyDescent="0.25">
      <x:c r="F8929" s="11"/>
    </x:row>
    <x:row r="8930" spans="6:6" x14ac:dyDescent="0.25">
      <x:c r="F8930" s="11"/>
    </x:row>
    <x:row r="8931" spans="6:6" x14ac:dyDescent="0.25">
      <x:c r="F8931" s="11"/>
    </x:row>
    <x:row r="8932" spans="6:6" x14ac:dyDescent="0.25">
      <x:c r="F8932" s="11"/>
    </x:row>
    <x:row r="8933" spans="6:6" x14ac:dyDescent="0.25">
      <x:c r="F8933" s="11"/>
    </x:row>
    <x:row r="8934" spans="6:6" x14ac:dyDescent="0.25">
      <x:c r="F8934" s="11"/>
    </x:row>
    <x:row r="8935" spans="6:6" x14ac:dyDescent="0.25">
      <x:c r="F8935" s="11"/>
    </x:row>
    <x:row r="8936" spans="6:6" x14ac:dyDescent="0.25">
      <x:c r="F8936" s="11"/>
    </x:row>
    <x:row r="8937" spans="6:6" x14ac:dyDescent="0.25">
      <x:c r="F8937" s="11"/>
    </x:row>
    <x:row r="8938" spans="6:6" x14ac:dyDescent="0.25">
      <x:c r="F8938" s="11"/>
    </x:row>
    <x:row r="8939" spans="6:6" x14ac:dyDescent="0.25">
      <x:c r="F8939" s="11"/>
    </x:row>
    <x:row r="8940" spans="6:6" x14ac:dyDescent="0.25">
      <x:c r="F8940" s="11"/>
    </x:row>
    <x:row r="8941" spans="6:6" x14ac:dyDescent="0.25">
      <x:c r="F8941" s="11"/>
    </x:row>
    <x:row r="8942" spans="6:6" x14ac:dyDescent="0.25">
      <x:c r="F8942" s="11"/>
    </x:row>
    <x:row r="8943" spans="6:6" x14ac:dyDescent="0.25">
      <x:c r="F8943" s="11"/>
    </x:row>
    <x:row r="8944" spans="6:6" x14ac:dyDescent="0.25">
      <x:c r="F8944" s="11"/>
    </x:row>
    <x:row r="8945" spans="6:6" x14ac:dyDescent="0.25">
      <x:c r="F8945" s="11"/>
    </x:row>
    <x:row r="8946" spans="6:6" x14ac:dyDescent="0.25">
      <x:c r="F8946" s="11"/>
    </x:row>
    <x:row r="8947" spans="6:6" x14ac:dyDescent="0.25">
      <x:c r="F8947" s="11"/>
    </x:row>
    <x:row r="8948" spans="6:6" x14ac:dyDescent="0.25">
      <x:c r="F8948" s="11"/>
    </x:row>
    <x:row r="8949" spans="6:6" x14ac:dyDescent="0.25">
      <x:c r="F8949" s="11"/>
    </x:row>
    <x:row r="8950" spans="6:6" x14ac:dyDescent="0.25">
      <x:c r="F8950" s="11"/>
    </x:row>
    <x:row r="8951" spans="6:6" x14ac:dyDescent="0.25">
      <x:c r="F8951" s="11"/>
    </x:row>
    <x:row r="8952" spans="6:6" x14ac:dyDescent="0.25">
      <x:c r="F8952" s="11"/>
    </x:row>
    <x:row r="8953" spans="6:6" x14ac:dyDescent="0.25">
      <x:c r="F8953" s="11"/>
    </x:row>
    <x:row r="8954" spans="6:6" x14ac:dyDescent="0.25">
      <x:c r="F8954" s="11"/>
    </x:row>
    <x:row r="8955" spans="6:6" x14ac:dyDescent="0.25">
      <x:c r="F8955" s="11"/>
    </x:row>
    <x:row r="8956" spans="6:6" x14ac:dyDescent="0.25">
      <x:c r="F8956" s="11"/>
    </x:row>
    <x:row r="8957" spans="6:6" x14ac:dyDescent="0.25">
      <x:c r="F8957" s="11"/>
    </x:row>
    <x:row r="8958" spans="6:6" x14ac:dyDescent="0.25">
      <x:c r="F8958" s="11"/>
    </x:row>
    <x:row r="8959" spans="6:6" x14ac:dyDescent="0.25">
      <x:c r="F8959" s="11"/>
    </x:row>
    <x:row r="8960" spans="6:6" x14ac:dyDescent="0.25">
      <x:c r="F8960" s="11"/>
    </x:row>
    <x:row r="8961" spans="6:6" x14ac:dyDescent="0.25">
      <x:c r="F8961" s="11"/>
    </x:row>
    <x:row r="8962" spans="6:6" x14ac:dyDescent="0.25">
      <x:c r="F8962" s="11"/>
    </x:row>
    <x:row r="8963" spans="6:6" x14ac:dyDescent="0.25">
      <x:c r="F8963" s="11"/>
    </x:row>
    <x:row r="8964" spans="6:6" x14ac:dyDescent="0.25">
      <x:c r="F8964" s="11"/>
    </x:row>
    <x:row r="8965" spans="6:6" x14ac:dyDescent="0.25">
      <x:c r="F8965" s="11"/>
    </x:row>
    <x:row r="8966" spans="6:6" x14ac:dyDescent="0.25">
      <x:c r="F8966" s="11"/>
    </x:row>
    <x:row r="8967" spans="6:6" x14ac:dyDescent="0.25">
      <x:c r="F8967" s="11"/>
    </x:row>
    <x:row r="8968" spans="6:6" x14ac:dyDescent="0.25">
      <x:c r="F8968" s="11"/>
    </x:row>
    <x:row r="8969" spans="6:6" x14ac:dyDescent="0.25">
      <x:c r="F8969" s="11"/>
    </x:row>
    <x:row r="8970" spans="6:6" x14ac:dyDescent="0.25">
      <x:c r="F8970" s="11"/>
    </x:row>
    <x:row r="8971" spans="6:6" x14ac:dyDescent="0.25">
      <x:c r="F8971" s="11"/>
    </x:row>
    <x:row r="8972" spans="6:6" x14ac:dyDescent="0.25">
      <x:c r="F8972" s="11"/>
    </x:row>
    <x:row r="8973" spans="6:6" x14ac:dyDescent="0.25">
      <x:c r="F8973" s="11"/>
    </x:row>
    <x:row r="8974" spans="6:6" x14ac:dyDescent="0.25">
      <x:c r="F8974" s="11"/>
    </x:row>
    <x:row r="8975" spans="6:6" x14ac:dyDescent="0.25">
      <x:c r="F8975" s="11"/>
    </x:row>
    <x:row r="8976" spans="6:6" x14ac:dyDescent="0.25">
      <x:c r="F8976" s="11"/>
    </x:row>
    <x:row r="8977" spans="6:6" x14ac:dyDescent="0.25">
      <x:c r="F8977" s="11"/>
    </x:row>
    <x:row r="8978" spans="6:6" x14ac:dyDescent="0.25">
      <x:c r="F8978" s="11"/>
    </x:row>
    <x:row r="8979" spans="6:6" x14ac:dyDescent="0.25">
      <x:c r="F8979" s="11"/>
    </x:row>
    <x:row r="8980" spans="6:6" x14ac:dyDescent="0.25">
      <x:c r="F8980" s="11"/>
    </x:row>
    <x:row r="8981" spans="6:6" x14ac:dyDescent="0.25">
      <x:c r="F8981" s="11"/>
    </x:row>
    <x:row r="8982" spans="6:6" x14ac:dyDescent="0.25">
      <x:c r="F8982" s="11"/>
    </x:row>
    <x:row r="8983" spans="6:6" x14ac:dyDescent="0.25">
      <x:c r="F8983" s="11"/>
    </x:row>
    <x:row r="8984" spans="6:6" x14ac:dyDescent="0.25">
      <x:c r="F8984" s="11"/>
    </x:row>
    <x:row r="8985" spans="6:6" x14ac:dyDescent="0.25">
      <x:c r="F8985" s="11"/>
    </x:row>
    <x:row r="8986" spans="6:6" x14ac:dyDescent="0.25">
      <x:c r="F8986" s="11"/>
    </x:row>
    <x:row r="8987" spans="6:6" x14ac:dyDescent="0.25">
      <x:c r="F8987" s="11"/>
    </x:row>
    <x:row r="8988" spans="6:6" x14ac:dyDescent="0.25">
      <x:c r="F8988" s="11"/>
    </x:row>
    <x:row r="8989" spans="6:6" x14ac:dyDescent="0.25">
      <x:c r="F8989" s="11"/>
    </x:row>
    <x:row r="8990" spans="6:6" x14ac:dyDescent="0.25">
      <x:c r="F8990" s="11"/>
    </x:row>
    <x:row r="8991" spans="6:6" x14ac:dyDescent="0.25">
      <x:c r="F8991" s="11"/>
    </x:row>
    <x:row r="8992" spans="6:6" x14ac:dyDescent="0.25">
      <x:c r="F8992" s="11"/>
    </x:row>
    <x:row r="8993" spans="6:6" x14ac:dyDescent="0.25">
      <x:c r="F8993" s="11"/>
    </x:row>
    <x:row r="8994" spans="6:6" x14ac:dyDescent="0.25">
      <x:c r="F8994" s="11"/>
    </x:row>
    <x:row r="8995" spans="6:6" x14ac:dyDescent="0.25">
      <x:c r="F8995" s="11"/>
    </x:row>
    <x:row r="8996" spans="6:6" x14ac:dyDescent="0.25">
      <x:c r="F8996" s="11"/>
    </x:row>
    <x:row r="8997" spans="6:6" x14ac:dyDescent="0.25">
      <x:c r="F8997" s="11"/>
    </x:row>
    <x:row r="8998" spans="6:6" x14ac:dyDescent="0.25">
      <x:c r="F8998" s="11"/>
    </x:row>
    <x:row r="8999" spans="6:6" x14ac:dyDescent="0.25">
      <x:c r="F8999" s="11"/>
    </x:row>
    <x:row r="9000" spans="6:6" x14ac:dyDescent="0.25">
      <x:c r="F9000" s="11"/>
    </x:row>
    <x:row r="9001" spans="6:6" x14ac:dyDescent="0.25">
      <x:c r="F9001" s="11"/>
    </x:row>
    <x:row r="9002" spans="6:6" x14ac:dyDescent="0.25">
      <x:c r="F9002" s="11"/>
    </x:row>
    <x:row r="9003" spans="6:6" x14ac:dyDescent="0.25">
      <x:c r="F9003" s="11"/>
    </x:row>
    <x:row r="9004" spans="6:6" x14ac:dyDescent="0.25">
      <x:c r="F9004" s="11"/>
    </x:row>
    <x:row r="9005" spans="6:6" x14ac:dyDescent="0.25">
      <x:c r="F9005" s="11"/>
    </x:row>
    <x:row r="9006" spans="6:6" x14ac:dyDescent="0.25">
      <x:c r="F9006" s="11"/>
    </x:row>
    <x:row r="9007" spans="6:6" x14ac:dyDescent="0.25">
      <x:c r="F9007" s="11"/>
    </x:row>
    <x:row r="9008" spans="6:6" x14ac:dyDescent="0.25">
      <x:c r="F9008" s="11"/>
    </x:row>
    <x:row r="9009" spans="6:6" x14ac:dyDescent="0.25">
      <x:c r="F9009" s="11"/>
    </x:row>
    <x:row r="9010" spans="6:6" x14ac:dyDescent="0.25">
      <x:c r="F9010" s="11"/>
    </x:row>
    <x:row r="9011" spans="6:6" x14ac:dyDescent="0.25">
      <x:c r="F9011" s="11"/>
    </x:row>
    <x:row r="9012" spans="6:6" x14ac:dyDescent="0.25">
      <x:c r="F9012" s="11"/>
    </x:row>
    <x:row r="9013" spans="6:6" x14ac:dyDescent="0.25">
      <x:c r="F9013" s="11"/>
    </x:row>
    <x:row r="9014" spans="6:6" x14ac:dyDescent="0.25">
      <x:c r="F9014" s="11"/>
    </x:row>
    <x:row r="9015" spans="6:6" x14ac:dyDescent="0.25">
      <x:c r="F9015" s="11"/>
    </x:row>
    <x:row r="9016" spans="6:6" x14ac:dyDescent="0.25">
      <x:c r="F9016" s="11"/>
    </x:row>
    <x:row r="9017" spans="6:6" x14ac:dyDescent="0.25">
      <x:c r="F9017" s="11"/>
    </x:row>
    <x:row r="9018" spans="6:6" x14ac:dyDescent="0.25">
      <x:c r="F9018" s="11"/>
    </x:row>
    <x:row r="9019" spans="6:6" x14ac:dyDescent="0.25">
      <x:c r="F9019" s="11"/>
    </x:row>
    <x:row r="9020" spans="6:6" x14ac:dyDescent="0.25">
      <x:c r="F9020" s="11"/>
    </x:row>
    <x:row r="9021" spans="6:6" x14ac:dyDescent="0.25">
      <x:c r="F9021" s="11"/>
    </x:row>
    <x:row r="9022" spans="6:6" x14ac:dyDescent="0.25">
      <x:c r="F9022" s="11"/>
    </x:row>
    <x:row r="9023" spans="6:6" x14ac:dyDescent="0.25">
      <x:c r="F9023" s="11"/>
    </x:row>
    <x:row r="9024" spans="6:6" x14ac:dyDescent="0.25">
      <x:c r="F9024" s="11"/>
    </x:row>
    <x:row r="9025" spans="6:6" x14ac:dyDescent="0.25">
      <x:c r="F9025" s="11"/>
    </x:row>
    <x:row r="9026" spans="6:6" x14ac:dyDescent="0.25">
      <x:c r="F9026" s="11"/>
    </x:row>
    <x:row r="9027" spans="6:6" x14ac:dyDescent="0.25">
      <x:c r="F9027" s="11"/>
    </x:row>
    <x:row r="9028" spans="6:6" x14ac:dyDescent="0.25">
      <x:c r="F9028" s="11"/>
    </x:row>
    <x:row r="9029" spans="6:6" x14ac:dyDescent="0.25">
      <x:c r="F9029" s="11"/>
    </x:row>
    <x:row r="9030" spans="6:6" x14ac:dyDescent="0.25">
      <x:c r="F9030" s="11"/>
    </x:row>
    <x:row r="9031" spans="6:6" x14ac:dyDescent="0.25">
      <x:c r="F9031" s="11"/>
    </x:row>
    <x:row r="9032" spans="6:6" x14ac:dyDescent="0.25">
      <x:c r="F9032" s="11"/>
    </x:row>
    <x:row r="9033" spans="6:6" x14ac:dyDescent="0.25">
      <x:c r="F9033" s="11"/>
    </x:row>
    <x:row r="9034" spans="6:6" x14ac:dyDescent="0.25">
      <x:c r="F9034" s="11"/>
    </x:row>
    <x:row r="9035" spans="6:6" x14ac:dyDescent="0.25">
      <x:c r="F9035" s="11"/>
    </x:row>
    <x:row r="9036" spans="6:6" x14ac:dyDescent="0.25">
      <x:c r="F9036" s="11"/>
    </x:row>
    <x:row r="9037" spans="6:6" x14ac:dyDescent="0.25">
      <x:c r="F9037" s="11"/>
    </x:row>
    <x:row r="9038" spans="6:6" x14ac:dyDescent="0.25">
      <x:c r="F9038" s="11"/>
    </x:row>
    <x:row r="9039" spans="6:6" x14ac:dyDescent="0.25">
      <x:c r="F9039" s="11"/>
    </x:row>
    <x:row r="9040" spans="6:6" x14ac:dyDescent="0.25">
      <x:c r="F9040" s="11"/>
    </x:row>
    <x:row r="9041" spans="6:6" x14ac:dyDescent="0.25">
      <x:c r="F9041" s="11"/>
    </x:row>
    <x:row r="9042" spans="6:6" x14ac:dyDescent="0.25">
      <x:c r="F9042" s="11"/>
    </x:row>
    <x:row r="9043" spans="6:6" x14ac:dyDescent="0.25">
      <x:c r="F9043" s="11"/>
    </x:row>
    <x:row r="9044" spans="6:6" x14ac:dyDescent="0.25">
      <x:c r="F9044" s="11"/>
    </x:row>
    <x:row r="9045" spans="6:6" x14ac:dyDescent="0.25">
      <x:c r="F9045" s="11"/>
    </x:row>
    <x:row r="9046" spans="6:6" x14ac:dyDescent="0.25">
      <x:c r="F9046" s="11"/>
    </x:row>
    <x:row r="9047" spans="6:6" x14ac:dyDescent="0.25">
      <x:c r="F9047" s="11"/>
    </x:row>
    <x:row r="9048" spans="6:6" x14ac:dyDescent="0.25">
      <x:c r="F9048" s="11"/>
    </x:row>
    <x:row r="9049" spans="6:6" x14ac:dyDescent="0.25">
      <x:c r="F9049" s="11"/>
    </x:row>
    <x:row r="9050" spans="6:6" x14ac:dyDescent="0.25">
      <x:c r="F9050" s="11"/>
    </x:row>
    <x:row r="9051" spans="6:6" x14ac:dyDescent="0.25">
      <x:c r="F9051" s="11"/>
    </x:row>
    <x:row r="9052" spans="6:6" x14ac:dyDescent="0.25">
      <x:c r="F9052" s="11"/>
    </x:row>
    <x:row r="9053" spans="6:6" x14ac:dyDescent="0.25">
      <x:c r="F9053" s="11"/>
    </x:row>
    <x:row r="9054" spans="6:6" x14ac:dyDescent="0.25">
      <x:c r="F9054" s="11"/>
    </x:row>
    <x:row r="9055" spans="6:6" x14ac:dyDescent="0.25">
      <x:c r="F9055" s="11"/>
    </x:row>
    <x:row r="9056" spans="6:6" x14ac:dyDescent="0.25">
      <x:c r="F9056" s="11"/>
    </x:row>
    <x:row r="9057" spans="6:6" x14ac:dyDescent="0.25">
      <x:c r="F9057" s="11"/>
    </x:row>
    <x:row r="9058" spans="6:6" x14ac:dyDescent="0.25">
      <x:c r="F9058" s="11"/>
    </x:row>
    <x:row r="9059" spans="6:6" x14ac:dyDescent="0.25">
      <x:c r="F9059" s="11"/>
    </x:row>
    <x:row r="9060" spans="6:6" x14ac:dyDescent="0.25">
      <x:c r="F9060" s="11"/>
    </x:row>
    <x:row r="9061" spans="6:6" x14ac:dyDescent="0.25">
      <x:c r="F9061" s="11"/>
    </x:row>
    <x:row r="9062" spans="6:6" x14ac:dyDescent="0.25">
      <x:c r="F9062" s="11"/>
    </x:row>
    <x:row r="9063" spans="6:6" x14ac:dyDescent="0.25">
      <x:c r="F9063" s="11"/>
    </x:row>
    <x:row r="9064" spans="6:6" x14ac:dyDescent="0.25">
      <x:c r="F9064" s="11"/>
    </x:row>
    <x:row r="9065" spans="6:6" x14ac:dyDescent="0.25">
      <x:c r="F9065" s="11"/>
    </x:row>
    <x:row r="9066" spans="6:6" x14ac:dyDescent="0.25">
      <x:c r="F9066" s="11"/>
    </x:row>
    <x:row r="9067" spans="6:6" x14ac:dyDescent="0.25">
      <x:c r="F9067" s="11"/>
    </x:row>
    <x:row r="9068" spans="6:6" x14ac:dyDescent="0.25">
      <x:c r="F9068" s="11"/>
    </x:row>
    <x:row r="9069" spans="6:6" x14ac:dyDescent="0.25">
      <x:c r="F9069" s="11"/>
    </x:row>
    <x:row r="9070" spans="6:6" x14ac:dyDescent="0.25">
      <x:c r="F9070" s="11"/>
    </x:row>
    <x:row r="9071" spans="6:6" x14ac:dyDescent="0.25">
      <x:c r="F9071" s="11"/>
    </x:row>
    <x:row r="9072" spans="6:6" x14ac:dyDescent="0.25">
      <x:c r="F9072" s="11"/>
    </x:row>
    <x:row r="9073" spans="6:6" x14ac:dyDescent="0.25">
      <x:c r="F9073" s="11"/>
    </x:row>
    <x:row r="9074" spans="6:6" x14ac:dyDescent="0.25">
      <x:c r="F9074" s="11"/>
    </x:row>
    <x:row r="9075" spans="6:6" x14ac:dyDescent="0.25">
      <x:c r="F9075" s="11"/>
    </x:row>
    <x:row r="9076" spans="6:6" x14ac:dyDescent="0.25">
      <x:c r="F9076" s="11"/>
    </x:row>
    <x:row r="9077" spans="6:6" x14ac:dyDescent="0.25">
      <x:c r="F9077" s="11"/>
    </x:row>
    <x:row r="9078" spans="6:6" x14ac:dyDescent="0.25">
      <x:c r="F9078" s="11"/>
    </x:row>
    <x:row r="9079" spans="6:6" x14ac:dyDescent="0.25">
      <x:c r="F9079" s="11"/>
    </x:row>
    <x:row r="9080" spans="6:6" x14ac:dyDescent="0.25">
      <x:c r="F9080" s="11"/>
    </x:row>
    <x:row r="9081" spans="6:6" x14ac:dyDescent="0.25">
      <x:c r="F9081" s="11"/>
    </x:row>
    <x:row r="9082" spans="6:6" x14ac:dyDescent="0.25">
      <x:c r="F9082" s="11"/>
    </x:row>
    <x:row r="9083" spans="6:6" x14ac:dyDescent="0.25">
      <x:c r="F9083" s="11"/>
    </x:row>
    <x:row r="9084" spans="6:6" x14ac:dyDescent="0.25">
      <x:c r="F9084" s="11"/>
    </x:row>
    <x:row r="9085" spans="6:6" x14ac:dyDescent="0.25">
      <x:c r="F9085" s="11"/>
    </x:row>
    <x:row r="9086" spans="6:6" x14ac:dyDescent="0.25">
      <x:c r="F9086" s="11"/>
    </x:row>
    <x:row r="9087" spans="6:6" x14ac:dyDescent="0.25">
      <x:c r="F9087" s="11"/>
    </x:row>
    <x:row r="9088" spans="6:6" x14ac:dyDescent="0.25">
      <x:c r="F9088" s="11"/>
    </x:row>
    <x:row r="9089" spans="6:6" x14ac:dyDescent="0.25">
      <x:c r="F9089" s="11"/>
    </x:row>
    <x:row r="9090" spans="6:6" x14ac:dyDescent="0.25">
      <x:c r="F9090" s="11"/>
    </x:row>
    <x:row r="9091" spans="6:6" x14ac:dyDescent="0.25">
      <x:c r="F9091" s="11"/>
    </x:row>
    <x:row r="9092" spans="6:6" x14ac:dyDescent="0.25">
      <x:c r="F9092" s="11"/>
    </x:row>
    <x:row r="9093" spans="6:6" x14ac:dyDescent="0.25">
      <x:c r="F9093" s="11"/>
    </x:row>
    <x:row r="9094" spans="6:6" x14ac:dyDescent="0.25">
      <x:c r="F9094" s="11"/>
    </x:row>
    <x:row r="9095" spans="6:6" x14ac:dyDescent="0.25">
      <x:c r="F9095" s="11"/>
    </x:row>
    <x:row r="9096" spans="6:6" x14ac:dyDescent="0.25">
      <x:c r="F9096" s="11"/>
    </x:row>
    <x:row r="9097" spans="6:6" x14ac:dyDescent="0.25">
      <x:c r="F9097" s="11"/>
    </x:row>
    <x:row r="9098" spans="6:6" x14ac:dyDescent="0.25">
      <x:c r="F9098" s="11"/>
    </x:row>
    <x:row r="9099" spans="6:6" x14ac:dyDescent="0.25">
      <x:c r="F9099" s="11"/>
    </x:row>
    <x:row r="9100" spans="6:6" x14ac:dyDescent="0.25">
      <x:c r="F9100" s="11"/>
    </x:row>
    <x:row r="9101" spans="6:6" x14ac:dyDescent="0.25">
      <x:c r="F9101" s="11"/>
    </x:row>
    <x:row r="9102" spans="6:6" x14ac:dyDescent="0.25">
      <x:c r="F9102" s="11"/>
    </x:row>
    <x:row r="9103" spans="6:6" x14ac:dyDescent="0.25">
      <x:c r="F9103" s="11"/>
    </x:row>
    <x:row r="9104" spans="6:6" x14ac:dyDescent="0.25">
      <x:c r="F9104" s="11"/>
    </x:row>
    <x:row r="9105" spans="6:6" x14ac:dyDescent="0.25">
      <x:c r="F9105" s="11"/>
    </x:row>
    <x:row r="9106" spans="6:6" x14ac:dyDescent="0.25">
      <x:c r="F9106" s="11"/>
    </x:row>
    <x:row r="9107" spans="6:6" x14ac:dyDescent="0.25">
      <x:c r="F9107" s="11"/>
    </x:row>
    <x:row r="9108" spans="6:6" x14ac:dyDescent="0.25">
      <x:c r="F9108" s="11"/>
    </x:row>
    <x:row r="9109" spans="6:6" x14ac:dyDescent="0.25">
      <x:c r="F9109" s="11"/>
    </x:row>
    <x:row r="9110" spans="6:6" x14ac:dyDescent="0.25">
      <x:c r="F9110" s="11"/>
    </x:row>
    <x:row r="9111" spans="6:6" x14ac:dyDescent="0.25">
      <x:c r="F9111" s="11"/>
    </x:row>
    <x:row r="9112" spans="6:6" x14ac:dyDescent="0.25">
      <x:c r="F9112" s="11"/>
    </x:row>
    <x:row r="9113" spans="6:6" x14ac:dyDescent="0.25">
      <x:c r="F9113" s="11"/>
    </x:row>
    <x:row r="9114" spans="6:6" x14ac:dyDescent="0.25">
      <x:c r="F9114" s="11"/>
    </x:row>
    <x:row r="9115" spans="6:6" x14ac:dyDescent="0.25">
      <x:c r="F9115" s="11"/>
    </x:row>
    <x:row r="9116" spans="6:6" x14ac:dyDescent="0.25">
      <x:c r="F9116" s="11"/>
    </x:row>
    <x:row r="9117" spans="6:6" x14ac:dyDescent="0.25">
      <x:c r="F9117" s="11"/>
    </x:row>
    <x:row r="9118" spans="6:6" x14ac:dyDescent="0.25">
      <x:c r="F9118" s="11"/>
    </x:row>
    <x:row r="9119" spans="6:6" x14ac:dyDescent="0.25">
      <x:c r="F9119" s="11"/>
    </x:row>
    <x:row r="9120" spans="6:6" x14ac:dyDescent="0.25">
      <x:c r="F9120" s="11"/>
    </x:row>
    <x:row r="9121" spans="6:6" x14ac:dyDescent="0.25">
      <x:c r="F9121" s="11"/>
    </x:row>
    <x:row r="9122" spans="6:6" x14ac:dyDescent="0.25">
      <x:c r="F9122" s="11"/>
    </x:row>
    <x:row r="9123" spans="6:6" x14ac:dyDescent="0.25">
      <x:c r="F9123" s="11"/>
    </x:row>
    <x:row r="9124" spans="6:6" x14ac:dyDescent="0.25">
      <x:c r="F9124" s="11"/>
    </x:row>
    <x:row r="9125" spans="6:6" x14ac:dyDescent="0.25">
      <x:c r="F9125" s="11"/>
    </x:row>
    <x:row r="9126" spans="6:6" x14ac:dyDescent="0.25">
      <x:c r="F9126" s="11"/>
    </x:row>
    <x:row r="9127" spans="6:6" x14ac:dyDescent="0.25">
      <x:c r="F9127" s="11"/>
    </x:row>
    <x:row r="9128" spans="6:6" x14ac:dyDescent="0.25">
      <x:c r="F9128" s="11"/>
    </x:row>
    <x:row r="9129" spans="6:6" x14ac:dyDescent="0.25">
      <x:c r="F9129" s="11"/>
    </x:row>
    <x:row r="9130" spans="6:6" x14ac:dyDescent="0.25">
      <x:c r="F9130" s="11"/>
    </x:row>
    <x:row r="9131" spans="6:6" x14ac:dyDescent="0.25">
      <x:c r="F9131" s="11"/>
    </x:row>
    <x:row r="9132" spans="6:6" x14ac:dyDescent="0.25">
      <x:c r="F9132" s="11"/>
    </x:row>
    <x:row r="9133" spans="6:6" x14ac:dyDescent="0.25">
      <x:c r="F9133" s="11"/>
    </x:row>
    <x:row r="9134" spans="6:6" x14ac:dyDescent="0.25">
      <x:c r="F9134" s="11"/>
    </x:row>
    <x:row r="9135" spans="6:6" x14ac:dyDescent="0.25">
      <x:c r="F9135" s="11"/>
    </x:row>
    <x:row r="9136" spans="6:6" x14ac:dyDescent="0.25">
      <x:c r="F9136" s="11"/>
    </x:row>
    <x:row r="9137" spans="6:6" x14ac:dyDescent="0.25">
      <x:c r="F9137" s="11"/>
    </x:row>
    <x:row r="9138" spans="6:6" x14ac:dyDescent="0.25">
      <x:c r="F9138" s="11"/>
    </x:row>
    <x:row r="9139" spans="6:6" x14ac:dyDescent="0.25">
      <x:c r="F9139" s="11"/>
    </x:row>
    <x:row r="9140" spans="6:6" x14ac:dyDescent="0.25">
      <x:c r="F9140" s="11"/>
    </x:row>
    <x:row r="9141" spans="6:6" x14ac:dyDescent="0.25">
      <x:c r="F9141" s="11"/>
    </x:row>
    <x:row r="9142" spans="6:6" x14ac:dyDescent="0.25">
      <x:c r="F9142" s="11"/>
    </x:row>
    <x:row r="9143" spans="6:6" x14ac:dyDescent="0.25">
      <x:c r="F9143" s="11"/>
    </x:row>
    <x:row r="9144" spans="6:6" x14ac:dyDescent="0.25">
      <x:c r="F9144" s="11"/>
    </x:row>
    <x:row r="9145" spans="6:6" x14ac:dyDescent="0.25">
      <x:c r="F9145" s="11"/>
    </x:row>
    <x:row r="9146" spans="6:6" x14ac:dyDescent="0.25">
      <x:c r="F9146" s="11"/>
    </x:row>
    <x:row r="9147" spans="6:6" x14ac:dyDescent="0.25">
      <x:c r="F9147" s="11"/>
    </x:row>
    <x:row r="9148" spans="6:6" x14ac:dyDescent="0.25">
      <x:c r="F9148" s="11"/>
    </x:row>
    <x:row r="9149" spans="6:6" x14ac:dyDescent="0.25">
      <x:c r="F9149" s="11"/>
    </x:row>
    <x:row r="9150" spans="6:6" x14ac:dyDescent="0.25">
      <x:c r="F9150" s="11"/>
    </x:row>
    <x:row r="9151" spans="6:6" x14ac:dyDescent="0.25">
      <x:c r="F9151" s="11"/>
    </x:row>
    <x:row r="9152" spans="6:6" x14ac:dyDescent="0.25">
      <x:c r="F9152" s="11"/>
    </x:row>
    <x:row r="9153" spans="6:6" x14ac:dyDescent="0.25">
      <x:c r="F9153" s="11"/>
    </x:row>
    <x:row r="9154" spans="6:6" x14ac:dyDescent="0.25">
      <x:c r="F9154" s="11"/>
    </x:row>
    <x:row r="9155" spans="6:6" x14ac:dyDescent="0.25">
      <x:c r="F9155" s="11"/>
    </x:row>
    <x:row r="9156" spans="6:6" x14ac:dyDescent="0.25">
      <x:c r="F9156" s="11"/>
    </x:row>
    <x:row r="9157" spans="6:6" x14ac:dyDescent="0.25">
      <x:c r="F9157" s="11"/>
    </x:row>
    <x:row r="9158" spans="6:6" x14ac:dyDescent="0.25">
      <x:c r="F9158" s="11"/>
    </x:row>
    <x:row r="9159" spans="6:6" x14ac:dyDescent="0.25">
      <x:c r="F9159" s="11"/>
    </x:row>
    <x:row r="9160" spans="6:6" x14ac:dyDescent="0.25">
      <x:c r="F9160" s="11"/>
    </x:row>
    <x:row r="9161" spans="6:6" x14ac:dyDescent="0.25">
      <x:c r="F9161" s="11"/>
    </x:row>
    <x:row r="9162" spans="6:6" x14ac:dyDescent="0.25">
      <x:c r="F9162" s="11"/>
    </x:row>
    <x:row r="9163" spans="6:6" x14ac:dyDescent="0.25">
      <x:c r="F9163" s="11"/>
    </x:row>
    <x:row r="9164" spans="6:6" x14ac:dyDescent="0.25">
      <x:c r="F9164" s="11"/>
    </x:row>
    <x:row r="9165" spans="6:6" x14ac:dyDescent="0.25">
      <x:c r="F9165" s="11"/>
    </x:row>
    <x:row r="9166" spans="6:6" x14ac:dyDescent="0.25">
      <x:c r="F9166" s="11"/>
    </x:row>
    <x:row r="9167" spans="6:6" x14ac:dyDescent="0.25">
      <x:c r="F9167" s="11"/>
    </x:row>
    <x:row r="9168" spans="6:6" x14ac:dyDescent="0.25">
      <x:c r="F9168" s="11"/>
    </x:row>
    <x:row r="9169" spans="6:6" x14ac:dyDescent="0.25">
      <x:c r="F9169" s="11"/>
    </x:row>
    <x:row r="9170" spans="6:6" x14ac:dyDescent="0.25">
      <x:c r="F9170" s="11"/>
    </x:row>
    <x:row r="9171" spans="6:6" x14ac:dyDescent="0.25">
      <x:c r="F9171" s="11"/>
    </x:row>
    <x:row r="9172" spans="6:6" x14ac:dyDescent="0.25">
      <x:c r="F9172" s="11"/>
    </x:row>
    <x:row r="9173" spans="6:6" x14ac:dyDescent="0.25">
      <x:c r="F9173" s="11"/>
    </x:row>
    <x:row r="9174" spans="6:6" x14ac:dyDescent="0.25">
      <x:c r="F9174" s="11"/>
    </x:row>
    <x:row r="9175" spans="6:6" x14ac:dyDescent="0.25">
      <x:c r="F9175" s="11"/>
    </x:row>
    <x:row r="9176" spans="6:6" x14ac:dyDescent="0.25">
      <x:c r="F9176" s="11"/>
    </x:row>
    <x:row r="9177" spans="6:6" x14ac:dyDescent="0.25">
      <x:c r="F9177" s="11"/>
    </x:row>
    <x:row r="9178" spans="6:6" x14ac:dyDescent="0.25">
      <x:c r="F9178" s="11"/>
    </x:row>
    <x:row r="9179" spans="6:6" x14ac:dyDescent="0.25">
      <x:c r="F9179" s="11"/>
    </x:row>
    <x:row r="9180" spans="6:6" x14ac:dyDescent="0.25">
      <x:c r="F9180" s="11"/>
    </x:row>
    <x:row r="9181" spans="6:6" x14ac:dyDescent="0.25">
      <x:c r="F9181" s="11"/>
    </x:row>
    <x:row r="9182" spans="6:6" x14ac:dyDescent="0.25">
      <x:c r="F9182" s="11"/>
    </x:row>
    <x:row r="9183" spans="6:6" x14ac:dyDescent="0.25">
      <x:c r="F9183" s="11"/>
    </x:row>
    <x:row r="9184" spans="6:6" x14ac:dyDescent="0.25">
      <x:c r="F9184" s="11"/>
    </x:row>
    <x:row r="9185" spans="6:6" x14ac:dyDescent="0.25">
      <x:c r="F9185" s="11"/>
    </x:row>
    <x:row r="9186" spans="6:6" x14ac:dyDescent="0.25">
      <x:c r="F9186" s="11"/>
    </x:row>
    <x:row r="9187" spans="6:6" x14ac:dyDescent="0.25">
      <x:c r="F9187" s="11"/>
    </x:row>
    <x:row r="9188" spans="6:6" x14ac:dyDescent="0.25">
      <x:c r="F9188" s="11"/>
    </x:row>
    <x:row r="9189" spans="6:6" x14ac:dyDescent="0.25">
      <x:c r="F9189" s="11"/>
    </x:row>
    <x:row r="9190" spans="6:6" x14ac:dyDescent="0.25">
      <x:c r="F9190" s="11"/>
    </x:row>
    <x:row r="9191" spans="6:6" x14ac:dyDescent="0.25">
      <x:c r="F9191" s="11"/>
    </x:row>
    <x:row r="9192" spans="6:6" x14ac:dyDescent="0.25">
      <x:c r="F9192" s="11"/>
    </x:row>
    <x:row r="9193" spans="6:6" x14ac:dyDescent="0.25">
      <x:c r="F9193" s="11"/>
    </x:row>
    <x:row r="9194" spans="6:6" x14ac:dyDescent="0.25">
      <x:c r="F9194" s="11"/>
    </x:row>
    <x:row r="9195" spans="6:6" x14ac:dyDescent="0.25">
      <x:c r="F9195" s="11"/>
    </x:row>
    <x:row r="9196" spans="6:6" x14ac:dyDescent="0.25">
      <x:c r="F9196" s="11"/>
    </x:row>
    <x:row r="9197" spans="6:6" x14ac:dyDescent="0.25">
      <x:c r="F9197" s="11"/>
    </x:row>
    <x:row r="9198" spans="6:6" x14ac:dyDescent="0.25">
      <x:c r="F9198" s="11"/>
    </x:row>
    <x:row r="9199" spans="6:6" x14ac:dyDescent="0.25">
      <x:c r="F9199" s="11"/>
    </x:row>
    <x:row r="9200" spans="6:6" x14ac:dyDescent="0.25">
      <x:c r="F9200" s="11"/>
    </x:row>
    <x:row r="9201" spans="6:6" x14ac:dyDescent="0.25">
      <x:c r="F9201" s="11"/>
    </x:row>
    <x:row r="9202" spans="6:6" x14ac:dyDescent="0.25">
      <x:c r="F9202" s="11"/>
    </x:row>
    <x:row r="9203" spans="6:6" x14ac:dyDescent="0.25">
      <x:c r="F9203" s="11"/>
    </x:row>
    <x:row r="9204" spans="6:6" x14ac:dyDescent="0.25">
      <x:c r="F9204" s="11"/>
    </x:row>
    <x:row r="9205" spans="6:6" x14ac:dyDescent="0.25">
      <x:c r="F9205" s="11"/>
    </x:row>
    <x:row r="9206" spans="6:6" x14ac:dyDescent="0.25">
      <x:c r="F9206" s="11"/>
    </x:row>
    <x:row r="9207" spans="6:6" x14ac:dyDescent="0.25">
      <x:c r="F9207" s="11"/>
    </x:row>
    <x:row r="9208" spans="6:6" x14ac:dyDescent="0.25">
      <x:c r="F9208" s="11"/>
    </x:row>
    <x:row r="9209" spans="6:6" x14ac:dyDescent="0.25">
      <x:c r="F9209" s="11"/>
    </x:row>
    <x:row r="9210" spans="6:6" x14ac:dyDescent="0.25">
      <x:c r="F9210" s="11"/>
    </x:row>
    <x:row r="9211" spans="6:6" x14ac:dyDescent="0.25">
      <x:c r="F9211" s="11"/>
    </x:row>
    <x:row r="9212" spans="6:6" x14ac:dyDescent="0.25">
      <x:c r="F9212" s="11"/>
    </x:row>
    <x:row r="9213" spans="6:6" x14ac:dyDescent="0.25">
      <x:c r="F9213" s="11"/>
    </x:row>
    <x:row r="9214" spans="6:6" x14ac:dyDescent="0.25">
      <x:c r="F9214" s="11"/>
    </x:row>
    <x:row r="9215" spans="6:6" x14ac:dyDescent="0.25">
      <x:c r="F9215" s="11"/>
    </x:row>
    <x:row r="9216" spans="6:6" x14ac:dyDescent="0.25">
      <x:c r="F9216" s="11"/>
    </x:row>
    <x:row r="9217" spans="6:6" x14ac:dyDescent="0.25">
      <x:c r="F9217" s="11"/>
    </x:row>
    <x:row r="9218" spans="6:6" x14ac:dyDescent="0.25">
      <x:c r="F9218" s="11"/>
    </x:row>
    <x:row r="9219" spans="6:6" x14ac:dyDescent="0.25">
      <x:c r="F9219" s="11"/>
    </x:row>
    <x:row r="9220" spans="6:6" x14ac:dyDescent="0.25">
      <x:c r="F9220" s="11"/>
    </x:row>
    <x:row r="9221" spans="6:6" x14ac:dyDescent="0.25">
      <x:c r="F9221" s="11"/>
    </x:row>
    <x:row r="9222" spans="6:6" x14ac:dyDescent="0.25">
      <x:c r="F9222" s="11"/>
    </x:row>
    <x:row r="9223" spans="6:6" x14ac:dyDescent="0.25">
      <x:c r="F9223" s="11"/>
    </x:row>
    <x:row r="9224" spans="6:6" x14ac:dyDescent="0.25">
      <x:c r="F9224" s="11"/>
    </x:row>
    <x:row r="9225" spans="6:6" x14ac:dyDescent="0.25">
      <x:c r="F9225" s="11"/>
    </x:row>
    <x:row r="9226" spans="6:6" x14ac:dyDescent="0.25">
      <x:c r="F9226" s="11"/>
    </x:row>
    <x:row r="9227" spans="6:6" x14ac:dyDescent="0.25">
      <x:c r="F9227" s="11"/>
    </x:row>
    <x:row r="9228" spans="6:6" x14ac:dyDescent="0.25">
      <x:c r="F9228" s="11"/>
    </x:row>
    <x:row r="9229" spans="6:6" x14ac:dyDescent="0.25">
      <x:c r="F9229" s="11"/>
    </x:row>
    <x:row r="9230" spans="6:6" x14ac:dyDescent="0.25">
      <x:c r="F9230" s="11"/>
    </x:row>
    <x:row r="9231" spans="6:6" x14ac:dyDescent="0.25">
      <x:c r="F9231" s="11"/>
    </x:row>
    <x:row r="9232" spans="6:6" x14ac:dyDescent="0.25">
      <x:c r="F9232" s="11"/>
    </x:row>
    <x:row r="9233" spans="6:6" x14ac:dyDescent="0.25">
      <x:c r="F9233" s="11"/>
    </x:row>
    <x:row r="9234" spans="6:6" x14ac:dyDescent="0.25">
      <x:c r="F9234" s="11"/>
    </x:row>
    <x:row r="9235" spans="6:6" x14ac:dyDescent="0.25">
      <x:c r="F9235" s="11"/>
    </x:row>
    <x:row r="9236" spans="6:6" x14ac:dyDescent="0.25">
      <x:c r="F9236" s="11"/>
    </x:row>
    <x:row r="9237" spans="6:6" x14ac:dyDescent="0.25">
      <x:c r="F9237" s="11"/>
    </x:row>
    <x:row r="9238" spans="6:6" x14ac:dyDescent="0.25">
      <x:c r="F9238" s="11"/>
    </x:row>
    <x:row r="9239" spans="6:6" x14ac:dyDescent="0.25">
      <x:c r="F9239" s="11"/>
    </x:row>
    <x:row r="9240" spans="6:6" x14ac:dyDescent="0.25">
      <x:c r="F9240" s="11"/>
    </x:row>
    <x:row r="9241" spans="6:6" x14ac:dyDescent="0.25">
      <x:c r="F9241" s="11"/>
    </x:row>
    <x:row r="9242" spans="6:6" x14ac:dyDescent="0.25">
      <x:c r="F9242" s="11"/>
    </x:row>
    <x:row r="9243" spans="6:6" x14ac:dyDescent="0.25">
      <x:c r="F9243" s="11"/>
    </x:row>
    <x:row r="9244" spans="6:6" x14ac:dyDescent="0.25">
      <x:c r="F9244" s="11"/>
    </x:row>
    <x:row r="9245" spans="6:6" x14ac:dyDescent="0.25">
      <x:c r="F9245" s="11"/>
    </x:row>
    <x:row r="9246" spans="6:6" x14ac:dyDescent="0.25">
      <x:c r="F9246" s="11"/>
    </x:row>
    <x:row r="9247" spans="6:6" x14ac:dyDescent="0.25">
      <x:c r="F9247" s="11"/>
    </x:row>
    <x:row r="9248" spans="6:6" x14ac:dyDescent="0.25">
      <x:c r="F9248" s="11"/>
    </x:row>
    <x:row r="9249" spans="6:6" x14ac:dyDescent="0.25">
      <x:c r="F9249" s="11"/>
    </x:row>
    <x:row r="9250" spans="6:6" x14ac:dyDescent="0.25">
      <x:c r="F9250" s="11"/>
    </x:row>
    <x:row r="9251" spans="6:6" x14ac:dyDescent="0.25">
      <x:c r="F9251" s="11"/>
    </x:row>
    <x:row r="9252" spans="6:6" x14ac:dyDescent="0.25">
      <x:c r="F9252" s="11"/>
    </x:row>
    <x:row r="9253" spans="6:6" x14ac:dyDescent="0.25">
      <x:c r="F9253" s="11"/>
    </x:row>
    <x:row r="9254" spans="6:6" x14ac:dyDescent="0.25">
      <x:c r="F9254" s="11"/>
    </x:row>
    <x:row r="9255" spans="6:6" x14ac:dyDescent="0.25">
      <x:c r="F9255" s="11"/>
    </x:row>
    <x:row r="9256" spans="6:6" x14ac:dyDescent="0.25">
      <x:c r="F9256" s="11"/>
    </x:row>
    <x:row r="9257" spans="6:6" x14ac:dyDescent="0.25">
      <x:c r="F9257" s="11"/>
    </x:row>
    <x:row r="9258" spans="6:6" x14ac:dyDescent="0.25">
      <x:c r="F9258" s="11"/>
    </x:row>
    <x:row r="9259" spans="6:6" x14ac:dyDescent="0.25">
      <x:c r="F9259" s="11"/>
    </x:row>
    <x:row r="9260" spans="6:6" x14ac:dyDescent="0.25">
      <x:c r="F9260" s="11"/>
    </x:row>
    <x:row r="9261" spans="6:6" x14ac:dyDescent="0.25">
      <x:c r="F9261" s="11"/>
    </x:row>
    <x:row r="9262" spans="6:6" x14ac:dyDescent="0.25">
      <x:c r="F9262" s="11"/>
    </x:row>
    <x:row r="9263" spans="6:6" x14ac:dyDescent="0.25">
      <x:c r="F9263" s="11"/>
    </x:row>
    <x:row r="9264" spans="6:6" x14ac:dyDescent="0.25">
      <x:c r="F9264" s="11"/>
    </x:row>
    <x:row r="9265" spans="6:6" x14ac:dyDescent="0.25">
      <x:c r="F9265" s="11"/>
    </x:row>
    <x:row r="9266" spans="6:6" x14ac:dyDescent="0.25">
      <x:c r="F9266" s="11"/>
    </x:row>
    <x:row r="9267" spans="6:6" x14ac:dyDescent="0.25">
      <x:c r="F9267" s="11"/>
    </x:row>
    <x:row r="9268" spans="6:6" x14ac:dyDescent="0.25">
      <x:c r="F9268" s="11"/>
    </x:row>
    <x:row r="9269" spans="6:6" x14ac:dyDescent="0.25">
      <x:c r="F9269" s="11"/>
    </x:row>
    <x:row r="9270" spans="6:6" x14ac:dyDescent="0.25">
      <x:c r="F9270" s="11"/>
    </x:row>
    <x:row r="9271" spans="6:6" x14ac:dyDescent="0.25">
      <x:c r="F9271" s="11"/>
    </x:row>
    <x:row r="9272" spans="6:6" x14ac:dyDescent="0.25">
      <x:c r="F9272" s="11"/>
    </x:row>
    <x:row r="9273" spans="6:6" x14ac:dyDescent="0.25">
      <x:c r="F9273" s="11"/>
    </x:row>
    <x:row r="9274" spans="6:6" x14ac:dyDescent="0.25">
      <x:c r="F9274" s="11"/>
    </x:row>
    <x:row r="9275" spans="6:6" x14ac:dyDescent="0.25">
      <x:c r="F9275" s="11"/>
    </x:row>
    <x:row r="9276" spans="6:6" x14ac:dyDescent="0.25">
      <x:c r="F9276" s="11"/>
    </x:row>
    <x:row r="9277" spans="6:6" x14ac:dyDescent="0.25">
      <x:c r="F9277" s="11"/>
    </x:row>
    <x:row r="9278" spans="6:6" x14ac:dyDescent="0.25">
      <x:c r="F9278" s="11"/>
    </x:row>
    <x:row r="9279" spans="6:6" x14ac:dyDescent="0.25">
      <x:c r="F9279" s="11"/>
    </x:row>
    <x:row r="9280" spans="6:6" x14ac:dyDescent="0.25">
      <x:c r="F9280" s="11"/>
    </x:row>
    <x:row r="9281" spans="6:6" x14ac:dyDescent="0.25">
      <x:c r="F9281" s="11"/>
    </x:row>
    <x:row r="9282" spans="6:6" x14ac:dyDescent="0.25">
      <x:c r="F9282" s="11"/>
    </x:row>
    <x:row r="9283" spans="6:6" x14ac:dyDescent="0.25">
      <x:c r="F9283" s="11"/>
    </x:row>
    <x:row r="9284" spans="6:6" x14ac:dyDescent="0.25">
      <x:c r="F9284" s="11"/>
    </x:row>
    <x:row r="9285" spans="6:6" x14ac:dyDescent="0.25">
      <x:c r="F9285" s="11"/>
    </x:row>
    <x:row r="9286" spans="6:6" x14ac:dyDescent="0.25">
      <x:c r="F9286" s="11"/>
    </x:row>
    <x:row r="9287" spans="6:6" x14ac:dyDescent="0.25">
      <x:c r="F9287" s="11"/>
    </x:row>
    <x:row r="9288" spans="6:6" x14ac:dyDescent="0.25">
      <x:c r="F9288" s="11"/>
    </x:row>
    <x:row r="9289" spans="6:6" x14ac:dyDescent="0.25">
      <x:c r="F9289" s="11"/>
    </x:row>
    <x:row r="9290" spans="6:6" x14ac:dyDescent="0.25">
      <x:c r="F9290" s="11"/>
    </x:row>
    <x:row r="9291" spans="6:6" x14ac:dyDescent="0.25">
      <x:c r="F9291" s="11"/>
    </x:row>
    <x:row r="9292" spans="6:6" x14ac:dyDescent="0.25">
      <x:c r="F9292" s="11"/>
    </x:row>
    <x:row r="9293" spans="6:6" x14ac:dyDescent="0.25">
      <x:c r="F9293" s="11"/>
    </x:row>
    <x:row r="9294" spans="6:6" x14ac:dyDescent="0.25">
      <x:c r="F9294" s="11"/>
    </x:row>
    <x:row r="9295" spans="6:6" x14ac:dyDescent="0.25">
      <x:c r="F9295" s="11"/>
    </x:row>
    <x:row r="9296" spans="6:6" x14ac:dyDescent="0.25">
      <x:c r="F9296" s="11"/>
    </x:row>
    <x:row r="9297" spans="6:6" x14ac:dyDescent="0.25">
      <x:c r="F9297" s="11"/>
    </x:row>
    <x:row r="9298" spans="6:6" x14ac:dyDescent="0.25">
      <x:c r="F9298" s="11"/>
    </x:row>
    <x:row r="9299" spans="6:6" x14ac:dyDescent="0.25">
      <x:c r="F9299" s="11"/>
    </x:row>
    <x:row r="9300" spans="6:6" x14ac:dyDescent="0.25">
      <x:c r="F9300" s="11"/>
    </x:row>
    <x:row r="9301" spans="6:6" x14ac:dyDescent="0.25">
      <x:c r="F9301" s="11"/>
    </x:row>
    <x:row r="9302" spans="6:6" x14ac:dyDescent="0.25">
      <x:c r="F9302" s="11"/>
    </x:row>
    <x:row r="9303" spans="6:6" x14ac:dyDescent="0.25">
      <x:c r="F9303" s="11"/>
    </x:row>
    <x:row r="9304" spans="6:6" x14ac:dyDescent="0.25">
      <x:c r="F9304" s="11"/>
    </x:row>
    <x:row r="9305" spans="6:6" x14ac:dyDescent="0.25">
      <x:c r="F9305" s="11"/>
    </x:row>
    <x:row r="9306" spans="6:6" x14ac:dyDescent="0.25">
      <x:c r="F9306" s="11"/>
    </x:row>
    <x:row r="9307" spans="6:6" x14ac:dyDescent="0.25">
      <x:c r="F9307" s="11"/>
    </x:row>
    <x:row r="9308" spans="6:6" x14ac:dyDescent="0.25">
      <x:c r="F9308" s="11"/>
    </x:row>
    <x:row r="9309" spans="6:6" x14ac:dyDescent="0.25">
      <x:c r="F9309" s="11"/>
    </x:row>
    <x:row r="9310" spans="6:6" x14ac:dyDescent="0.25">
      <x:c r="F9310" s="11"/>
    </x:row>
    <x:row r="9311" spans="6:6" x14ac:dyDescent="0.25">
      <x:c r="F9311" s="11"/>
    </x:row>
    <x:row r="9312" spans="6:6" x14ac:dyDescent="0.25">
      <x:c r="F9312" s="11"/>
    </x:row>
    <x:row r="9313" spans="6:6" x14ac:dyDescent="0.25">
      <x:c r="F9313" s="11"/>
    </x:row>
    <x:row r="9314" spans="6:6" x14ac:dyDescent="0.25">
      <x:c r="F9314" s="11"/>
    </x:row>
    <x:row r="9315" spans="6:6" x14ac:dyDescent="0.25">
      <x:c r="F9315" s="11"/>
    </x:row>
    <x:row r="9316" spans="6:6" x14ac:dyDescent="0.25">
      <x:c r="F9316" s="11"/>
    </x:row>
    <x:row r="9317" spans="6:6" x14ac:dyDescent="0.25">
      <x:c r="F9317" s="11"/>
    </x:row>
    <x:row r="9318" spans="6:6" x14ac:dyDescent="0.25">
      <x:c r="F9318" s="11"/>
    </x:row>
    <x:row r="9319" spans="6:6" x14ac:dyDescent="0.25">
      <x:c r="F9319" s="11"/>
    </x:row>
    <x:row r="9320" spans="6:6" x14ac:dyDescent="0.25">
      <x:c r="F9320" s="11"/>
    </x:row>
    <x:row r="9321" spans="6:6" x14ac:dyDescent="0.25">
      <x:c r="F9321" s="11"/>
    </x:row>
    <x:row r="9322" spans="6:6" x14ac:dyDescent="0.25">
      <x:c r="F9322" s="11"/>
    </x:row>
    <x:row r="9323" spans="6:6" x14ac:dyDescent="0.25">
      <x:c r="F9323" s="11"/>
    </x:row>
    <x:row r="9324" spans="6:6" x14ac:dyDescent="0.25">
      <x:c r="F9324" s="11"/>
    </x:row>
    <x:row r="9325" spans="6:6" x14ac:dyDescent="0.25">
      <x:c r="F9325" s="11"/>
    </x:row>
    <x:row r="9326" spans="6:6" x14ac:dyDescent="0.25">
      <x:c r="F9326" s="11"/>
    </x:row>
    <x:row r="9327" spans="6:6" x14ac:dyDescent="0.25">
      <x:c r="F9327" s="11"/>
    </x:row>
    <x:row r="9328" spans="6:6" x14ac:dyDescent="0.25">
      <x:c r="F9328" s="11"/>
    </x:row>
    <x:row r="9329" spans="6:6" x14ac:dyDescent="0.25">
      <x:c r="F9329" s="11"/>
    </x:row>
    <x:row r="9330" spans="6:6" x14ac:dyDescent="0.25">
      <x:c r="F9330" s="11"/>
    </x:row>
    <x:row r="9331" spans="6:6" x14ac:dyDescent="0.25">
      <x:c r="F9331" s="11"/>
    </x:row>
    <x:row r="9332" spans="6:6" x14ac:dyDescent="0.25">
      <x:c r="F9332" s="11"/>
    </x:row>
    <x:row r="9333" spans="6:6" x14ac:dyDescent="0.25">
      <x:c r="F9333" s="11"/>
    </x:row>
    <x:row r="9334" spans="6:6" x14ac:dyDescent="0.25">
      <x:c r="F9334" s="11"/>
    </x:row>
    <x:row r="9335" spans="6:6" x14ac:dyDescent="0.25">
      <x:c r="F9335" s="11"/>
    </x:row>
    <x:row r="9336" spans="6:6" x14ac:dyDescent="0.25">
      <x:c r="F9336" s="11"/>
    </x:row>
    <x:row r="9337" spans="6:6" x14ac:dyDescent="0.25">
      <x:c r="F9337" s="11"/>
    </x:row>
    <x:row r="9338" spans="6:6" x14ac:dyDescent="0.25">
      <x:c r="F9338" s="11"/>
    </x:row>
    <x:row r="9339" spans="6:6" x14ac:dyDescent="0.25">
      <x:c r="F9339" s="11"/>
    </x:row>
    <x:row r="9340" spans="6:6" x14ac:dyDescent="0.25">
      <x:c r="F9340" s="11"/>
    </x:row>
    <x:row r="9341" spans="6:6" x14ac:dyDescent="0.25">
      <x:c r="F9341" s="11"/>
    </x:row>
    <x:row r="9342" spans="6:6" x14ac:dyDescent="0.25">
      <x:c r="F9342" s="11"/>
    </x:row>
    <x:row r="9343" spans="6:6" x14ac:dyDescent="0.25">
      <x:c r="F9343" s="11"/>
    </x:row>
    <x:row r="9344" spans="6:6" x14ac:dyDescent="0.25">
      <x:c r="F9344" s="11"/>
    </x:row>
    <x:row r="9345" spans="6:6" x14ac:dyDescent="0.25">
      <x:c r="F9345" s="11"/>
    </x:row>
    <x:row r="9346" spans="6:6" x14ac:dyDescent="0.25">
      <x:c r="F9346" s="11"/>
    </x:row>
    <x:row r="9347" spans="6:6" x14ac:dyDescent="0.25">
      <x:c r="F9347" s="11"/>
    </x:row>
    <x:row r="9348" spans="6:6" x14ac:dyDescent="0.25">
      <x:c r="F9348" s="11"/>
    </x:row>
    <x:row r="9349" spans="6:6" x14ac:dyDescent="0.25">
      <x:c r="F9349" s="11"/>
    </x:row>
    <x:row r="9350" spans="6:6" x14ac:dyDescent="0.25">
      <x:c r="F9350" s="11"/>
    </x:row>
    <x:row r="9351" spans="6:6" x14ac:dyDescent="0.25">
      <x:c r="F9351" s="11"/>
    </x:row>
    <x:row r="9352" spans="6:6" x14ac:dyDescent="0.25">
      <x:c r="F9352" s="11"/>
    </x:row>
    <x:row r="9353" spans="6:6" x14ac:dyDescent="0.25">
      <x:c r="F9353" s="11"/>
    </x:row>
    <x:row r="9354" spans="6:6" x14ac:dyDescent="0.25">
      <x:c r="F9354" s="11"/>
    </x:row>
    <x:row r="9355" spans="6:6" x14ac:dyDescent="0.25">
      <x:c r="F9355" s="11"/>
    </x:row>
    <x:row r="9356" spans="6:6" x14ac:dyDescent="0.25">
      <x:c r="F9356" s="11"/>
    </x:row>
    <x:row r="9357" spans="6:6" x14ac:dyDescent="0.25">
      <x:c r="F9357" s="11"/>
    </x:row>
    <x:row r="9358" spans="6:6" x14ac:dyDescent="0.25">
      <x:c r="F9358" s="11"/>
    </x:row>
    <x:row r="9359" spans="6:6" x14ac:dyDescent="0.25">
      <x:c r="F9359" s="11"/>
    </x:row>
    <x:row r="9360" spans="6:6" x14ac:dyDescent="0.25">
      <x:c r="F9360" s="11"/>
    </x:row>
    <x:row r="9361" spans="6:6" x14ac:dyDescent="0.25">
      <x:c r="F9361" s="11"/>
    </x:row>
    <x:row r="9362" spans="6:6" x14ac:dyDescent="0.25">
      <x:c r="F9362" s="11"/>
    </x:row>
    <x:row r="9363" spans="6:6" x14ac:dyDescent="0.25">
      <x:c r="F9363" s="11"/>
    </x:row>
    <x:row r="9364" spans="6:6" x14ac:dyDescent="0.25">
      <x:c r="F9364" s="11"/>
    </x:row>
    <x:row r="9365" spans="6:6" x14ac:dyDescent="0.25">
      <x:c r="F9365" s="11"/>
    </x:row>
    <x:row r="9366" spans="6:6" x14ac:dyDescent="0.25">
      <x:c r="F9366" s="11"/>
    </x:row>
    <x:row r="9367" spans="6:6" x14ac:dyDescent="0.25">
      <x:c r="F9367" s="11"/>
    </x:row>
    <x:row r="9368" spans="6:6" x14ac:dyDescent="0.25">
      <x:c r="F9368" s="11"/>
    </x:row>
    <x:row r="9369" spans="6:6" x14ac:dyDescent="0.25">
      <x:c r="F9369" s="11"/>
    </x:row>
    <x:row r="9370" spans="6:6" x14ac:dyDescent="0.25">
      <x:c r="F9370" s="11"/>
    </x:row>
    <x:row r="9371" spans="6:6" x14ac:dyDescent="0.25">
      <x:c r="F9371" s="11"/>
    </x:row>
    <x:row r="9372" spans="6:6" x14ac:dyDescent="0.25">
      <x:c r="F9372" s="11"/>
    </x:row>
    <x:row r="9373" spans="6:6" x14ac:dyDescent="0.25">
      <x:c r="F9373" s="11"/>
    </x:row>
    <x:row r="9374" spans="6:6" x14ac:dyDescent="0.25">
      <x:c r="F9374" s="11"/>
    </x:row>
    <x:row r="9375" spans="6:6" x14ac:dyDescent="0.25">
      <x:c r="F9375" s="11"/>
    </x:row>
    <x:row r="9376" spans="6:6" x14ac:dyDescent="0.25">
      <x:c r="F9376" s="11"/>
    </x:row>
    <x:row r="9377" spans="6:6" x14ac:dyDescent="0.25">
      <x:c r="F9377" s="11"/>
    </x:row>
    <x:row r="9378" spans="6:6" x14ac:dyDescent="0.25">
      <x:c r="F9378" s="11"/>
    </x:row>
    <x:row r="9379" spans="6:6" x14ac:dyDescent="0.25">
      <x:c r="F9379" s="11"/>
    </x:row>
    <x:row r="9380" spans="6:6" x14ac:dyDescent="0.25">
      <x:c r="F9380" s="11"/>
    </x:row>
    <x:row r="9381" spans="6:6" x14ac:dyDescent="0.25">
      <x:c r="F9381" s="11"/>
    </x:row>
    <x:row r="9382" spans="6:6" x14ac:dyDescent="0.25">
      <x:c r="F9382" s="11"/>
    </x:row>
    <x:row r="9383" spans="6:6" x14ac:dyDescent="0.25">
      <x:c r="F9383" s="11"/>
    </x:row>
    <x:row r="9384" spans="6:6" x14ac:dyDescent="0.25">
      <x:c r="F9384" s="11"/>
    </x:row>
    <x:row r="9385" spans="6:6" x14ac:dyDescent="0.25">
      <x:c r="F9385" s="11"/>
    </x:row>
    <x:row r="9386" spans="6:6" x14ac:dyDescent="0.25">
      <x:c r="F9386" s="11"/>
    </x:row>
    <x:row r="9387" spans="6:6" x14ac:dyDescent="0.25">
      <x:c r="F9387" s="11"/>
    </x:row>
    <x:row r="9388" spans="6:6" x14ac:dyDescent="0.25">
      <x:c r="F9388" s="11"/>
    </x:row>
    <x:row r="9389" spans="6:6" x14ac:dyDescent="0.25">
      <x:c r="F9389" s="11"/>
    </x:row>
    <x:row r="9390" spans="6:6" x14ac:dyDescent="0.25">
      <x:c r="F9390" s="11"/>
    </x:row>
    <x:row r="9391" spans="6:6" x14ac:dyDescent="0.25">
      <x:c r="F9391" s="11"/>
    </x:row>
    <x:row r="9392" spans="6:6" x14ac:dyDescent="0.25">
      <x:c r="F9392" s="11"/>
    </x:row>
    <x:row r="9393" spans="6:6" x14ac:dyDescent="0.25">
      <x:c r="F9393" s="11"/>
    </x:row>
    <x:row r="9394" spans="6:6" x14ac:dyDescent="0.25">
      <x:c r="F9394" s="11"/>
    </x:row>
    <x:row r="9395" spans="6:6" x14ac:dyDescent="0.25">
      <x:c r="F9395" s="11"/>
    </x:row>
    <x:row r="9396" spans="6:6" x14ac:dyDescent="0.25">
      <x:c r="F9396" s="11"/>
    </x:row>
    <x:row r="9397" spans="6:6" x14ac:dyDescent="0.25">
      <x:c r="F9397" s="11"/>
    </x:row>
    <x:row r="9398" spans="6:6" x14ac:dyDescent="0.25">
      <x:c r="F9398" s="11"/>
    </x:row>
    <x:row r="9399" spans="6:6" x14ac:dyDescent="0.25">
      <x:c r="F9399" s="11"/>
    </x:row>
    <x:row r="9400" spans="6:6" x14ac:dyDescent="0.25">
      <x:c r="F9400" s="11"/>
    </x:row>
    <x:row r="9401" spans="6:6" x14ac:dyDescent="0.25">
      <x:c r="F9401" s="11"/>
    </x:row>
    <x:row r="9402" spans="6:6" x14ac:dyDescent="0.25">
      <x:c r="F9402" s="11"/>
    </x:row>
    <x:row r="9403" spans="6:6" x14ac:dyDescent="0.25">
      <x:c r="F9403" s="11"/>
    </x:row>
    <x:row r="9404" spans="6:6" x14ac:dyDescent="0.25">
      <x:c r="F9404" s="11"/>
    </x:row>
    <x:row r="9405" spans="6:6" x14ac:dyDescent="0.25">
      <x:c r="F9405" s="11"/>
    </x:row>
    <x:row r="9406" spans="6:6" x14ac:dyDescent="0.25">
      <x:c r="F9406" s="11"/>
    </x:row>
    <x:row r="9407" spans="6:6" x14ac:dyDescent="0.25">
      <x:c r="F9407" s="11"/>
    </x:row>
    <x:row r="9408" spans="6:6" x14ac:dyDescent="0.25">
      <x:c r="F9408" s="11"/>
    </x:row>
    <x:row r="9409" spans="6:6" x14ac:dyDescent="0.25">
      <x:c r="F9409" s="11"/>
    </x:row>
    <x:row r="9410" spans="6:6" x14ac:dyDescent="0.25">
      <x:c r="F9410" s="11"/>
    </x:row>
    <x:row r="9411" spans="6:6" x14ac:dyDescent="0.25">
      <x:c r="F9411" s="11"/>
    </x:row>
    <x:row r="9412" spans="6:6" x14ac:dyDescent="0.25">
      <x:c r="F9412" s="11"/>
    </x:row>
    <x:row r="9413" spans="6:6" x14ac:dyDescent="0.25">
      <x:c r="F9413" s="11"/>
    </x:row>
    <x:row r="9414" spans="6:6" x14ac:dyDescent="0.25">
      <x:c r="F9414" s="11"/>
    </x:row>
    <x:row r="9415" spans="6:6" x14ac:dyDescent="0.25">
      <x:c r="F9415" s="11"/>
    </x:row>
    <x:row r="9416" spans="6:6" x14ac:dyDescent="0.25">
      <x:c r="F9416" s="11"/>
    </x:row>
    <x:row r="9417" spans="6:6" x14ac:dyDescent="0.25">
      <x:c r="F9417" s="11"/>
    </x:row>
    <x:row r="9418" spans="6:6" x14ac:dyDescent="0.25">
      <x:c r="F9418" s="11"/>
    </x:row>
    <x:row r="9419" spans="6:6" x14ac:dyDescent="0.25">
      <x:c r="F9419" s="11"/>
    </x:row>
    <x:row r="9420" spans="6:6" x14ac:dyDescent="0.25">
      <x:c r="F9420" s="11"/>
    </x:row>
    <x:row r="9421" spans="6:6" x14ac:dyDescent="0.25">
      <x:c r="F9421" s="11"/>
    </x:row>
    <x:row r="9422" spans="6:6" x14ac:dyDescent="0.25">
      <x:c r="F9422" s="11"/>
    </x:row>
    <x:row r="9423" spans="6:6" x14ac:dyDescent="0.25">
      <x:c r="F9423" s="11"/>
    </x:row>
    <x:row r="9424" spans="6:6" x14ac:dyDescent="0.25">
      <x:c r="F9424" s="11"/>
    </x:row>
    <x:row r="9425" spans="6:6" x14ac:dyDescent="0.25">
      <x:c r="F9425" s="11"/>
    </x:row>
    <x:row r="9426" spans="6:6" x14ac:dyDescent="0.25">
      <x:c r="F9426" s="11"/>
    </x:row>
    <x:row r="9427" spans="6:6" x14ac:dyDescent="0.25">
      <x:c r="F9427" s="11"/>
    </x:row>
    <x:row r="9428" spans="6:6" x14ac:dyDescent="0.25">
      <x:c r="F9428" s="11"/>
    </x:row>
    <x:row r="9429" spans="6:6" x14ac:dyDescent="0.25">
      <x:c r="F9429" s="11"/>
    </x:row>
    <x:row r="9430" spans="6:6" x14ac:dyDescent="0.25">
      <x:c r="F9430" s="11"/>
    </x:row>
    <x:row r="9431" spans="6:6" x14ac:dyDescent="0.25">
      <x:c r="F9431" s="11"/>
    </x:row>
    <x:row r="9432" spans="6:6" x14ac:dyDescent="0.25">
      <x:c r="F9432" s="11"/>
    </x:row>
    <x:row r="9433" spans="6:6" x14ac:dyDescent="0.25">
      <x:c r="F9433" s="11"/>
    </x:row>
    <x:row r="9434" spans="6:6" x14ac:dyDescent="0.25">
      <x:c r="F9434" s="11"/>
    </x:row>
    <x:row r="9435" spans="6:6" x14ac:dyDescent="0.25">
      <x:c r="F9435" s="11"/>
    </x:row>
    <x:row r="9436" spans="6:6" x14ac:dyDescent="0.25">
      <x:c r="F9436" s="11"/>
    </x:row>
    <x:row r="9437" spans="6:6" x14ac:dyDescent="0.25">
      <x:c r="F9437" s="11"/>
    </x:row>
    <x:row r="9438" spans="6:6" x14ac:dyDescent="0.25">
      <x:c r="F9438" s="11"/>
    </x:row>
    <x:row r="9439" spans="6:6" x14ac:dyDescent="0.25">
      <x:c r="F9439" s="11"/>
    </x:row>
    <x:row r="9440" spans="6:6" x14ac:dyDescent="0.25">
      <x:c r="F9440" s="11"/>
    </x:row>
    <x:row r="9441" spans="6:6" x14ac:dyDescent="0.25">
      <x:c r="F9441" s="11"/>
    </x:row>
    <x:row r="9442" spans="6:6" x14ac:dyDescent="0.25">
      <x:c r="F9442" s="11"/>
    </x:row>
    <x:row r="9443" spans="6:6" x14ac:dyDescent="0.25">
      <x:c r="F9443" s="11"/>
    </x:row>
    <x:row r="9444" spans="6:6" x14ac:dyDescent="0.25">
      <x:c r="F9444" s="11"/>
    </x:row>
    <x:row r="9445" spans="6:6" x14ac:dyDescent="0.25">
      <x:c r="F9445" s="11"/>
    </x:row>
    <x:row r="9446" spans="6:6" x14ac:dyDescent="0.25">
      <x:c r="F9446" s="11"/>
    </x:row>
    <x:row r="9447" spans="6:6" x14ac:dyDescent="0.25">
      <x:c r="F9447" s="11"/>
    </x:row>
    <x:row r="9448" spans="6:6" x14ac:dyDescent="0.25">
      <x:c r="F9448" s="11"/>
    </x:row>
    <x:row r="9449" spans="6:6" x14ac:dyDescent="0.25">
      <x:c r="F9449" s="11"/>
    </x:row>
    <x:row r="9450" spans="6:6" x14ac:dyDescent="0.25">
      <x:c r="F9450" s="11"/>
    </x:row>
    <x:row r="9451" spans="6:6" x14ac:dyDescent="0.25">
      <x:c r="F9451" s="11"/>
    </x:row>
    <x:row r="9452" spans="6:6" x14ac:dyDescent="0.25">
      <x:c r="F9452" s="11"/>
    </x:row>
    <x:row r="9453" spans="6:6" x14ac:dyDescent="0.25">
      <x:c r="F9453" s="11"/>
    </x:row>
    <x:row r="9454" spans="6:6" x14ac:dyDescent="0.25">
      <x:c r="F9454" s="11"/>
    </x:row>
    <x:row r="9455" spans="6:6" x14ac:dyDescent="0.25">
      <x:c r="F9455" s="11"/>
    </x:row>
    <x:row r="9456" spans="6:6" x14ac:dyDescent="0.25">
      <x:c r="F9456" s="11"/>
    </x:row>
    <x:row r="9457" spans="6:6" x14ac:dyDescent="0.25">
      <x:c r="F9457" s="11"/>
    </x:row>
    <x:row r="9458" spans="6:6" x14ac:dyDescent="0.25">
      <x:c r="F9458" s="11"/>
    </x:row>
    <x:row r="9459" spans="6:6" x14ac:dyDescent="0.25">
      <x:c r="F9459" s="11"/>
    </x:row>
    <x:row r="9460" spans="6:6" x14ac:dyDescent="0.25">
      <x:c r="F9460" s="11"/>
    </x:row>
    <x:row r="9461" spans="6:6" x14ac:dyDescent="0.25">
      <x:c r="F9461" s="11"/>
    </x:row>
    <x:row r="9462" spans="6:6" x14ac:dyDescent="0.25">
      <x:c r="F9462" s="11"/>
    </x:row>
    <x:row r="9463" spans="6:6" x14ac:dyDescent="0.25">
      <x:c r="F9463" s="11"/>
    </x:row>
    <x:row r="9464" spans="6:6" x14ac:dyDescent="0.25">
      <x:c r="F9464" s="11"/>
    </x:row>
    <x:row r="9465" spans="6:6" x14ac:dyDescent="0.25">
      <x:c r="F9465" s="11"/>
    </x:row>
    <x:row r="9466" spans="6:6" x14ac:dyDescent="0.25">
      <x:c r="F9466" s="11"/>
    </x:row>
    <x:row r="9467" spans="6:6" x14ac:dyDescent="0.25">
      <x:c r="F9467" s="11"/>
    </x:row>
    <x:row r="9468" spans="6:6" x14ac:dyDescent="0.25">
      <x:c r="F9468" s="11"/>
    </x:row>
    <x:row r="9469" spans="6:6" x14ac:dyDescent="0.25">
      <x:c r="F9469" s="11"/>
    </x:row>
    <x:row r="9470" spans="6:6" x14ac:dyDescent="0.25">
      <x:c r="F9470" s="11"/>
    </x:row>
    <x:row r="9471" spans="6:6" x14ac:dyDescent="0.25">
      <x:c r="F9471" s="11"/>
    </x:row>
    <x:row r="9472" spans="6:6" x14ac:dyDescent="0.25">
      <x:c r="F9472" s="11"/>
    </x:row>
    <x:row r="9473" spans="6:6" x14ac:dyDescent="0.25">
      <x:c r="F9473" s="11"/>
    </x:row>
    <x:row r="9474" spans="6:6" x14ac:dyDescent="0.25">
      <x:c r="F9474" s="11"/>
    </x:row>
    <x:row r="9475" spans="6:6" x14ac:dyDescent="0.25">
      <x:c r="F9475" s="11"/>
    </x:row>
    <x:row r="9476" spans="6:6" x14ac:dyDescent="0.25">
      <x:c r="F9476" s="11"/>
    </x:row>
    <x:row r="9477" spans="6:6" x14ac:dyDescent="0.25">
      <x:c r="F9477" s="11"/>
    </x:row>
    <x:row r="9478" spans="6:6" x14ac:dyDescent="0.25">
      <x:c r="F9478" s="11"/>
    </x:row>
    <x:row r="9479" spans="6:6" x14ac:dyDescent="0.25">
      <x:c r="F9479" s="11"/>
    </x:row>
    <x:row r="9480" spans="6:6" x14ac:dyDescent="0.25">
      <x:c r="F9480" s="11"/>
    </x:row>
    <x:row r="9481" spans="6:6" x14ac:dyDescent="0.25">
      <x:c r="F9481" s="11"/>
    </x:row>
    <x:row r="9482" spans="6:6" x14ac:dyDescent="0.25">
      <x:c r="F9482" s="11"/>
    </x:row>
    <x:row r="9483" spans="6:6" x14ac:dyDescent="0.25">
      <x:c r="F9483" s="11"/>
    </x:row>
    <x:row r="9484" spans="6:6" x14ac:dyDescent="0.25">
      <x:c r="F9484" s="11"/>
    </x:row>
    <x:row r="9485" spans="6:6" x14ac:dyDescent="0.25">
      <x:c r="F9485" s="11"/>
    </x:row>
    <x:row r="9486" spans="6:6" x14ac:dyDescent="0.25">
      <x:c r="F9486" s="11"/>
    </x:row>
    <x:row r="9487" spans="6:6" x14ac:dyDescent="0.25">
      <x:c r="F9487" s="11"/>
    </x:row>
    <x:row r="9488" spans="6:6" x14ac:dyDescent="0.25">
      <x:c r="F9488" s="11"/>
    </x:row>
    <x:row r="9489" spans="6:6" x14ac:dyDescent="0.25">
      <x:c r="F9489" s="11"/>
    </x:row>
    <x:row r="9490" spans="6:6" x14ac:dyDescent="0.25">
      <x:c r="F9490" s="11"/>
    </x:row>
    <x:row r="9491" spans="6:6" x14ac:dyDescent="0.25">
      <x:c r="F9491" s="11"/>
    </x:row>
    <x:row r="9492" spans="6:6" x14ac:dyDescent="0.25">
      <x:c r="F9492" s="11"/>
    </x:row>
    <x:row r="9493" spans="6:6" x14ac:dyDescent="0.25">
      <x:c r="F9493" s="11"/>
    </x:row>
    <x:row r="9494" spans="6:6" x14ac:dyDescent="0.25">
      <x:c r="F9494" s="11"/>
    </x:row>
    <x:row r="9495" spans="6:6" x14ac:dyDescent="0.25">
      <x:c r="F9495" s="11"/>
    </x:row>
    <x:row r="9496" spans="6:6" x14ac:dyDescent="0.25">
      <x:c r="F9496" s="11"/>
    </x:row>
    <x:row r="9497" spans="6:6" x14ac:dyDescent="0.25">
      <x:c r="F9497" s="11"/>
    </x:row>
    <x:row r="9498" spans="6:6" x14ac:dyDescent="0.25">
      <x:c r="F9498" s="11"/>
    </x:row>
    <x:row r="9499" spans="6:6" x14ac:dyDescent="0.25">
      <x:c r="F9499" s="11"/>
    </x:row>
    <x:row r="9500" spans="6:6" x14ac:dyDescent="0.25">
      <x:c r="F9500" s="11"/>
    </x:row>
    <x:row r="9501" spans="6:6" x14ac:dyDescent="0.25">
      <x:c r="F9501" s="11"/>
    </x:row>
    <x:row r="9502" spans="6:6" x14ac:dyDescent="0.25">
      <x:c r="F9502" s="11"/>
    </x:row>
    <x:row r="9503" spans="6:6" x14ac:dyDescent="0.25">
      <x:c r="F9503" s="11"/>
    </x:row>
    <x:row r="9504" spans="6:6" x14ac:dyDescent="0.25">
      <x:c r="F9504" s="11"/>
    </x:row>
    <x:row r="9505" spans="6:6" x14ac:dyDescent="0.25">
      <x:c r="F9505" s="11"/>
    </x:row>
    <x:row r="9506" spans="6:6" x14ac:dyDescent="0.25">
      <x:c r="F9506" s="11"/>
    </x:row>
    <x:row r="9507" spans="6:6" x14ac:dyDescent="0.25">
      <x:c r="F9507" s="11"/>
    </x:row>
    <x:row r="9508" spans="6:6" x14ac:dyDescent="0.25">
      <x:c r="F9508" s="11"/>
    </x:row>
    <x:row r="9509" spans="6:6" x14ac:dyDescent="0.25">
      <x:c r="F9509" s="11"/>
    </x:row>
    <x:row r="9510" spans="6:6" x14ac:dyDescent="0.25">
      <x:c r="F9510" s="11"/>
    </x:row>
    <x:row r="9511" spans="6:6" x14ac:dyDescent="0.25">
      <x:c r="F9511" s="11"/>
    </x:row>
    <x:row r="9512" spans="6:6" x14ac:dyDescent="0.25">
      <x:c r="F9512" s="11"/>
    </x:row>
    <x:row r="9513" spans="6:6" x14ac:dyDescent="0.25">
      <x:c r="F9513" s="11"/>
    </x:row>
    <x:row r="9514" spans="6:6" x14ac:dyDescent="0.25">
      <x:c r="F9514" s="11"/>
    </x:row>
    <x:row r="9515" spans="6:6" x14ac:dyDescent="0.25">
      <x:c r="F9515" s="11"/>
    </x:row>
    <x:row r="9516" spans="6:6" x14ac:dyDescent="0.25">
      <x:c r="F9516" s="11"/>
    </x:row>
    <x:row r="9517" spans="6:6" x14ac:dyDescent="0.25">
      <x:c r="F9517" s="11"/>
    </x:row>
    <x:row r="9518" spans="6:6" x14ac:dyDescent="0.25">
      <x:c r="F9518" s="11"/>
    </x:row>
    <x:row r="9519" spans="6:6" x14ac:dyDescent="0.25">
      <x:c r="F9519" s="11"/>
    </x:row>
    <x:row r="9520" spans="6:6" x14ac:dyDescent="0.25">
      <x:c r="F9520" s="11"/>
    </x:row>
    <x:row r="9521" spans="6:6" x14ac:dyDescent="0.25">
      <x:c r="F9521" s="11"/>
    </x:row>
    <x:row r="9522" spans="6:6" x14ac:dyDescent="0.25">
      <x:c r="F9522" s="11"/>
    </x:row>
    <x:row r="9523" spans="6:6" x14ac:dyDescent="0.25">
      <x:c r="F9523" s="11"/>
    </x:row>
    <x:row r="9524" spans="6:6" x14ac:dyDescent="0.25">
      <x:c r="F9524" s="11"/>
    </x:row>
    <x:row r="9525" spans="6:6" x14ac:dyDescent="0.25">
      <x:c r="F9525" s="11"/>
    </x:row>
    <x:row r="9526" spans="6:6" x14ac:dyDescent="0.25">
      <x:c r="F9526" s="11"/>
    </x:row>
    <x:row r="9527" spans="6:6" x14ac:dyDescent="0.25">
      <x:c r="F9527" s="11"/>
    </x:row>
    <x:row r="9528" spans="6:6" x14ac:dyDescent="0.25">
      <x:c r="F9528" s="11"/>
    </x:row>
    <x:row r="9529" spans="6:6" x14ac:dyDescent="0.25">
      <x:c r="F9529" s="11"/>
    </x:row>
    <x:row r="9530" spans="6:6" x14ac:dyDescent="0.25">
      <x:c r="F9530" s="11"/>
    </x:row>
    <x:row r="9531" spans="6:6" x14ac:dyDescent="0.25">
      <x:c r="F9531" s="11"/>
    </x:row>
    <x:row r="9532" spans="6:6" x14ac:dyDescent="0.25">
      <x:c r="F9532" s="11"/>
    </x:row>
    <x:row r="9533" spans="6:6" x14ac:dyDescent="0.25">
      <x:c r="F9533" s="11"/>
    </x:row>
    <x:row r="9534" spans="6:6" x14ac:dyDescent="0.25">
      <x:c r="F9534" s="11"/>
    </x:row>
    <x:row r="9535" spans="6:6" x14ac:dyDescent="0.25">
      <x:c r="F9535" s="11"/>
    </x:row>
    <x:row r="9536" spans="6:6" x14ac:dyDescent="0.25">
      <x:c r="F9536" s="11"/>
    </x:row>
    <x:row r="9537" spans="6:6" x14ac:dyDescent="0.25">
      <x:c r="F9537" s="11"/>
    </x:row>
    <x:row r="9538" spans="6:6" x14ac:dyDescent="0.25">
      <x:c r="F9538" s="11"/>
    </x:row>
    <x:row r="9539" spans="6:6" x14ac:dyDescent="0.25">
      <x:c r="F9539" s="11"/>
    </x:row>
    <x:row r="9540" spans="6:6" x14ac:dyDescent="0.25">
      <x:c r="F9540" s="11"/>
    </x:row>
    <x:row r="9541" spans="6:6" x14ac:dyDescent="0.25">
      <x:c r="F9541" s="11"/>
    </x:row>
    <x:row r="9542" spans="6:6" x14ac:dyDescent="0.25">
      <x:c r="F9542" s="11"/>
    </x:row>
    <x:row r="9543" spans="6:6" x14ac:dyDescent="0.25">
      <x:c r="F9543" s="11"/>
    </x:row>
    <x:row r="9544" spans="6:6" x14ac:dyDescent="0.25">
      <x:c r="F9544" s="11"/>
    </x:row>
    <x:row r="9545" spans="6:6" x14ac:dyDescent="0.25">
      <x:c r="F9545" s="11"/>
    </x:row>
    <x:row r="9546" spans="6:6" x14ac:dyDescent="0.25">
      <x:c r="F9546" s="11"/>
    </x:row>
    <x:row r="9547" spans="6:6" x14ac:dyDescent="0.25">
      <x:c r="F9547" s="11"/>
    </x:row>
    <x:row r="9548" spans="6:6" x14ac:dyDescent="0.25">
      <x:c r="F9548" s="11"/>
    </x:row>
    <x:row r="9549" spans="6:6" x14ac:dyDescent="0.25">
      <x:c r="F9549" s="11"/>
    </x:row>
    <x:row r="9550" spans="6:6" x14ac:dyDescent="0.25">
      <x:c r="F9550" s="11"/>
    </x:row>
    <x:row r="9551" spans="6:6" x14ac:dyDescent="0.25">
      <x:c r="F9551" s="11"/>
    </x:row>
    <x:row r="9552" spans="6:6" x14ac:dyDescent="0.25">
      <x:c r="F9552" s="11"/>
    </x:row>
    <x:row r="9553" spans="6:6" x14ac:dyDescent="0.25">
      <x:c r="F9553" s="11"/>
    </x:row>
    <x:row r="9554" spans="6:6" x14ac:dyDescent="0.25">
      <x:c r="F9554" s="11"/>
    </x:row>
    <x:row r="9555" spans="6:6" x14ac:dyDescent="0.25">
      <x:c r="F9555" s="11"/>
    </x:row>
    <x:row r="9556" spans="6:6" x14ac:dyDescent="0.25">
      <x:c r="F9556" s="11"/>
    </x:row>
    <x:row r="9557" spans="6:6" x14ac:dyDescent="0.25">
      <x:c r="F9557" s="11"/>
    </x:row>
    <x:row r="9558" spans="6:6" x14ac:dyDescent="0.25">
      <x:c r="F9558" s="11"/>
    </x:row>
    <x:row r="9559" spans="6:6" x14ac:dyDescent="0.25">
      <x:c r="F9559" s="11"/>
    </x:row>
    <x:row r="9560" spans="6:6" x14ac:dyDescent="0.25">
      <x:c r="F9560" s="11"/>
    </x:row>
    <x:row r="9561" spans="6:6" x14ac:dyDescent="0.25">
      <x:c r="F9561" s="11"/>
    </x:row>
    <x:row r="9562" spans="6:6" x14ac:dyDescent="0.25">
      <x:c r="F9562" s="11"/>
    </x:row>
    <x:row r="9563" spans="6:6" x14ac:dyDescent="0.25">
      <x:c r="F9563" s="11"/>
    </x:row>
    <x:row r="9564" spans="6:6" x14ac:dyDescent="0.25">
      <x:c r="F9564" s="11"/>
    </x:row>
    <x:row r="9565" spans="6:6" x14ac:dyDescent="0.25">
      <x:c r="F9565" s="11"/>
    </x:row>
    <x:row r="9566" spans="6:6" x14ac:dyDescent="0.25">
      <x:c r="F9566" s="11"/>
    </x:row>
    <x:row r="9567" spans="6:6" x14ac:dyDescent="0.25">
      <x:c r="F9567" s="11"/>
    </x:row>
    <x:row r="9568" spans="6:6" x14ac:dyDescent="0.25">
      <x:c r="F9568" s="11"/>
    </x:row>
    <x:row r="9569" spans="6:6" x14ac:dyDescent="0.25">
      <x:c r="F9569" s="11"/>
    </x:row>
    <x:row r="9570" spans="6:6" x14ac:dyDescent="0.25">
      <x:c r="F9570" s="11"/>
    </x:row>
    <x:row r="9571" spans="6:6" x14ac:dyDescent="0.25">
      <x:c r="F9571" s="11"/>
    </x:row>
    <x:row r="9572" spans="6:6" x14ac:dyDescent="0.25">
      <x:c r="F9572" s="11"/>
    </x:row>
    <x:row r="9573" spans="6:6" x14ac:dyDescent="0.25">
      <x:c r="F9573" s="11"/>
    </x:row>
    <x:row r="9574" spans="6:6" x14ac:dyDescent="0.25">
      <x:c r="F9574" s="11"/>
    </x:row>
    <x:row r="9575" spans="6:6" x14ac:dyDescent="0.25">
      <x:c r="F9575" s="11"/>
    </x:row>
    <x:row r="9576" spans="6:6" x14ac:dyDescent="0.25">
      <x:c r="F9576" s="11"/>
    </x:row>
    <x:row r="9577" spans="6:6" x14ac:dyDescent="0.25">
      <x:c r="F9577" s="11"/>
    </x:row>
    <x:row r="9578" spans="6:6" x14ac:dyDescent="0.25">
      <x:c r="F9578" s="11"/>
    </x:row>
    <x:row r="9579" spans="6:6" x14ac:dyDescent="0.25">
      <x:c r="F9579" s="11"/>
    </x:row>
    <x:row r="9580" spans="6:6" x14ac:dyDescent="0.25">
      <x:c r="F9580" s="11"/>
    </x:row>
    <x:row r="9581" spans="6:6" x14ac:dyDescent="0.25">
      <x:c r="F9581" s="11"/>
    </x:row>
    <x:row r="9582" spans="6:6" x14ac:dyDescent="0.25">
      <x:c r="F9582" s="11"/>
    </x:row>
    <x:row r="9583" spans="6:6" x14ac:dyDescent="0.25">
      <x:c r="F9583" s="11"/>
    </x:row>
    <x:row r="9584" spans="6:6" x14ac:dyDescent="0.25">
      <x:c r="F9584" s="11"/>
    </x:row>
    <x:row r="9585" spans="6:6" x14ac:dyDescent="0.25">
      <x:c r="F9585" s="11"/>
    </x:row>
    <x:row r="9586" spans="6:6" x14ac:dyDescent="0.25">
      <x:c r="F9586" s="11"/>
    </x:row>
    <x:row r="9587" spans="6:6" x14ac:dyDescent="0.25">
      <x:c r="F9587" s="11"/>
    </x:row>
    <x:row r="9588" spans="6:6" x14ac:dyDescent="0.25">
      <x:c r="F9588" s="11"/>
    </x:row>
    <x:row r="9589" spans="6:6" x14ac:dyDescent="0.25">
      <x:c r="F9589" s="11"/>
    </x:row>
    <x:row r="9590" spans="6:6" x14ac:dyDescent="0.25">
      <x:c r="F9590" s="11"/>
    </x:row>
    <x:row r="9591" spans="6:6" x14ac:dyDescent="0.25">
      <x:c r="F9591" s="11"/>
    </x:row>
    <x:row r="9592" spans="6:6" x14ac:dyDescent="0.25">
      <x:c r="F9592" s="11"/>
    </x:row>
    <x:row r="9593" spans="6:6" x14ac:dyDescent="0.25">
      <x:c r="F9593" s="11"/>
    </x:row>
    <x:row r="9594" spans="6:6" x14ac:dyDescent="0.25">
      <x:c r="F9594" s="11"/>
    </x:row>
    <x:row r="9595" spans="6:6" x14ac:dyDescent="0.25">
      <x:c r="F9595" s="11"/>
    </x:row>
    <x:row r="9596" spans="6:6" x14ac:dyDescent="0.25">
      <x:c r="F9596" s="11"/>
    </x:row>
    <x:row r="9597" spans="6:6" x14ac:dyDescent="0.25">
      <x:c r="F9597" s="11"/>
    </x:row>
    <x:row r="9598" spans="6:6" x14ac:dyDescent="0.25">
      <x:c r="F9598" s="11"/>
    </x:row>
    <x:row r="9599" spans="6:6" x14ac:dyDescent="0.25">
      <x:c r="F9599" s="11"/>
    </x:row>
    <x:row r="9600" spans="6:6" x14ac:dyDescent="0.25">
      <x:c r="F9600" s="11"/>
    </x:row>
    <x:row r="9601" spans="6:6" x14ac:dyDescent="0.25">
      <x:c r="F9601" s="11"/>
    </x:row>
    <x:row r="9602" spans="6:6" x14ac:dyDescent="0.25">
      <x:c r="F9602" s="11"/>
    </x:row>
    <x:row r="9603" spans="6:6" x14ac:dyDescent="0.25">
      <x:c r="F9603" s="11"/>
    </x:row>
    <x:row r="9604" spans="6:6" x14ac:dyDescent="0.25">
      <x:c r="F9604" s="11"/>
    </x:row>
    <x:row r="9605" spans="6:6" x14ac:dyDescent="0.25">
      <x:c r="F9605" s="11"/>
    </x:row>
    <x:row r="9606" spans="6:6" x14ac:dyDescent="0.25">
      <x:c r="F9606" s="11"/>
    </x:row>
    <x:row r="9607" spans="6:6" x14ac:dyDescent="0.25">
      <x:c r="F9607" s="11"/>
    </x:row>
    <x:row r="9608" spans="6:6" x14ac:dyDescent="0.25">
      <x:c r="F9608" s="11"/>
    </x:row>
    <x:row r="9609" spans="6:6" x14ac:dyDescent="0.25">
      <x:c r="F9609" s="11"/>
    </x:row>
    <x:row r="9610" spans="6:6" x14ac:dyDescent="0.25">
      <x:c r="F9610" s="11"/>
    </x:row>
    <x:row r="9611" spans="6:6" x14ac:dyDescent="0.25">
      <x:c r="F9611" s="11"/>
    </x:row>
    <x:row r="9612" spans="6:6" x14ac:dyDescent="0.25">
      <x:c r="F9612" s="11"/>
    </x:row>
    <x:row r="9613" spans="6:6" x14ac:dyDescent="0.25">
      <x:c r="F9613" s="11"/>
    </x:row>
    <x:row r="9614" spans="6:6" x14ac:dyDescent="0.25">
      <x:c r="F9614" s="11"/>
    </x:row>
    <x:row r="9615" spans="6:6" x14ac:dyDescent="0.25">
      <x:c r="F9615" s="11"/>
    </x:row>
    <x:row r="9616" spans="6:6" x14ac:dyDescent="0.25">
      <x:c r="F9616" s="11"/>
    </x:row>
    <x:row r="9617" spans="6:6" x14ac:dyDescent="0.25">
      <x:c r="F9617" s="11"/>
    </x:row>
    <x:row r="9618" spans="6:6" x14ac:dyDescent="0.25">
      <x:c r="F9618" s="11"/>
    </x:row>
    <x:row r="9619" spans="6:6" x14ac:dyDescent="0.25">
      <x:c r="F9619" s="11"/>
    </x:row>
    <x:row r="9620" spans="6:6" x14ac:dyDescent="0.25">
      <x:c r="F9620" s="11"/>
    </x:row>
    <x:row r="9621" spans="6:6" x14ac:dyDescent="0.25">
      <x:c r="F9621" s="11"/>
    </x:row>
    <x:row r="9622" spans="6:6" x14ac:dyDescent="0.25">
      <x:c r="F9622" s="11"/>
    </x:row>
    <x:row r="9623" spans="6:6" x14ac:dyDescent="0.25">
      <x:c r="F9623" s="11"/>
    </x:row>
    <x:row r="9624" spans="6:6" x14ac:dyDescent="0.25">
      <x:c r="F9624" s="11"/>
    </x:row>
    <x:row r="9625" spans="6:6" x14ac:dyDescent="0.25">
      <x:c r="F9625" s="11"/>
    </x:row>
    <x:row r="9626" spans="6:6" x14ac:dyDescent="0.25">
      <x:c r="F9626" s="11"/>
    </x:row>
    <x:row r="9627" spans="6:6" x14ac:dyDescent="0.25">
      <x:c r="F9627" s="11"/>
    </x:row>
    <x:row r="9628" spans="6:6" x14ac:dyDescent="0.25">
      <x:c r="F9628" s="11"/>
    </x:row>
    <x:row r="9629" spans="6:6" x14ac:dyDescent="0.25">
      <x:c r="F9629" s="11"/>
    </x:row>
    <x:row r="9630" spans="6:6" x14ac:dyDescent="0.25">
      <x:c r="F9630" s="11"/>
    </x:row>
    <x:row r="9631" spans="6:6" x14ac:dyDescent="0.25">
      <x:c r="F9631" s="11"/>
    </x:row>
    <x:row r="9632" spans="6:6" x14ac:dyDescent="0.25">
      <x:c r="F9632" s="11"/>
    </x:row>
    <x:row r="9633" spans="6:6" x14ac:dyDescent="0.25">
      <x:c r="F9633" s="11"/>
    </x:row>
    <x:row r="9634" spans="6:6" x14ac:dyDescent="0.25">
      <x:c r="F9634" s="11"/>
    </x:row>
    <x:row r="9635" spans="6:6" x14ac:dyDescent="0.25">
      <x:c r="F9635" s="11"/>
    </x:row>
    <x:row r="9636" spans="6:6" x14ac:dyDescent="0.25">
      <x:c r="F9636" s="11"/>
    </x:row>
    <x:row r="9637" spans="6:6" x14ac:dyDescent="0.25">
      <x:c r="F9637" s="11"/>
    </x:row>
    <x:row r="9638" spans="6:6" x14ac:dyDescent="0.25">
      <x:c r="F9638" s="11"/>
    </x:row>
    <x:row r="9639" spans="6:6" x14ac:dyDescent="0.25">
      <x:c r="F9639" s="11"/>
    </x:row>
    <x:row r="9640" spans="6:6" x14ac:dyDescent="0.25">
      <x:c r="F9640" s="11"/>
    </x:row>
    <x:row r="9641" spans="6:6" x14ac:dyDescent="0.25">
      <x:c r="F9641" s="11"/>
    </x:row>
    <x:row r="9642" spans="6:6" x14ac:dyDescent="0.25">
      <x:c r="F9642" s="11"/>
    </x:row>
    <x:row r="9643" spans="6:6" x14ac:dyDescent="0.25">
      <x:c r="F9643" s="11"/>
    </x:row>
    <x:row r="9644" spans="6:6" x14ac:dyDescent="0.25">
      <x:c r="F9644" s="11"/>
    </x:row>
    <x:row r="9645" spans="6:6" x14ac:dyDescent="0.25">
      <x:c r="F9645" s="11"/>
    </x:row>
    <x:row r="9646" spans="6:6" x14ac:dyDescent="0.25">
      <x:c r="F9646" s="11"/>
    </x:row>
    <x:row r="9647" spans="6:6" x14ac:dyDescent="0.25">
      <x:c r="F9647" s="11"/>
    </x:row>
    <x:row r="9648" spans="6:6" x14ac:dyDescent="0.25">
      <x:c r="F9648" s="11"/>
    </x:row>
    <x:row r="9649" spans="6:6" x14ac:dyDescent="0.25">
      <x:c r="F9649" s="11"/>
    </x:row>
    <x:row r="9650" spans="6:6" x14ac:dyDescent="0.25">
      <x:c r="F9650" s="11"/>
    </x:row>
    <x:row r="9651" spans="6:6" x14ac:dyDescent="0.25">
      <x:c r="F9651" s="11"/>
    </x:row>
    <x:row r="9652" spans="6:6" x14ac:dyDescent="0.25">
      <x:c r="F9652" s="11"/>
    </x:row>
    <x:row r="9653" spans="6:6" x14ac:dyDescent="0.25">
      <x:c r="F9653" s="11"/>
    </x:row>
    <x:row r="9654" spans="6:6" x14ac:dyDescent="0.25">
      <x:c r="F9654" s="11"/>
    </x:row>
    <x:row r="9655" spans="6:6" x14ac:dyDescent="0.25">
      <x:c r="F9655" s="11"/>
    </x:row>
    <x:row r="9656" spans="6:6" x14ac:dyDescent="0.25">
      <x:c r="F9656" s="11"/>
    </x:row>
    <x:row r="9657" spans="6:6" x14ac:dyDescent="0.25">
      <x:c r="F9657" s="11"/>
    </x:row>
    <x:row r="9658" spans="6:6" x14ac:dyDescent="0.25">
      <x:c r="F9658" s="11"/>
    </x:row>
    <x:row r="9659" spans="6:6" x14ac:dyDescent="0.25">
      <x:c r="F9659" s="11"/>
    </x:row>
    <x:row r="9660" spans="6:6" x14ac:dyDescent="0.25">
      <x:c r="F9660" s="11"/>
    </x:row>
    <x:row r="9661" spans="6:6" x14ac:dyDescent="0.25">
      <x:c r="F9661" s="11"/>
    </x:row>
    <x:row r="9662" spans="6:6" x14ac:dyDescent="0.25">
      <x:c r="F9662" s="11"/>
    </x:row>
    <x:row r="9663" spans="6:6" x14ac:dyDescent="0.25">
      <x:c r="F9663" s="11"/>
    </x:row>
    <x:row r="9664" spans="6:6" x14ac:dyDescent="0.25">
      <x:c r="F9664" s="11"/>
    </x:row>
    <x:row r="9665" spans="6:6" x14ac:dyDescent="0.25">
      <x:c r="F9665" s="11"/>
    </x:row>
    <x:row r="9666" spans="6:6" x14ac:dyDescent="0.25">
      <x:c r="F9666" s="11"/>
    </x:row>
    <x:row r="9667" spans="6:6" x14ac:dyDescent="0.25">
      <x:c r="F9667" s="11"/>
    </x:row>
    <x:row r="9668" spans="6:6" x14ac:dyDescent="0.25">
      <x:c r="F9668" s="11"/>
    </x:row>
    <x:row r="9669" spans="6:6" x14ac:dyDescent="0.25">
      <x:c r="F9669" s="11"/>
    </x:row>
    <x:row r="9670" spans="6:6" x14ac:dyDescent="0.25">
      <x:c r="F9670" s="11"/>
    </x:row>
    <x:row r="9671" spans="6:6" x14ac:dyDescent="0.25">
      <x:c r="F9671" s="11"/>
    </x:row>
    <x:row r="9672" spans="6:6" x14ac:dyDescent="0.25">
      <x:c r="F9672" s="11"/>
    </x:row>
    <x:row r="9673" spans="6:6" x14ac:dyDescent="0.25">
      <x:c r="F9673" s="11"/>
    </x:row>
    <x:row r="9674" spans="6:6" x14ac:dyDescent="0.25">
      <x:c r="F9674" s="11"/>
    </x:row>
    <x:row r="9675" spans="6:6" x14ac:dyDescent="0.25">
      <x:c r="F9675" s="11"/>
    </x:row>
    <x:row r="9676" spans="6:6" x14ac:dyDescent="0.25">
      <x:c r="F9676" s="11"/>
    </x:row>
    <x:row r="9677" spans="6:6" x14ac:dyDescent="0.25">
      <x:c r="F9677" s="11"/>
    </x:row>
    <x:row r="9678" spans="6:6" x14ac:dyDescent="0.25">
      <x:c r="F9678" s="11"/>
    </x:row>
    <x:row r="9679" spans="6:6" x14ac:dyDescent="0.25">
      <x:c r="F9679" s="11"/>
    </x:row>
    <x:row r="9680" spans="6:6" x14ac:dyDescent="0.25">
      <x:c r="F9680" s="11"/>
    </x:row>
    <x:row r="9681" spans="6:6" x14ac:dyDescent="0.25">
      <x:c r="F9681" s="11"/>
    </x:row>
    <x:row r="9682" spans="6:6" x14ac:dyDescent="0.25">
      <x:c r="F9682" s="11"/>
    </x:row>
    <x:row r="9683" spans="6:6" x14ac:dyDescent="0.25">
      <x:c r="F9683" s="11"/>
    </x:row>
    <x:row r="9684" spans="6:6" x14ac:dyDescent="0.25">
      <x:c r="F9684" s="11"/>
    </x:row>
    <x:row r="9685" spans="6:6" x14ac:dyDescent="0.25">
      <x:c r="F9685" s="11"/>
    </x:row>
    <x:row r="9686" spans="6:6" x14ac:dyDescent="0.25">
      <x:c r="F9686" s="11"/>
    </x:row>
    <x:row r="9687" spans="6:6" x14ac:dyDescent="0.25">
      <x:c r="F9687" s="11"/>
    </x:row>
    <x:row r="9688" spans="6:6" x14ac:dyDescent="0.25">
      <x:c r="F9688" s="11"/>
    </x:row>
    <x:row r="9689" spans="6:6" x14ac:dyDescent="0.25">
      <x:c r="F9689" s="11"/>
    </x:row>
    <x:row r="9690" spans="6:6" x14ac:dyDescent="0.25">
      <x:c r="F9690" s="11"/>
    </x:row>
    <x:row r="9691" spans="6:6" x14ac:dyDescent="0.25">
      <x:c r="F9691" s="11"/>
    </x:row>
    <x:row r="9692" spans="6:6" x14ac:dyDescent="0.25">
      <x:c r="F9692" s="11"/>
    </x:row>
    <x:row r="9693" spans="6:6" x14ac:dyDescent="0.25">
      <x:c r="F9693" s="11"/>
    </x:row>
    <x:row r="9694" spans="6:6" x14ac:dyDescent="0.25">
      <x:c r="F9694" s="11"/>
    </x:row>
    <x:row r="9695" spans="6:6" x14ac:dyDescent="0.25">
      <x:c r="F9695" s="11"/>
    </x:row>
    <x:row r="9696" spans="6:6" x14ac:dyDescent="0.25">
      <x:c r="F9696" s="11"/>
    </x:row>
    <x:row r="9697" spans="6:6" x14ac:dyDescent="0.25">
      <x:c r="F9697" s="11"/>
    </x:row>
    <x:row r="9698" spans="6:6" x14ac:dyDescent="0.25">
      <x:c r="F9698" s="11"/>
    </x:row>
    <x:row r="9699" spans="6:6" x14ac:dyDescent="0.25">
      <x:c r="F9699" s="11"/>
    </x:row>
    <x:row r="9700" spans="6:6" x14ac:dyDescent="0.25">
      <x:c r="F9700" s="11"/>
    </x:row>
    <x:row r="9701" spans="6:6" x14ac:dyDescent="0.25">
      <x:c r="F9701" s="11"/>
    </x:row>
    <x:row r="9702" spans="6:6" x14ac:dyDescent="0.25">
      <x:c r="F9702" s="11"/>
    </x:row>
    <x:row r="9703" spans="6:6" x14ac:dyDescent="0.25">
      <x:c r="F9703" s="11"/>
    </x:row>
    <x:row r="9704" spans="6:6" x14ac:dyDescent="0.25">
      <x:c r="F9704" s="11"/>
    </x:row>
    <x:row r="9705" spans="6:6" x14ac:dyDescent="0.25">
      <x:c r="F9705" s="11"/>
    </x:row>
    <x:row r="9706" spans="6:6" x14ac:dyDescent="0.25">
      <x:c r="F9706" s="11"/>
    </x:row>
    <x:row r="9707" spans="6:6" x14ac:dyDescent="0.25">
      <x:c r="F9707" s="11"/>
    </x:row>
    <x:row r="9708" spans="6:6" x14ac:dyDescent="0.25">
      <x:c r="F9708" s="11"/>
    </x:row>
    <x:row r="9709" spans="6:6" x14ac:dyDescent="0.25">
      <x:c r="F9709" s="11"/>
    </x:row>
    <x:row r="9710" spans="6:6" x14ac:dyDescent="0.25">
      <x:c r="F9710" s="11"/>
    </x:row>
    <x:row r="9711" spans="6:6" x14ac:dyDescent="0.25">
      <x:c r="F9711" s="11"/>
    </x:row>
    <x:row r="9712" spans="6:6" x14ac:dyDescent="0.25">
      <x:c r="F9712" s="11"/>
    </x:row>
    <x:row r="9713" spans="6:6" x14ac:dyDescent="0.25">
      <x:c r="F9713" s="11"/>
    </x:row>
    <x:row r="9714" spans="6:6" x14ac:dyDescent="0.25">
      <x:c r="F9714" s="11"/>
    </x:row>
    <x:row r="9715" spans="6:6" x14ac:dyDescent="0.25">
      <x:c r="F9715" s="11"/>
    </x:row>
    <x:row r="9716" spans="6:6" x14ac:dyDescent="0.25">
      <x:c r="F9716" s="11"/>
    </x:row>
    <x:row r="9717" spans="6:6" x14ac:dyDescent="0.25">
      <x:c r="F9717" s="11"/>
    </x:row>
    <x:row r="9718" spans="6:6" x14ac:dyDescent="0.25">
      <x:c r="F9718" s="11"/>
    </x:row>
    <x:row r="9719" spans="6:6" x14ac:dyDescent="0.25">
      <x:c r="F9719" s="11"/>
    </x:row>
    <x:row r="9720" spans="6:6" x14ac:dyDescent="0.25">
      <x:c r="F9720" s="11"/>
    </x:row>
    <x:row r="9721" spans="6:6" x14ac:dyDescent="0.25">
      <x:c r="F9721" s="11"/>
    </x:row>
    <x:row r="9722" spans="6:6" x14ac:dyDescent="0.25">
      <x:c r="F9722" s="11"/>
    </x:row>
    <x:row r="9723" spans="6:6" x14ac:dyDescent="0.25">
      <x:c r="F9723" s="11"/>
    </x:row>
    <x:row r="9724" spans="6:6" x14ac:dyDescent="0.25">
      <x:c r="F9724" s="11"/>
    </x:row>
    <x:row r="9725" spans="6:6" x14ac:dyDescent="0.25">
      <x:c r="F9725" s="11"/>
    </x:row>
    <x:row r="9726" spans="6:6" x14ac:dyDescent="0.25">
      <x:c r="F9726" s="11"/>
    </x:row>
    <x:row r="9727" spans="6:6" x14ac:dyDescent="0.25">
      <x:c r="F9727" s="11"/>
    </x:row>
    <x:row r="9728" spans="6:6" x14ac:dyDescent="0.25">
      <x:c r="F9728" s="11"/>
    </x:row>
    <x:row r="9729" spans="6:6" x14ac:dyDescent="0.25">
      <x:c r="F9729" s="11"/>
    </x:row>
    <x:row r="9730" spans="6:6" x14ac:dyDescent="0.25">
      <x:c r="F9730" s="11"/>
    </x:row>
    <x:row r="9731" spans="6:6" x14ac:dyDescent="0.25">
      <x:c r="F9731" s="11"/>
    </x:row>
    <x:row r="9732" spans="6:6" x14ac:dyDescent="0.25">
      <x:c r="F9732" s="11"/>
    </x:row>
    <x:row r="9733" spans="6:6" x14ac:dyDescent="0.25">
      <x:c r="F9733" s="11"/>
    </x:row>
    <x:row r="9734" spans="6:6" x14ac:dyDescent="0.25">
      <x:c r="F9734" s="11"/>
    </x:row>
    <x:row r="9735" spans="6:6" x14ac:dyDescent="0.25">
      <x:c r="F9735" s="11"/>
    </x:row>
    <x:row r="9736" spans="6:6" x14ac:dyDescent="0.25">
      <x:c r="F9736" s="11"/>
    </x:row>
    <x:row r="9737" spans="6:6" x14ac:dyDescent="0.25">
      <x:c r="F9737" s="11"/>
    </x:row>
    <x:row r="9738" spans="6:6" x14ac:dyDescent="0.25">
      <x:c r="F9738" s="11"/>
    </x:row>
    <x:row r="9739" spans="6:6" x14ac:dyDescent="0.25">
      <x:c r="F9739" s="11"/>
    </x:row>
    <x:row r="9740" spans="6:6" x14ac:dyDescent="0.25">
      <x:c r="F9740" s="11"/>
    </x:row>
    <x:row r="9741" spans="6:6" x14ac:dyDescent="0.25">
      <x:c r="F9741" s="11"/>
    </x:row>
    <x:row r="9742" spans="6:6" x14ac:dyDescent="0.25">
      <x:c r="F9742" s="11"/>
    </x:row>
    <x:row r="9743" spans="6:6" x14ac:dyDescent="0.25">
      <x:c r="F9743" s="11"/>
    </x:row>
    <x:row r="9744" spans="6:6" x14ac:dyDescent="0.25">
      <x:c r="F9744" s="11"/>
    </x:row>
    <x:row r="9745" spans="6:6" x14ac:dyDescent="0.25">
      <x:c r="F9745" s="11"/>
    </x:row>
    <x:row r="9746" spans="6:6" x14ac:dyDescent="0.25">
      <x:c r="F9746" s="11"/>
    </x:row>
    <x:row r="9747" spans="6:6" x14ac:dyDescent="0.25">
      <x:c r="F9747" s="11"/>
    </x:row>
    <x:row r="9748" spans="6:6" x14ac:dyDescent="0.25">
      <x:c r="F9748" s="11"/>
    </x:row>
    <x:row r="9749" spans="6:6" x14ac:dyDescent="0.25">
      <x:c r="F9749" s="11"/>
    </x:row>
    <x:row r="9750" spans="6:6" x14ac:dyDescent="0.25">
      <x:c r="F9750" s="11"/>
    </x:row>
    <x:row r="9751" spans="6:6" x14ac:dyDescent="0.25">
      <x:c r="F9751" s="11"/>
    </x:row>
    <x:row r="9752" spans="6:6" x14ac:dyDescent="0.25">
      <x:c r="F9752" s="11"/>
    </x:row>
    <x:row r="9753" spans="6:6" x14ac:dyDescent="0.25">
      <x:c r="F9753" s="11"/>
    </x:row>
    <x:row r="9754" spans="6:6" x14ac:dyDescent="0.25">
      <x:c r="F9754" s="11"/>
    </x:row>
    <x:row r="9755" spans="6:6" x14ac:dyDescent="0.25">
      <x:c r="F9755" s="11"/>
    </x:row>
    <x:row r="9756" spans="6:6" x14ac:dyDescent="0.25">
      <x:c r="F9756" s="11"/>
    </x:row>
    <x:row r="9757" spans="6:6" x14ac:dyDescent="0.25">
      <x:c r="F9757" s="11"/>
    </x:row>
    <x:row r="9758" spans="6:6" x14ac:dyDescent="0.25">
      <x:c r="F9758" s="11"/>
    </x:row>
    <x:row r="9759" spans="6:6" x14ac:dyDescent="0.25">
      <x:c r="F9759" s="11"/>
    </x:row>
    <x:row r="9760" spans="6:6" x14ac:dyDescent="0.25">
      <x:c r="F9760" s="11"/>
    </x:row>
    <x:row r="9761" spans="6:6" x14ac:dyDescent="0.25">
      <x:c r="F9761" s="11"/>
    </x:row>
    <x:row r="9762" spans="6:6" x14ac:dyDescent="0.25">
      <x:c r="F9762" s="11"/>
    </x:row>
    <x:row r="9763" spans="6:6" x14ac:dyDescent="0.25">
      <x:c r="F9763" s="11"/>
    </x:row>
    <x:row r="9764" spans="6:6" x14ac:dyDescent="0.25">
      <x:c r="F9764" s="11"/>
    </x:row>
    <x:row r="9765" spans="6:6" x14ac:dyDescent="0.25">
      <x:c r="F9765" s="11"/>
    </x:row>
    <x:row r="9766" spans="6:6" x14ac:dyDescent="0.25">
      <x:c r="F9766" s="11"/>
    </x:row>
    <x:row r="9767" spans="6:6" x14ac:dyDescent="0.25">
      <x:c r="F9767" s="11"/>
    </x:row>
    <x:row r="9768" spans="6:6" x14ac:dyDescent="0.25">
      <x:c r="F9768" s="11"/>
    </x:row>
    <x:row r="9769" spans="6:6" x14ac:dyDescent="0.25">
      <x:c r="F9769" s="11"/>
    </x:row>
    <x:row r="9770" spans="6:6" x14ac:dyDescent="0.25">
      <x:c r="F9770" s="11"/>
    </x:row>
    <x:row r="9771" spans="6:6" x14ac:dyDescent="0.25">
      <x:c r="F9771" s="11"/>
    </x:row>
    <x:row r="9772" spans="6:6" x14ac:dyDescent="0.25">
      <x:c r="F9772" s="11"/>
    </x:row>
    <x:row r="9773" spans="6:6" x14ac:dyDescent="0.25">
      <x:c r="F9773" s="11"/>
    </x:row>
    <x:row r="9774" spans="6:6" x14ac:dyDescent="0.25">
      <x:c r="F9774" s="11"/>
    </x:row>
    <x:row r="9775" spans="6:6" x14ac:dyDescent="0.25">
      <x:c r="F9775" s="11"/>
    </x:row>
    <x:row r="9776" spans="6:6" x14ac:dyDescent="0.25">
      <x:c r="F9776" s="11"/>
    </x:row>
    <x:row r="9777" spans="6:6" x14ac:dyDescent="0.25">
      <x:c r="F9777" s="11"/>
    </x:row>
    <x:row r="9778" spans="6:6" x14ac:dyDescent="0.25">
      <x:c r="F9778" s="11"/>
    </x:row>
    <x:row r="9779" spans="6:6" x14ac:dyDescent="0.25">
      <x:c r="F9779" s="11"/>
    </x:row>
    <x:row r="9780" spans="6:6" x14ac:dyDescent="0.25">
      <x:c r="F9780" s="11"/>
    </x:row>
    <x:row r="9781" spans="6:6" x14ac:dyDescent="0.25">
      <x:c r="F9781" s="11"/>
    </x:row>
    <x:row r="9782" spans="6:6" x14ac:dyDescent="0.25">
      <x:c r="F9782" s="11"/>
    </x:row>
    <x:row r="9783" spans="6:6" x14ac:dyDescent="0.25">
      <x:c r="F9783" s="11"/>
    </x:row>
    <x:row r="9784" spans="6:6" x14ac:dyDescent="0.25">
      <x:c r="F9784" s="11"/>
    </x:row>
    <x:row r="9785" spans="6:6" x14ac:dyDescent="0.25">
      <x:c r="F9785" s="11"/>
    </x:row>
    <x:row r="9786" spans="6:6" x14ac:dyDescent="0.25">
      <x:c r="F9786" s="11"/>
    </x:row>
    <x:row r="9787" spans="6:6" x14ac:dyDescent="0.25">
      <x:c r="F9787" s="11"/>
    </x:row>
    <x:row r="9788" spans="6:6" x14ac:dyDescent="0.25">
      <x:c r="F9788" s="11"/>
    </x:row>
    <x:row r="9789" spans="6:6" x14ac:dyDescent="0.25">
      <x:c r="F9789" s="11"/>
    </x:row>
    <x:row r="9790" spans="6:6" x14ac:dyDescent="0.25">
      <x:c r="F9790" s="11"/>
    </x:row>
    <x:row r="9791" spans="6:6" x14ac:dyDescent="0.25">
      <x:c r="F9791" s="11"/>
    </x:row>
    <x:row r="9792" spans="6:6" x14ac:dyDescent="0.25">
      <x:c r="F9792" s="11"/>
    </x:row>
    <x:row r="9793" spans="6:6" x14ac:dyDescent="0.25">
      <x:c r="F9793" s="11"/>
    </x:row>
    <x:row r="9794" spans="6:6" x14ac:dyDescent="0.25">
      <x:c r="F9794" s="11"/>
    </x:row>
    <x:row r="9795" spans="6:6" x14ac:dyDescent="0.25">
      <x:c r="F9795" s="11"/>
    </x:row>
    <x:row r="9796" spans="6:6" x14ac:dyDescent="0.25">
      <x:c r="F9796" s="11"/>
    </x:row>
    <x:row r="9797" spans="6:6" x14ac:dyDescent="0.25">
      <x:c r="F9797" s="11"/>
    </x:row>
    <x:row r="9798" spans="6:6" x14ac:dyDescent="0.25">
      <x:c r="F9798" s="11"/>
    </x:row>
    <x:row r="9799" spans="6:6" x14ac:dyDescent="0.25">
      <x:c r="F9799" s="11"/>
    </x:row>
    <x:row r="9800" spans="6:6" x14ac:dyDescent="0.25">
      <x:c r="F9800" s="11"/>
    </x:row>
    <x:row r="9801" spans="6:6" x14ac:dyDescent="0.25">
      <x:c r="F9801" s="11"/>
    </x:row>
    <x:row r="9802" spans="6:6" x14ac:dyDescent="0.25">
      <x:c r="F9802" s="11"/>
    </x:row>
    <x:row r="9803" spans="6:6" x14ac:dyDescent="0.25">
      <x:c r="F9803" s="11"/>
    </x:row>
    <x:row r="9804" spans="6:6" x14ac:dyDescent="0.25">
      <x:c r="F9804" s="11"/>
    </x:row>
    <x:row r="9805" spans="6:6" x14ac:dyDescent="0.25">
      <x:c r="F9805" s="11"/>
    </x:row>
    <x:row r="9806" spans="6:6" x14ac:dyDescent="0.25">
      <x:c r="F9806" s="11"/>
    </x:row>
    <x:row r="9807" spans="6:6" x14ac:dyDescent="0.25">
      <x:c r="F9807" s="11"/>
    </x:row>
    <x:row r="9808" spans="6:6" x14ac:dyDescent="0.25">
      <x:c r="F9808" s="11"/>
    </x:row>
    <x:row r="9809" spans="6:6" x14ac:dyDescent="0.25">
      <x:c r="F9809" s="11"/>
    </x:row>
    <x:row r="9810" spans="6:6" x14ac:dyDescent="0.25">
      <x:c r="F9810" s="11"/>
    </x:row>
    <x:row r="9811" spans="6:6" x14ac:dyDescent="0.25">
      <x:c r="F9811" s="11"/>
    </x:row>
    <x:row r="9812" spans="6:6" x14ac:dyDescent="0.25">
      <x:c r="F9812" s="11"/>
    </x:row>
    <x:row r="9813" spans="6:6" x14ac:dyDescent="0.25">
      <x:c r="F9813" s="11"/>
    </x:row>
    <x:row r="9814" spans="6:6" x14ac:dyDescent="0.25">
      <x:c r="F9814" s="11"/>
    </x:row>
    <x:row r="9815" spans="6:6" x14ac:dyDescent="0.25">
      <x:c r="F9815" s="11"/>
    </x:row>
    <x:row r="9816" spans="6:6" x14ac:dyDescent="0.25">
      <x:c r="F9816" s="11"/>
    </x:row>
    <x:row r="9817" spans="6:6" x14ac:dyDescent="0.25">
      <x:c r="F9817" s="11"/>
    </x:row>
    <x:row r="9818" spans="6:6" x14ac:dyDescent="0.25">
      <x:c r="F9818" s="11"/>
    </x:row>
    <x:row r="9819" spans="6:6" x14ac:dyDescent="0.25">
      <x:c r="F9819" s="11"/>
    </x:row>
    <x:row r="9820" spans="6:6" x14ac:dyDescent="0.25">
      <x:c r="F9820" s="11"/>
    </x:row>
    <x:row r="9821" spans="6:6" x14ac:dyDescent="0.25">
      <x:c r="F9821" s="11"/>
    </x:row>
    <x:row r="9822" spans="6:6" x14ac:dyDescent="0.25">
      <x:c r="F9822" s="11"/>
    </x:row>
    <x:row r="9823" spans="6:6" x14ac:dyDescent="0.25">
      <x:c r="F9823" s="11"/>
    </x:row>
    <x:row r="9824" spans="6:6" x14ac:dyDescent="0.25">
      <x:c r="F9824" s="11"/>
    </x:row>
    <x:row r="9825" spans="6:6" x14ac:dyDescent="0.25">
      <x:c r="F9825" s="11"/>
    </x:row>
    <x:row r="9826" spans="6:6" x14ac:dyDescent="0.25">
      <x:c r="F9826" s="11"/>
    </x:row>
    <x:row r="9827" spans="6:6" x14ac:dyDescent="0.25">
      <x:c r="F9827" s="11"/>
    </x:row>
    <x:row r="9828" spans="6:6" x14ac:dyDescent="0.25">
      <x:c r="F9828" s="11"/>
    </x:row>
    <x:row r="9829" spans="6:6" x14ac:dyDescent="0.25">
      <x:c r="F9829" s="11"/>
    </x:row>
    <x:row r="9830" spans="6:6" x14ac:dyDescent="0.25">
      <x:c r="F9830" s="11"/>
    </x:row>
    <x:row r="9831" spans="6:6" x14ac:dyDescent="0.25">
      <x:c r="F9831" s="11"/>
    </x:row>
    <x:row r="9832" spans="6:6" x14ac:dyDescent="0.25">
      <x:c r="F9832" s="11"/>
    </x:row>
    <x:row r="9833" spans="6:6" x14ac:dyDescent="0.25">
      <x:c r="F9833" s="11"/>
    </x:row>
    <x:row r="9834" spans="6:6" x14ac:dyDescent="0.25">
      <x:c r="F9834" s="11"/>
    </x:row>
    <x:row r="9835" spans="6:6" x14ac:dyDescent="0.25">
      <x:c r="F9835" s="11"/>
    </x:row>
    <x:row r="9836" spans="6:6" x14ac:dyDescent="0.25">
      <x:c r="F9836" s="11"/>
    </x:row>
    <x:row r="9837" spans="6:6" x14ac:dyDescent="0.25">
      <x:c r="F9837" s="11"/>
    </x:row>
    <x:row r="9838" spans="6:6" x14ac:dyDescent="0.25">
      <x:c r="F9838" s="11"/>
    </x:row>
    <x:row r="9839" spans="6:6" x14ac:dyDescent="0.25">
      <x:c r="F9839" s="11"/>
    </x:row>
    <x:row r="9840" spans="6:6" x14ac:dyDescent="0.25">
      <x:c r="F9840" s="11"/>
    </x:row>
    <x:row r="9841" spans="6:6" x14ac:dyDescent="0.25">
      <x:c r="F9841" s="11"/>
    </x:row>
    <x:row r="9842" spans="6:6" x14ac:dyDescent="0.25">
      <x:c r="F9842" s="11"/>
    </x:row>
    <x:row r="9843" spans="6:6" x14ac:dyDescent="0.25">
      <x:c r="F9843" s="11"/>
    </x:row>
    <x:row r="9844" spans="6:6" x14ac:dyDescent="0.25">
      <x:c r="F9844" s="11"/>
    </x:row>
    <x:row r="9845" spans="6:6" x14ac:dyDescent="0.25">
      <x:c r="F9845" s="11"/>
    </x:row>
    <x:row r="9846" spans="6:6" x14ac:dyDescent="0.25">
      <x:c r="F9846" s="11"/>
    </x:row>
    <x:row r="9847" spans="6:6" x14ac:dyDescent="0.25">
      <x:c r="F9847" s="11"/>
    </x:row>
    <x:row r="9848" spans="6:6" x14ac:dyDescent="0.25">
      <x:c r="F9848" s="11"/>
    </x:row>
    <x:row r="9849" spans="6:6" x14ac:dyDescent="0.25">
      <x:c r="F9849" s="11"/>
    </x:row>
    <x:row r="9850" spans="6:6" x14ac:dyDescent="0.25">
      <x:c r="F9850" s="11"/>
    </x:row>
    <x:row r="9851" spans="6:6" x14ac:dyDescent="0.25">
      <x:c r="F9851" s="11"/>
    </x:row>
    <x:row r="9852" spans="6:6" x14ac:dyDescent="0.25">
      <x:c r="F9852" s="11"/>
    </x:row>
    <x:row r="9853" spans="6:6" x14ac:dyDescent="0.25">
      <x:c r="F9853" s="11"/>
    </x:row>
    <x:row r="9854" spans="6:6" x14ac:dyDescent="0.25">
      <x:c r="F9854" s="11"/>
    </x:row>
    <x:row r="9855" spans="6:6" x14ac:dyDescent="0.25">
      <x:c r="F9855" s="11"/>
    </x:row>
    <x:row r="9856" spans="6:6" x14ac:dyDescent="0.25">
      <x:c r="F9856" s="11"/>
    </x:row>
    <x:row r="9857" spans="6:6" x14ac:dyDescent="0.25">
      <x:c r="F9857" s="11"/>
    </x:row>
    <x:row r="9858" spans="6:6" x14ac:dyDescent="0.25">
      <x:c r="F9858" s="11"/>
    </x:row>
    <x:row r="9859" spans="6:6" x14ac:dyDescent="0.25">
      <x:c r="F9859" s="11"/>
    </x:row>
    <x:row r="9860" spans="6:6" x14ac:dyDescent="0.25">
      <x:c r="F9860" s="11"/>
    </x:row>
    <x:row r="9861" spans="6:6" x14ac:dyDescent="0.25">
      <x:c r="F9861" s="11"/>
    </x:row>
    <x:row r="9862" spans="6:6" x14ac:dyDescent="0.25">
      <x:c r="F9862" s="11"/>
    </x:row>
    <x:row r="9863" spans="6:6" x14ac:dyDescent="0.25">
      <x:c r="F9863" s="11"/>
    </x:row>
    <x:row r="9864" spans="6:6" x14ac:dyDescent="0.25">
      <x:c r="F9864" s="11"/>
    </x:row>
    <x:row r="9865" spans="6:6" x14ac:dyDescent="0.25">
      <x:c r="F9865" s="11"/>
    </x:row>
    <x:row r="9866" spans="6:6" x14ac:dyDescent="0.25">
      <x:c r="F9866" s="11"/>
    </x:row>
    <x:row r="9867" spans="6:6" x14ac:dyDescent="0.25">
      <x:c r="F9867" s="11"/>
    </x:row>
    <x:row r="9868" spans="6:6" x14ac:dyDescent="0.25">
      <x:c r="F9868" s="11"/>
    </x:row>
    <x:row r="9869" spans="6:6" x14ac:dyDescent="0.25">
      <x:c r="F9869" s="11"/>
    </x:row>
    <x:row r="9870" spans="6:6" x14ac:dyDescent="0.25">
      <x:c r="F9870" s="11"/>
    </x:row>
    <x:row r="9871" spans="6:6" x14ac:dyDescent="0.25">
      <x:c r="F9871" s="11"/>
    </x:row>
    <x:row r="9872" spans="6:6" x14ac:dyDescent="0.25">
      <x:c r="F9872" s="11"/>
    </x:row>
    <x:row r="9873" spans="6:6" x14ac:dyDescent="0.25">
      <x:c r="F9873" s="11"/>
    </x:row>
    <x:row r="9874" spans="6:6" x14ac:dyDescent="0.25">
      <x:c r="F9874" s="11"/>
    </x:row>
    <x:row r="9875" spans="6:6" x14ac:dyDescent="0.25">
      <x:c r="F9875" s="11"/>
    </x:row>
    <x:row r="9876" spans="6:6" x14ac:dyDescent="0.25">
      <x:c r="F9876" s="11"/>
    </x:row>
    <x:row r="9877" spans="6:6" x14ac:dyDescent="0.25">
      <x:c r="F9877" s="11"/>
    </x:row>
    <x:row r="9878" spans="6:6" x14ac:dyDescent="0.25">
      <x:c r="F9878" s="11"/>
    </x:row>
    <x:row r="9879" spans="6:6" x14ac:dyDescent="0.25">
      <x:c r="F9879" s="11"/>
    </x:row>
    <x:row r="9880" spans="6:6" x14ac:dyDescent="0.25">
      <x:c r="F9880" s="11"/>
    </x:row>
    <x:row r="9881" spans="6:6" x14ac:dyDescent="0.25">
      <x:c r="F9881" s="11"/>
    </x:row>
    <x:row r="9882" spans="6:6" x14ac:dyDescent="0.25">
      <x:c r="F9882" s="11"/>
    </x:row>
    <x:row r="9883" spans="6:6" x14ac:dyDescent="0.25">
      <x:c r="F9883" s="11"/>
    </x:row>
    <x:row r="9884" spans="6:6" x14ac:dyDescent="0.25">
      <x:c r="F9884" s="11"/>
    </x:row>
    <x:row r="9885" spans="6:6" x14ac:dyDescent="0.25">
      <x:c r="F9885" s="11"/>
    </x:row>
    <x:row r="9886" spans="6:6" x14ac:dyDescent="0.25">
      <x:c r="F9886" s="11"/>
    </x:row>
    <x:row r="9887" spans="6:6" x14ac:dyDescent="0.25">
      <x:c r="F9887" s="11"/>
    </x:row>
    <x:row r="9888" spans="6:6" x14ac:dyDescent="0.25">
      <x:c r="F9888" s="11"/>
    </x:row>
    <x:row r="9889" spans="6:6" x14ac:dyDescent="0.25">
      <x:c r="F9889" s="11"/>
    </x:row>
    <x:row r="9890" spans="6:6" x14ac:dyDescent="0.25">
      <x:c r="F9890" s="11"/>
    </x:row>
    <x:row r="9891" spans="6:6" x14ac:dyDescent="0.25">
      <x:c r="F9891" s="11"/>
    </x:row>
    <x:row r="9892" spans="6:6" x14ac:dyDescent="0.25">
      <x:c r="F9892" s="11"/>
    </x:row>
    <x:row r="9893" spans="6:6" x14ac:dyDescent="0.25">
      <x:c r="F9893" s="11"/>
    </x:row>
    <x:row r="9894" spans="6:6" x14ac:dyDescent="0.25">
      <x:c r="F9894" s="11"/>
    </x:row>
    <x:row r="9895" spans="6:6" x14ac:dyDescent="0.25">
      <x:c r="F9895" s="11"/>
    </x:row>
    <x:row r="9896" spans="6:6" x14ac:dyDescent="0.25">
      <x:c r="F9896" s="11"/>
    </x:row>
    <x:row r="9897" spans="6:6" x14ac:dyDescent="0.25">
      <x:c r="F9897" s="11"/>
    </x:row>
    <x:row r="9898" spans="6:6" x14ac:dyDescent="0.25">
      <x:c r="F9898" s="11"/>
    </x:row>
    <x:row r="9899" spans="6:6" x14ac:dyDescent="0.25">
      <x:c r="F9899" s="11"/>
    </x:row>
    <x:row r="9900" spans="6:6" x14ac:dyDescent="0.25">
      <x:c r="F9900" s="11"/>
    </x:row>
    <x:row r="9901" spans="6:6" x14ac:dyDescent="0.25">
      <x:c r="F9901" s="11"/>
    </x:row>
    <x:row r="9902" spans="6:6" x14ac:dyDescent="0.25">
      <x:c r="F9902" s="11"/>
    </x:row>
    <x:row r="9903" spans="6:6" x14ac:dyDescent="0.25">
      <x:c r="F9903" s="11"/>
    </x:row>
    <x:row r="9904" spans="6:6" x14ac:dyDescent="0.25">
      <x:c r="F9904" s="11"/>
    </x:row>
    <x:row r="9905" spans="6:6" x14ac:dyDescent="0.25">
      <x:c r="F9905" s="11"/>
    </x:row>
    <x:row r="9906" spans="6:6" x14ac:dyDescent="0.25">
      <x:c r="F9906" s="11"/>
    </x:row>
    <x:row r="9907" spans="6:6" x14ac:dyDescent="0.25">
      <x:c r="F9907" s="11"/>
    </x:row>
    <x:row r="9908" spans="6:6" x14ac:dyDescent="0.25">
      <x:c r="F9908" s="11"/>
    </x:row>
    <x:row r="9909" spans="6:6" x14ac:dyDescent="0.25">
      <x:c r="F9909" s="11"/>
    </x:row>
    <x:row r="9910" spans="6:6" x14ac:dyDescent="0.25">
      <x:c r="F9910" s="11"/>
    </x:row>
    <x:row r="9911" spans="6:6" x14ac:dyDescent="0.25">
      <x:c r="F9911" s="11"/>
    </x:row>
    <x:row r="9912" spans="6:6" x14ac:dyDescent="0.25">
      <x:c r="F9912" s="11"/>
    </x:row>
    <x:row r="9913" spans="6:6" x14ac:dyDescent="0.25">
      <x:c r="F9913" s="11"/>
    </x:row>
    <x:row r="9914" spans="6:6" x14ac:dyDescent="0.25">
      <x:c r="F9914" s="11"/>
    </x:row>
    <x:row r="9915" spans="6:6" x14ac:dyDescent="0.25">
      <x:c r="F9915" s="11"/>
    </x:row>
    <x:row r="9916" spans="6:6" x14ac:dyDescent="0.25">
      <x:c r="F9916" s="11"/>
    </x:row>
    <x:row r="9917" spans="6:6" x14ac:dyDescent="0.25">
      <x:c r="F9917" s="11"/>
    </x:row>
    <x:row r="9918" spans="6:6" x14ac:dyDescent="0.25">
      <x:c r="F9918" s="11"/>
    </x:row>
    <x:row r="9919" spans="6:6" x14ac:dyDescent="0.25">
      <x:c r="F9919" s="11"/>
    </x:row>
    <x:row r="9920" spans="6:6" x14ac:dyDescent="0.25">
      <x:c r="F9920" s="11"/>
    </x:row>
    <x:row r="9921" spans="6:6" x14ac:dyDescent="0.25">
      <x:c r="F9921" s="11"/>
    </x:row>
    <x:row r="9922" spans="6:6" x14ac:dyDescent="0.25">
      <x:c r="F9922" s="11"/>
    </x:row>
    <x:row r="9923" spans="6:6" x14ac:dyDescent="0.25">
      <x:c r="F9923" s="11"/>
    </x:row>
    <x:row r="9924" spans="6:6" x14ac:dyDescent="0.25">
      <x:c r="F9924" s="11"/>
    </x:row>
    <x:row r="9925" spans="6:6" x14ac:dyDescent="0.25">
      <x:c r="F9925" s="11"/>
    </x:row>
    <x:row r="9926" spans="6:6" x14ac:dyDescent="0.25">
      <x:c r="F9926" s="11"/>
    </x:row>
    <x:row r="9927" spans="6:6" x14ac:dyDescent="0.25">
      <x:c r="F9927" s="11"/>
    </x:row>
    <x:row r="9928" spans="6:6" x14ac:dyDescent="0.25">
      <x:c r="F9928" s="11"/>
    </x:row>
    <x:row r="9929" spans="6:6" x14ac:dyDescent="0.25">
      <x:c r="F9929" s="11"/>
    </x:row>
    <x:row r="9930" spans="6:6" x14ac:dyDescent="0.25">
      <x:c r="F9930" s="11"/>
    </x:row>
    <x:row r="9931" spans="6:6" x14ac:dyDescent="0.25">
      <x:c r="F9931" s="11"/>
    </x:row>
    <x:row r="9932" spans="6:6" x14ac:dyDescent="0.25">
      <x:c r="F9932" s="11"/>
    </x:row>
    <x:row r="9933" spans="6:6" x14ac:dyDescent="0.25">
      <x:c r="F9933" s="11"/>
    </x:row>
    <x:row r="9934" spans="6:6" x14ac:dyDescent="0.25">
      <x:c r="F9934" s="11"/>
    </x:row>
    <x:row r="9935" spans="6:6" x14ac:dyDescent="0.25">
      <x:c r="F9935" s="11"/>
    </x:row>
    <x:row r="9936" spans="6:6" x14ac:dyDescent="0.25">
      <x:c r="F9936" s="11"/>
    </x:row>
    <x:row r="9937" spans="6:6" x14ac:dyDescent="0.25">
      <x:c r="F9937" s="11"/>
    </x:row>
    <x:row r="9938" spans="6:6" x14ac:dyDescent="0.25">
      <x:c r="F9938" s="11"/>
    </x:row>
    <x:row r="9939" spans="6:6" x14ac:dyDescent="0.25">
      <x:c r="F9939" s="11"/>
    </x:row>
    <x:row r="9940" spans="6:6" x14ac:dyDescent="0.25">
      <x:c r="F9940" s="11"/>
    </x:row>
    <x:row r="9941" spans="6:6" x14ac:dyDescent="0.25">
      <x:c r="F9941" s="11"/>
    </x:row>
    <x:row r="9942" spans="6:6" x14ac:dyDescent="0.25">
      <x:c r="F9942" s="11"/>
    </x:row>
    <x:row r="9943" spans="6:6" x14ac:dyDescent="0.25">
      <x:c r="F9943" s="11"/>
    </x:row>
    <x:row r="9944" spans="6:6" x14ac:dyDescent="0.25">
      <x:c r="F9944" s="11"/>
    </x:row>
    <x:row r="9945" spans="6:6" x14ac:dyDescent="0.25">
      <x:c r="F9945" s="11"/>
    </x:row>
    <x:row r="9946" spans="6:6" x14ac:dyDescent="0.25">
      <x:c r="F9946" s="11"/>
    </x:row>
    <x:row r="9947" spans="6:6" x14ac:dyDescent="0.25">
      <x:c r="F9947" s="11"/>
    </x:row>
    <x:row r="9948" spans="6:6" x14ac:dyDescent="0.25">
      <x:c r="F9948" s="11"/>
    </x:row>
    <x:row r="9949" spans="6:6" x14ac:dyDescent="0.25">
      <x:c r="F9949" s="11"/>
    </x:row>
    <x:row r="9950" spans="6:6" x14ac:dyDescent="0.25">
      <x:c r="F9950" s="11"/>
    </x:row>
    <x:row r="9951" spans="6:6" x14ac:dyDescent="0.25">
      <x:c r="F9951" s="11"/>
    </x:row>
    <x:row r="9952" spans="6:6" x14ac:dyDescent="0.25">
      <x:c r="F9952" s="11"/>
    </x:row>
    <x:row r="9953" spans="6:6" x14ac:dyDescent="0.25">
      <x:c r="F9953" s="11"/>
    </x:row>
    <x:row r="9954" spans="6:6" x14ac:dyDescent="0.25">
      <x:c r="F9954" s="11"/>
    </x:row>
    <x:row r="9955" spans="6:6" x14ac:dyDescent="0.25">
      <x:c r="F9955" s="11"/>
    </x:row>
    <x:row r="9956" spans="6:6" x14ac:dyDescent="0.25">
      <x:c r="F9956" s="11"/>
    </x:row>
    <x:row r="9957" spans="6:6" x14ac:dyDescent="0.25">
      <x:c r="F9957" s="11"/>
    </x:row>
    <x:row r="9958" spans="6:6" x14ac:dyDescent="0.25">
      <x:c r="F9958" s="11"/>
    </x:row>
    <x:row r="9959" spans="6:6" x14ac:dyDescent="0.25">
      <x:c r="F9959" s="11"/>
    </x:row>
    <x:row r="9960" spans="6:6" x14ac:dyDescent="0.25">
      <x:c r="F9960" s="11"/>
    </x:row>
    <x:row r="9961" spans="6:6" x14ac:dyDescent="0.25">
      <x:c r="F9961" s="11"/>
    </x:row>
    <x:row r="9962" spans="6:6" x14ac:dyDescent="0.25">
      <x:c r="F9962" s="11"/>
    </x:row>
    <x:row r="9963" spans="6:6" x14ac:dyDescent="0.25">
      <x:c r="F9963" s="11"/>
    </x:row>
    <x:row r="9964" spans="6:6" x14ac:dyDescent="0.25">
      <x:c r="F9964" s="11"/>
    </x:row>
    <x:row r="9965" spans="6:6" x14ac:dyDescent="0.25">
      <x:c r="F9965" s="11"/>
    </x:row>
    <x:row r="9966" spans="6:6" x14ac:dyDescent="0.25">
      <x:c r="F9966" s="11"/>
    </x:row>
    <x:row r="9967" spans="6:6" x14ac:dyDescent="0.25">
      <x:c r="F9967" s="11"/>
    </x:row>
    <x:row r="9968" spans="6:6" x14ac:dyDescent="0.25">
      <x:c r="F9968" s="11"/>
    </x:row>
    <x:row r="9969" spans="6:6" x14ac:dyDescent="0.25">
      <x:c r="F9969" s="11"/>
    </x:row>
    <x:row r="9970" spans="6:6" x14ac:dyDescent="0.25">
      <x:c r="F9970" s="11"/>
    </x:row>
    <x:row r="9971" spans="6:6" x14ac:dyDescent="0.25">
      <x:c r="F9971" s="11"/>
    </x:row>
    <x:row r="9972" spans="6:6" x14ac:dyDescent="0.25">
      <x:c r="F9972" s="11"/>
    </x:row>
    <x:row r="9973" spans="6:6" x14ac:dyDescent="0.25">
      <x:c r="F9973" s="11"/>
    </x:row>
    <x:row r="9974" spans="6:6" x14ac:dyDescent="0.25">
      <x:c r="F9974" s="11"/>
    </x:row>
    <x:row r="9975" spans="6:6" x14ac:dyDescent="0.25">
      <x:c r="F9975" s="11"/>
    </x:row>
    <x:row r="9976" spans="6:6" x14ac:dyDescent="0.25">
      <x:c r="F9976" s="11"/>
    </x:row>
    <x:row r="9977" spans="6:6" x14ac:dyDescent="0.25">
      <x:c r="F9977" s="11"/>
    </x:row>
    <x:row r="9978" spans="6:6" x14ac:dyDescent="0.25">
      <x:c r="F9978" s="11"/>
    </x:row>
    <x:row r="9979" spans="6:6" x14ac:dyDescent="0.25">
      <x:c r="F9979" s="11"/>
    </x:row>
    <x:row r="9980" spans="6:6" x14ac:dyDescent="0.25">
      <x:c r="F9980" s="11"/>
    </x:row>
    <x:row r="9981" spans="6:6" x14ac:dyDescent="0.25">
      <x:c r="F9981" s="11"/>
    </x:row>
    <x:row r="9982" spans="6:6" x14ac:dyDescent="0.25">
      <x:c r="F9982" s="11"/>
    </x:row>
    <x:row r="9983" spans="6:6" x14ac:dyDescent="0.25">
      <x:c r="F9983" s="11"/>
    </x:row>
    <x:row r="9984" spans="6:6" x14ac:dyDescent="0.25">
      <x:c r="F9984" s="11"/>
    </x:row>
    <x:row r="9985" spans="6:6" x14ac:dyDescent="0.25">
      <x:c r="F9985" s="11"/>
    </x:row>
    <x:row r="9986" spans="6:6" x14ac:dyDescent="0.25">
      <x:c r="F9986" s="11"/>
    </x:row>
    <x:row r="9987" spans="6:6" x14ac:dyDescent="0.25">
      <x:c r="F9987" s="11"/>
    </x:row>
    <x:row r="9988" spans="6:6" x14ac:dyDescent="0.25">
      <x:c r="F9988" s="11"/>
    </x:row>
    <x:row r="9989" spans="6:6" x14ac:dyDescent="0.25">
      <x:c r="F9989" s="11"/>
    </x:row>
    <x:row r="9990" spans="6:6" x14ac:dyDescent="0.25">
      <x:c r="F9990" s="11"/>
    </x:row>
    <x:row r="9991" spans="6:6" x14ac:dyDescent="0.25">
      <x:c r="F9991" s="11"/>
    </x:row>
    <x:row r="9992" spans="6:6" x14ac:dyDescent="0.25">
      <x:c r="F9992" s="11"/>
    </x:row>
    <x:row r="9993" spans="6:6" x14ac:dyDescent="0.25">
      <x:c r="F9993" s="11"/>
    </x:row>
    <x:row r="9994" spans="6:6" x14ac:dyDescent="0.25">
      <x:c r="F9994" s="11"/>
    </x:row>
    <x:row r="9995" spans="6:6" x14ac:dyDescent="0.25">
      <x:c r="F9995" s="11"/>
    </x:row>
    <x:row r="9996" spans="6:6" x14ac:dyDescent="0.25">
      <x:c r="F9996" s="11"/>
    </x:row>
    <x:row r="9997" spans="6:6" x14ac:dyDescent="0.25">
      <x:c r="F9997" s="11"/>
    </x:row>
    <x:row r="9998" spans="6:6" x14ac:dyDescent="0.25">
      <x:c r="F9998" s="11"/>
    </x:row>
    <x:row r="9999" spans="6:6" x14ac:dyDescent="0.25">
      <x:c r="F9999" s="11"/>
    </x:row>
    <x:row r="10000" spans="6:6" x14ac:dyDescent="0.25">
      <x:c r="F10000" s="11"/>
    </x:row>
    <x:row r="10001" spans="6:6" x14ac:dyDescent="0.25">
      <x:c r="F10001" s="11"/>
    </x:row>
    <x:row r="10002" spans="6:6" x14ac:dyDescent="0.25">
      <x:c r="F10002" s="11"/>
    </x:row>
    <x:row r="10003" spans="6:6" x14ac:dyDescent="0.25">
      <x:c r="F10003" s="11"/>
    </x:row>
    <x:row r="10004" spans="6:6" x14ac:dyDescent="0.25">
      <x:c r="F10004" s="11"/>
    </x:row>
    <x:row r="10005" spans="6:6" x14ac:dyDescent="0.25">
      <x:c r="F10005" s="11"/>
    </x:row>
    <x:row r="10006" spans="6:6" x14ac:dyDescent="0.25">
      <x:c r="F10006" s="11"/>
    </x:row>
    <x:row r="10007" spans="6:6" x14ac:dyDescent="0.25">
      <x:c r="F10007" s="11"/>
    </x:row>
    <x:row r="10008" spans="6:6" x14ac:dyDescent="0.25">
      <x:c r="F10008" s="11"/>
    </x:row>
    <x:row r="10009" spans="6:6" x14ac:dyDescent="0.25">
      <x:c r="F10009" s="11"/>
    </x:row>
    <x:row r="10010" spans="6:6" x14ac:dyDescent="0.25">
      <x:c r="F10010" s="11"/>
    </x:row>
    <x:row r="10011" spans="6:6" x14ac:dyDescent="0.25">
      <x:c r="F10011" s="11"/>
    </x:row>
    <x:row r="10012" spans="6:6" x14ac:dyDescent="0.25">
      <x:c r="F10012" s="11"/>
    </x:row>
    <x:row r="10013" spans="6:6" x14ac:dyDescent="0.25">
      <x:c r="F10013" s="11"/>
    </x:row>
    <x:row r="10014" spans="6:6" x14ac:dyDescent="0.25">
      <x:c r="F10014" s="11"/>
    </x:row>
    <x:row r="10015" spans="6:6" x14ac:dyDescent="0.25">
      <x:c r="F10015" s="11"/>
    </x:row>
    <x:row r="10016" spans="6:6" x14ac:dyDescent="0.25">
      <x:c r="F10016" s="11"/>
    </x:row>
    <x:row r="10017" spans="6:6" x14ac:dyDescent="0.25">
      <x:c r="F10017" s="11"/>
    </x:row>
    <x:row r="10018" spans="6:6" x14ac:dyDescent="0.25">
      <x:c r="F10018" s="11"/>
    </x:row>
    <x:row r="10019" spans="6:6" x14ac:dyDescent="0.25">
      <x:c r="F10019" s="11"/>
    </x:row>
    <x:row r="10020" spans="6:6" x14ac:dyDescent="0.25">
      <x:c r="F10020" s="11"/>
    </x:row>
    <x:row r="10021" spans="6:6" x14ac:dyDescent="0.25">
      <x:c r="F10021" s="11"/>
    </x:row>
    <x:row r="10022" spans="6:6" x14ac:dyDescent="0.25">
      <x:c r="F10022" s="11"/>
    </x:row>
    <x:row r="10023" spans="6:6" x14ac:dyDescent="0.25">
      <x:c r="F10023" s="11"/>
    </x:row>
    <x:row r="10024" spans="6:6" x14ac:dyDescent="0.25">
      <x:c r="F10024" s="11"/>
    </x:row>
    <x:row r="10025" spans="6:6" x14ac:dyDescent="0.25">
      <x:c r="F10025" s="11"/>
    </x:row>
    <x:row r="10026" spans="6:6" x14ac:dyDescent="0.25">
      <x:c r="F10026" s="11"/>
    </x:row>
    <x:row r="10027" spans="6:6" x14ac:dyDescent="0.25">
      <x:c r="F10027" s="11"/>
    </x:row>
    <x:row r="10028" spans="6:6" x14ac:dyDescent="0.25">
      <x:c r="F10028" s="11"/>
    </x:row>
    <x:row r="10029" spans="6:6" x14ac:dyDescent="0.25">
      <x:c r="F10029" s="11"/>
    </x:row>
    <x:row r="10030" spans="6:6" x14ac:dyDescent="0.25">
      <x:c r="F10030" s="11"/>
    </x:row>
    <x:row r="10031" spans="6:6" x14ac:dyDescent="0.25">
      <x:c r="F10031" s="11"/>
    </x:row>
    <x:row r="10032" spans="6:6" x14ac:dyDescent="0.25">
      <x:c r="F10032" s="11"/>
    </x:row>
    <x:row r="10033" spans="6:6" x14ac:dyDescent="0.25">
      <x:c r="F10033" s="11"/>
    </x:row>
    <x:row r="10034" spans="6:6" x14ac:dyDescent="0.25">
      <x:c r="F10034" s="11"/>
    </x:row>
    <x:row r="10035" spans="6:6" x14ac:dyDescent="0.25">
      <x:c r="F10035" s="11"/>
    </x:row>
    <x:row r="10036" spans="6:6" x14ac:dyDescent="0.25">
      <x:c r="F10036" s="11"/>
    </x:row>
    <x:row r="10037" spans="6:6" x14ac:dyDescent="0.25">
      <x:c r="F10037" s="11"/>
    </x:row>
    <x:row r="10038" spans="6:6" x14ac:dyDescent="0.25">
      <x:c r="F10038" s="11"/>
    </x:row>
    <x:row r="10039" spans="6:6" x14ac:dyDescent="0.25">
      <x:c r="F10039" s="11"/>
    </x:row>
    <x:row r="10040" spans="6:6" x14ac:dyDescent="0.25">
      <x:c r="F10040" s="11"/>
    </x:row>
    <x:row r="10041" spans="6:6" x14ac:dyDescent="0.25">
      <x:c r="F10041" s="11"/>
    </x:row>
    <x:row r="10042" spans="6:6" x14ac:dyDescent="0.25">
      <x:c r="F10042" s="11"/>
    </x:row>
    <x:row r="10043" spans="6:6" x14ac:dyDescent="0.25">
      <x:c r="F10043" s="11"/>
    </x:row>
    <x:row r="10044" spans="6:6" x14ac:dyDescent="0.25">
      <x:c r="F10044" s="11"/>
    </x:row>
    <x:row r="10045" spans="6:6" x14ac:dyDescent="0.25">
      <x:c r="F10045" s="11"/>
    </x:row>
    <x:row r="10046" spans="6:6" x14ac:dyDescent="0.25">
      <x:c r="F10046" s="11"/>
    </x:row>
    <x:row r="10047" spans="6:6" x14ac:dyDescent="0.25">
      <x:c r="F10047" s="11"/>
    </x:row>
    <x:row r="10048" spans="6:6" x14ac:dyDescent="0.25">
      <x:c r="F10048" s="11"/>
    </x:row>
    <x:row r="10049" spans="6:6" x14ac:dyDescent="0.25">
      <x:c r="F10049" s="11"/>
    </x:row>
    <x:row r="10050" spans="6:6" x14ac:dyDescent="0.25">
      <x:c r="F10050" s="11"/>
    </x:row>
    <x:row r="10051" spans="6:6" x14ac:dyDescent="0.25">
      <x:c r="F10051" s="11"/>
    </x:row>
    <x:row r="10052" spans="6:6" x14ac:dyDescent="0.25">
      <x:c r="F10052" s="11"/>
    </x:row>
    <x:row r="10053" spans="6:6" x14ac:dyDescent="0.25">
      <x:c r="F10053" s="11"/>
    </x:row>
    <x:row r="10054" spans="6:6" x14ac:dyDescent="0.25">
      <x:c r="F10054" s="11"/>
    </x:row>
    <x:row r="10055" spans="6:6" x14ac:dyDescent="0.25">
      <x:c r="F10055" s="11"/>
    </x:row>
    <x:row r="10056" spans="6:6" x14ac:dyDescent="0.25">
      <x:c r="F10056" s="11"/>
    </x:row>
    <x:row r="10057" spans="6:6" x14ac:dyDescent="0.25">
      <x:c r="F10057" s="11"/>
    </x:row>
    <x:row r="10058" spans="6:6" x14ac:dyDescent="0.25">
      <x:c r="F10058" s="11"/>
    </x:row>
    <x:row r="10059" spans="6:6" x14ac:dyDescent="0.25">
      <x:c r="F10059" s="11"/>
    </x:row>
    <x:row r="10060" spans="6:6" x14ac:dyDescent="0.25">
      <x:c r="F10060" s="11"/>
    </x:row>
    <x:row r="10061" spans="6:6" x14ac:dyDescent="0.25">
      <x:c r="F10061" s="11"/>
    </x:row>
    <x:row r="10062" spans="6:6" x14ac:dyDescent="0.25">
      <x:c r="F10062" s="11"/>
    </x:row>
    <x:row r="10063" spans="6:6" x14ac:dyDescent="0.25">
      <x:c r="F10063" s="11"/>
    </x:row>
    <x:row r="10064" spans="6:6" x14ac:dyDescent="0.25">
      <x:c r="F10064" s="11"/>
    </x:row>
    <x:row r="10065" spans="6:6" x14ac:dyDescent="0.25">
      <x:c r="F10065" s="11"/>
    </x:row>
    <x:row r="10066" spans="6:6" x14ac:dyDescent="0.25">
      <x:c r="F10066" s="11"/>
    </x:row>
    <x:row r="10067" spans="6:6" x14ac:dyDescent="0.25">
      <x:c r="F10067" s="11"/>
    </x:row>
    <x:row r="10068" spans="6:6" x14ac:dyDescent="0.25">
      <x:c r="F10068" s="11"/>
    </x:row>
    <x:row r="10069" spans="6:6" x14ac:dyDescent="0.25">
      <x:c r="F10069" s="11"/>
    </x:row>
    <x:row r="10070" spans="6:6" x14ac:dyDescent="0.25">
      <x:c r="F10070" s="11"/>
    </x:row>
    <x:row r="10071" spans="6:6" x14ac:dyDescent="0.25">
      <x:c r="F10071" s="11"/>
    </x:row>
    <x:row r="10072" spans="6:6" x14ac:dyDescent="0.25">
      <x:c r="F10072" s="11"/>
    </x:row>
    <x:row r="10073" spans="6:6" x14ac:dyDescent="0.25">
      <x:c r="F10073" s="11"/>
    </x:row>
    <x:row r="10074" spans="6:6" x14ac:dyDescent="0.25">
      <x:c r="F10074" s="11"/>
    </x:row>
    <x:row r="10075" spans="6:6" x14ac:dyDescent="0.25">
      <x:c r="F10075" s="11"/>
    </x:row>
    <x:row r="10076" spans="6:6" x14ac:dyDescent="0.25">
      <x:c r="F10076" s="11"/>
    </x:row>
    <x:row r="10077" spans="6:6" x14ac:dyDescent="0.25">
      <x:c r="F10077" s="11"/>
    </x:row>
    <x:row r="10078" spans="6:6" x14ac:dyDescent="0.25">
      <x:c r="F10078" s="11"/>
    </x:row>
    <x:row r="10079" spans="6:6" x14ac:dyDescent="0.25">
      <x:c r="F10079" s="11"/>
    </x:row>
    <x:row r="10080" spans="6:6" x14ac:dyDescent="0.25">
      <x:c r="F10080" s="11"/>
    </x:row>
    <x:row r="10081" spans="6:6" x14ac:dyDescent="0.25">
      <x:c r="F10081" s="11"/>
    </x:row>
    <x:row r="10082" spans="6:6" x14ac:dyDescent="0.25">
      <x:c r="F10082" s="11"/>
    </x:row>
    <x:row r="10083" spans="6:6" x14ac:dyDescent="0.25">
      <x:c r="F10083" s="11"/>
    </x:row>
    <x:row r="10084" spans="6:6" x14ac:dyDescent="0.25">
      <x:c r="F10084" s="11"/>
    </x:row>
    <x:row r="10085" spans="6:6" x14ac:dyDescent="0.25">
      <x:c r="F10085" s="11"/>
    </x:row>
    <x:row r="10086" spans="6:6" x14ac:dyDescent="0.25">
      <x:c r="F10086" s="11"/>
    </x:row>
    <x:row r="10087" spans="6:6" x14ac:dyDescent="0.25">
      <x:c r="F10087" s="11"/>
    </x:row>
    <x:row r="10088" spans="6:6" x14ac:dyDescent="0.25">
      <x:c r="F10088" s="11"/>
    </x:row>
    <x:row r="10089" spans="6:6" x14ac:dyDescent="0.25">
      <x:c r="F10089" s="11"/>
    </x:row>
    <x:row r="10090" spans="6:6" x14ac:dyDescent="0.25">
      <x:c r="F10090" s="11"/>
    </x:row>
    <x:row r="10091" spans="6:6" x14ac:dyDescent="0.25">
      <x:c r="F10091" s="11"/>
    </x:row>
    <x:row r="10092" spans="6:6" x14ac:dyDescent="0.25">
      <x:c r="F10092" s="11"/>
    </x:row>
    <x:row r="10093" spans="6:6" x14ac:dyDescent="0.25">
      <x:c r="F10093" s="11"/>
    </x:row>
    <x:row r="10094" spans="6:6" x14ac:dyDescent="0.25">
      <x:c r="F10094" s="11"/>
    </x:row>
    <x:row r="10095" spans="6:6" x14ac:dyDescent="0.25">
      <x:c r="F10095" s="11"/>
    </x:row>
    <x:row r="10096" spans="6:6" x14ac:dyDescent="0.25">
      <x:c r="F10096" s="11"/>
    </x:row>
    <x:row r="10097" spans="6:6" x14ac:dyDescent="0.25">
      <x:c r="F10097" s="11"/>
    </x:row>
    <x:row r="10098" spans="6:6" x14ac:dyDescent="0.25">
      <x:c r="F10098" s="11"/>
    </x:row>
    <x:row r="10099" spans="6:6" x14ac:dyDescent="0.25">
      <x:c r="F10099" s="11"/>
    </x:row>
    <x:row r="10100" spans="6:6" x14ac:dyDescent="0.25">
      <x:c r="F10100" s="11"/>
    </x:row>
    <x:row r="10101" spans="6:6" x14ac:dyDescent="0.25">
      <x:c r="F10101" s="11"/>
    </x:row>
    <x:row r="10102" spans="6:6" x14ac:dyDescent="0.25">
      <x:c r="F10102" s="11"/>
    </x:row>
    <x:row r="10103" spans="6:6" x14ac:dyDescent="0.25">
      <x:c r="F10103" s="11"/>
    </x:row>
    <x:row r="10104" spans="6:6" x14ac:dyDescent="0.25">
      <x:c r="F10104" s="11"/>
    </x:row>
    <x:row r="10105" spans="6:6" x14ac:dyDescent="0.25">
      <x:c r="F10105" s="11"/>
    </x:row>
    <x:row r="10106" spans="6:6" x14ac:dyDescent="0.25">
      <x:c r="F10106" s="11"/>
    </x:row>
    <x:row r="10107" spans="6:6" x14ac:dyDescent="0.25">
      <x:c r="F10107" s="11"/>
    </x:row>
    <x:row r="10108" spans="6:6" x14ac:dyDescent="0.25">
      <x:c r="F10108" s="11"/>
    </x:row>
    <x:row r="10109" spans="6:6" x14ac:dyDescent="0.25">
      <x:c r="F10109" s="11"/>
    </x:row>
    <x:row r="10110" spans="6:6" x14ac:dyDescent="0.25">
      <x:c r="F10110" s="11"/>
    </x:row>
    <x:row r="10111" spans="6:6" x14ac:dyDescent="0.25">
      <x:c r="F10111" s="11"/>
    </x:row>
    <x:row r="10112" spans="6:6" x14ac:dyDescent="0.25">
      <x:c r="F10112" s="11"/>
    </x:row>
    <x:row r="10113" spans="6:6" x14ac:dyDescent="0.25">
      <x:c r="F10113" s="11"/>
    </x:row>
    <x:row r="10114" spans="6:6" x14ac:dyDescent="0.25">
      <x:c r="F10114" s="11"/>
    </x:row>
    <x:row r="10115" spans="6:6" x14ac:dyDescent="0.25">
      <x:c r="F10115" s="11"/>
    </x:row>
    <x:row r="10116" spans="6:6" x14ac:dyDescent="0.25">
      <x:c r="F10116" s="11"/>
    </x:row>
    <x:row r="10117" spans="6:6" x14ac:dyDescent="0.25">
      <x:c r="F10117" s="11"/>
    </x:row>
    <x:row r="10118" spans="6:6" x14ac:dyDescent="0.25">
      <x:c r="F10118" s="11"/>
    </x:row>
    <x:row r="10119" spans="6:6" x14ac:dyDescent="0.25">
      <x:c r="F10119" s="11"/>
    </x:row>
    <x:row r="10120" spans="6:6" x14ac:dyDescent="0.25">
      <x:c r="F10120" s="11"/>
    </x:row>
    <x:row r="10121" spans="6:6" x14ac:dyDescent="0.25">
      <x:c r="F10121" s="11"/>
    </x:row>
    <x:row r="10122" spans="6:6" x14ac:dyDescent="0.25">
      <x:c r="F10122" s="11"/>
    </x:row>
    <x:row r="10123" spans="6:6" x14ac:dyDescent="0.25">
      <x:c r="F10123" s="11"/>
    </x:row>
    <x:row r="10124" spans="6:6" x14ac:dyDescent="0.25">
      <x:c r="F10124" s="11"/>
    </x:row>
    <x:row r="10125" spans="6:6" x14ac:dyDescent="0.25">
      <x:c r="F10125" s="11"/>
    </x:row>
    <x:row r="10126" spans="6:6" x14ac:dyDescent="0.25">
      <x:c r="F10126" s="11"/>
    </x:row>
    <x:row r="10127" spans="6:6" x14ac:dyDescent="0.25">
      <x:c r="F10127" s="11"/>
    </x:row>
    <x:row r="10128" spans="6:6" x14ac:dyDescent="0.25">
      <x:c r="F10128" s="11"/>
    </x:row>
    <x:row r="10129" spans="6:6" x14ac:dyDescent="0.25">
      <x:c r="F10129" s="11"/>
    </x:row>
    <x:row r="10130" spans="6:6" x14ac:dyDescent="0.25">
      <x:c r="F10130" s="11"/>
    </x:row>
    <x:row r="10131" spans="6:6" x14ac:dyDescent="0.25">
      <x:c r="F10131" s="11"/>
    </x:row>
    <x:row r="10132" spans="6:6" x14ac:dyDescent="0.25">
      <x:c r="F10132" s="11"/>
    </x:row>
    <x:row r="10133" spans="6:6" x14ac:dyDescent="0.25">
      <x:c r="F10133" s="11"/>
    </x:row>
    <x:row r="10134" spans="6:6" x14ac:dyDescent="0.25">
      <x:c r="F10134" s="11"/>
    </x:row>
    <x:row r="10135" spans="6:6" x14ac:dyDescent="0.25">
      <x:c r="F10135" s="11"/>
    </x:row>
    <x:row r="10136" spans="6:6" x14ac:dyDescent="0.25">
      <x:c r="F10136" s="11"/>
    </x:row>
    <x:row r="10137" spans="6:6" x14ac:dyDescent="0.25">
      <x:c r="F10137" s="11"/>
    </x:row>
    <x:row r="10138" spans="6:6" x14ac:dyDescent="0.25">
      <x:c r="F10138" s="11"/>
    </x:row>
    <x:row r="10139" spans="6:6" x14ac:dyDescent="0.25">
      <x:c r="F10139" s="11"/>
    </x:row>
    <x:row r="10140" spans="6:6" x14ac:dyDescent="0.25">
      <x:c r="F10140" s="11"/>
    </x:row>
    <x:row r="10141" spans="6:6" x14ac:dyDescent="0.25">
      <x:c r="F10141" s="11"/>
    </x:row>
    <x:row r="10142" spans="6:6" x14ac:dyDescent="0.25">
      <x:c r="F10142" s="11"/>
    </x:row>
    <x:row r="10143" spans="6:6" x14ac:dyDescent="0.25">
      <x:c r="F10143" s="11"/>
    </x:row>
    <x:row r="10144" spans="6:6" x14ac:dyDescent="0.25">
      <x:c r="F10144" s="11"/>
    </x:row>
    <x:row r="10145" spans="6:6" x14ac:dyDescent="0.25">
      <x:c r="F10145" s="11"/>
    </x:row>
    <x:row r="10146" spans="6:6" x14ac:dyDescent="0.25">
      <x:c r="F10146" s="11"/>
    </x:row>
    <x:row r="10147" spans="6:6" x14ac:dyDescent="0.25">
      <x:c r="F10147" s="11"/>
    </x:row>
    <x:row r="10148" spans="6:6" x14ac:dyDescent="0.25">
      <x:c r="F10148" s="11"/>
    </x:row>
    <x:row r="10149" spans="6:6" x14ac:dyDescent="0.25">
      <x:c r="F10149" s="11"/>
    </x:row>
    <x:row r="10150" spans="6:6" x14ac:dyDescent="0.25">
      <x:c r="F10150" s="11"/>
    </x:row>
    <x:row r="10151" spans="6:6" x14ac:dyDescent="0.25">
      <x:c r="F10151" s="11"/>
    </x:row>
    <x:row r="10152" spans="6:6" x14ac:dyDescent="0.25">
      <x:c r="F10152" s="11"/>
    </x:row>
    <x:row r="10153" spans="6:6" x14ac:dyDescent="0.25">
      <x:c r="F10153" s="11"/>
    </x:row>
    <x:row r="10154" spans="6:6" x14ac:dyDescent="0.25">
      <x:c r="F10154" s="11"/>
    </x:row>
    <x:row r="10155" spans="6:6" x14ac:dyDescent="0.25">
      <x:c r="F10155" s="11"/>
    </x:row>
    <x:row r="10156" spans="6:6" x14ac:dyDescent="0.25">
      <x:c r="F10156" s="11"/>
    </x:row>
    <x:row r="10157" spans="6:6" x14ac:dyDescent="0.25">
      <x:c r="F10157" s="11"/>
    </x:row>
    <x:row r="10158" spans="6:6" x14ac:dyDescent="0.25">
      <x:c r="F10158" s="11"/>
    </x:row>
    <x:row r="10159" spans="6:6" x14ac:dyDescent="0.25">
      <x:c r="F10159" s="11"/>
    </x:row>
    <x:row r="10160" spans="6:6" x14ac:dyDescent="0.25">
      <x:c r="F10160" s="11"/>
    </x:row>
    <x:row r="10161" spans="6:6" x14ac:dyDescent="0.25">
      <x:c r="F10161" s="11"/>
    </x:row>
    <x:row r="10162" spans="6:6" x14ac:dyDescent="0.25">
      <x:c r="F10162" s="11"/>
    </x:row>
    <x:row r="10163" spans="6:6" x14ac:dyDescent="0.25">
      <x:c r="F10163" s="11"/>
    </x:row>
    <x:row r="10164" spans="6:6" x14ac:dyDescent="0.25">
      <x:c r="F10164" s="11"/>
    </x:row>
    <x:row r="10165" spans="6:6" x14ac:dyDescent="0.25">
      <x:c r="F10165" s="11"/>
    </x:row>
    <x:row r="10166" spans="6:6" x14ac:dyDescent="0.25">
      <x:c r="F10166" s="11"/>
    </x:row>
    <x:row r="10167" spans="6:6" x14ac:dyDescent="0.25">
      <x:c r="F10167" s="11"/>
    </x:row>
    <x:row r="10168" spans="6:6" x14ac:dyDescent="0.25">
      <x:c r="F10168" s="11"/>
    </x:row>
    <x:row r="10169" spans="6:6" x14ac:dyDescent="0.25">
      <x:c r="F10169" s="11"/>
    </x:row>
    <x:row r="10170" spans="6:6" x14ac:dyDescent="0.25">
      <x:c r="F10170" s="11"/>
    </x:row>
    <x:row r="10171" spans="6:6" x14ac:dyDescent="0.25">
      <x:c r="F10171" s="11"/>
    </x:row>
    <x:row r="10172" spans="6:6" x14ac:dyDescent="0.25">
      <x:c r="F10172" s="11"/>
    </x:row>
    <x:row r="10173" spans="6:6" x14ac:dyDescent="0.25">
      <x:c r="F10173" s="11"/>
    </x:row>
    <x:row r="10174" spans="6:6" x14ac:dyDescent="0.25">
      <x:c r="F10174" s="11"/>
    </x:row>
    <x:row r="10175" spans="6:6" x14ac:dyDescent="0.25">
      <x:c r="F10175" s="11"/>
    </x:row>
    <x:row r="10176" spans="6:6" x14ac:dyDescent="0.25">
      <x:c r="F10176" s="11"/>
    </x:row>
    <x:row r="10177" spans="6:6" x14ac:dyDescent="0.25">
      <x:c r="F10177" s="11"/>
    </x:row>
    <x:row r="10178" spans="6:6" x14ac:dyDescent="0.25">
      <x:c r="F10178" s="11"/>
    </x:row>
    <x:row r="10179" spans="6:6" x14ac:dyDescent="0.25">
      <x:c r="F10179" s="11"/>
    </x:row>
    <x:row r="10180" spans="6:6" x14ac:dyDescent="0.25">
      <x:c r="F10180" s="11"/>
    </x:row>
    <x:row r="10181" spans="6:6" x14ac:dyDescent="0.25">
      <x:c r="F10181" s="11"/>
    </x:row>
    <x:row r="10182" spans="6:6" x14ac:dyDescent="0.25">
      <x:c r="F10182" s="11"/>
    </x:row>
    <x:row r="10183" spans="6:6" x14ac:dyDescent="0.25">
      <x:c r="F10183" s="11"/>
    </x:row>
    <x:row r="10184" spans="6:6" x14ac:dyDescent="0.25">
      <x:c r="F10184" s="11"/>
    </x:row>
    <x:row r="10185" spans="6:6" x14ac:dyDescent="0.25">
      <x:c r="F10185" s="11"/>
    </x:row>
    <x:row r="10186" spans="6:6" x14ac:dyDescent="0.25">
      <x:c r="F10186" s="11"/>
    </x:row>
    <x:row r="10187" spans="6:6" x14ac:dyDescent="0.25">
      <x:c r="F10187" s="11"/>
    </x:row>
    <x:row r="10188" spans="6:6" x14ac:dyDescent="0.25">
      <x:c r="F10188" s="11"/>
    </x:row>
    <x:row r="10189" spans="6:6" x14ac:dyDescent="0.25">
      <x:c r="F10189" s="11"/>
    </x:row>
    <x:row r="10190" spans="6:6" x14ac:dyDescent="0.25">
      <x:c r="F10190" s="11"/>
    </x:row>
    <x:row r="10191" spans="6:6" x14ac:dyDescent="0.25">
      <x:c r="F10191" s="11"/>
    </x:row>
    <x:row r="10192" spans="6:6" x14ac:dyDescent="0.25">
      <x:c r="F10192" s="11"/>
    </x:row>
    <x:row r="10193" spans="6:6" x14ac:dyDescent="0.25">
      <x:c r="F10193" s="11"/>
    </x:row>
    <x:row r="10194" spans="6:6" x14ac:dyDescent="0.25">
      <x:c r="F10194" s="11"/>
    </x:row>
    <x:row r="10195" spans="6:6" x14ac:dyDescent="0.25">
      <x:c r="F10195" s="11"/>
    </x:row>
    <x:row r="10196" spans="6:6" x14ac:dyDescent="0.25">
      <x:c r="F10196" s="11"/>
    </x:row>
    <x:row r="10197" spans="6:6" x14ac:dyDescent="0.25">
      <x:c r="F10197" s="11"/>
    </x:row>
    <x:row r="10198" spans="6:6" x14ac:dyDescent="0.25">
      <x:c r="F10198" s="11"/>
    </x:row>
    <x:row r="10199" spans="6:6" x14ac:dyDescent="0.25">
      <x:c r="F10199" s="11"/>
    </x:row>
    <x:row r="10200" spans="6:6" x14ac:dyDescent="0.25">
      <x:c r="F10200" s="11"/>
    </x:row>
    <x:row r="10201" spans="6:6" x14ac:dyDescent="0.25">
      <x:c r="F10201" s="11"/>
    </x:row>
    <x:row r="10202" spans="6:6" x14ac:dyDescent="0.25">
      <x:c r="F10202" s="11"/>
    </x:row>
    <x:row r="10203" spans="6:6" x14ac:dyDescent="0.25">
      <x:c r="F10203" s="11"/>
    </x:row>
    <x:row r="10204" spans="6:6" x14ac:dyDescent="0.25">
      <x:c r="F10204" s="11"/>
    </x:row>
    <x:row r="10205" spans="6:6" x14ac:dyDescent="0.25">
      <x:c r="F10205" s="11"/>
    </x:row>
    <x:row r="10206" spans="6:6" x14ac:dyDescent="0.25">
      <x:c r="F10206" s="11"/>
    </x:row>
    <x:row r="10207" spans="6:6" x14ac:dyDescent="0.25">
      <x:c r="F10207" s="11"/>
    </x:row>
    <x:row r="10208" spans="6:6" x14ac:dyDescent="0.25">
      <x:c r="F10208" s="11"/>
    </x:row>
    <x:row r="10209" spans="6:6" x14ac:dyDescent="0.25">
      <x:c r="F10209" s="11"/>
    </x:row>
    <x:row r="10210" spans="6:6" x14ac:dyDescent="0.25">
      <x:c r="F10210" s="11"/>
    </x:row>
    <x:row r="10211" spans="6:6" x14ac:dyDescent="0.25">
      <x:c r="F10211" s="11"/>
    </x:row>
    <x:row r="10212" spans="6:6" x14ac:dyDescent="0.25">
      <x:c r="F10212" s="11"/>
    </x:row>
    <x:row r="10213" spans="6:6" x14ac:dyDescent="0.25">
      <x:c r="F10213" s="11"/>
    </x:row>
    <x:row r="10214" spans="6:6" x14ac:dyDescent="0.25">
      <x:c r="F10214" s="11"/>
    </x:row>
    <x:row r="10215" spans="6:6" x14ac:dyDescent="0.25">
      <x:c r="F10215" s="11"/>
    </x:row>
    <x:row r="10216" spans="6:6" x14ac:dyDescent="0.25">
      <x:c r="F10216" s="11"/>
    </x:row>
    <x:row r="10217" spans="6:6" x14ac:dyDescent="0.25">
      <x:c r="F10217" s="11"/>
    </x:row>
    <x:row r="10218" spans="6:6" x14ac:dyDescent="0.25">
      <x:c r="F10218" s="11"/>
    </x:row>
    <x:row r="10219" spans="6:6" x14ac:dyDescent="0.25">
      <x:c r="F10219" s="11"/>
    </x:row>
    <x:row r="10220" spans="6:6" x14ac:dyDescent="0.25">
      <x:c r="F10220" s="11"/>
    </x:row>
    <x:row r="10221" spans="6:6" x14ac:dyDescent="0.25">
      <x:c r="F10221" s="11"/>
    </x:row>
    <x:row r="10222" spans="6:6" x14ac:dyDescent="0.25">
      <x:c r="F10222" s="11"/>
    </x:row>
    <x:row r="10223" spans="6:6" x14ac:dyDescent="0.25">
      <x:c r="F10223" s="11"/>
    </x:row>
    <x:row r="10224" spans="6:6" x14ac:dyDescent="0.25">
      <x:c r="F10224" s="11"/>
    </x:row>
    <x:row r="10225" spans="6:6" x14ac:dyDescent="0.25">
      <x:c r="F10225" s="11"/>
    </x:row>
    <x:row r="10226" spans="6:6" x14ac:dyDescent="0.25">
      <x:c r="F10226" s="11"/>
    </x:row>
    <x:row r="10227" spans="6:6" x14ac:dyDescent="0.25">
      <x:c r="F10227" s="11"/>
    </x:row>
    <x:row r="10228" spans="6:6" x14ac:dyDescent="0.25">
      <x:c r="F10228" s="11"/>
    </x:row>
    <x:row r="10229" spans="6:6" x14ac:dyDescent="0.25">
      <x:c r="F10229" s="11"/>
    </x:row>
    <x:row r="10230" spans="6:6" x14ac:dyDescent="0.25">
      <x:c r="F10230" s="11"/>
    </x:row>
    <x:row r="10231" spans="6:6" x14ac:dyDescent="0.25">
      <x:c r="F10231" s="11"/>
    </x:row>
    <x:row r="10232" spans="6:6" x14ac:dyDescent="0.25">
      <x:c r="F10232" s="11"/>
    </x:row>
    <x:row r="10233" spans="6:6" x14ac:dyDescent="0.25">
      <x:c r="F10233" s="11"/>
    </x:row>
    <x:row r="10234" spans="6:6" x14ac:dyDescent="0.25">
      <x:c r="F10234" s="11"/>
    </x:row>
    <x:row r="10235" spans="6:6" x14ac:dyDescent="0.25">
      <x:c r="F10235" s="11"/>
    </x:row>
    <x:row r="10236" spans="6:6" x14ac:dyDescent="0.25">
      <x:c r="F10236" s="11"/>
    </x:row>
    <x:row r="10237" spans="6:6" x14ac:dyDescent="0.25">
      <x:c r="F10237" s="11"/>
    </x:row>
    <x:row r="10238" spans="6:6" x14ac:dyDescent="0.25">
      <x:c r="F10238" s="11"/>
    </x:row>
    <x:row r="10239" spans="6:6" x14ac:dyDescent="0.25">
      <x:c r="F10239" s="11"/>
    </x:row>
    <x:row r="10240" spans="6:6" x14ac:dyDescent="0.25">
      <x:c r="F10240" s="11"/>
    </x:row>
    <x:row r="10241" spans="6:6" x14ac:dyDescent="0.25">
      <x:c r="F10241" s="11"/>
    </x:row>
    <x:row r="10242" spans="6:6" x14ac:dyDescent="0.25">
      <x:c r="F10242" s="11"/>
    </x:row>
    <x:row r="10243" spans="6:6" x14ac:dyDescent="0.25">
      <x:c r="F10243" s="11"/>
    </x:row>
    <x:row r="10244" spans="6:6" x14ac:dyDescent="0.25">
      <x:c r="F10244" s="11"/>
    </x:row>
    <x:row r="10245" spans="6:6" x14ac:dyDescent="0.25">
      <x:c r="F10245" s="11"/>
    </x:row>
    <x:row r="10246" spans="6:6" x14ac:dyDescent="0.25">
      <x:c r="F10246" s="11"/>
    </x:row>
    <x:row r="10247" spans="6:6" x14ac:dyDescent="0.25">
      <x:c r="F10247" s="11"/>
    </x:row>
    <x:row r="10248" spans="6:6" x14ac:dyDescent="0.25">
      <x:c r="F10248" s="11"/>
    </x:row>
    <x:row r="10249" spans="6:6" x14ac:dyDescent="0.25">
      <x:c r="F10249" s="11"/>
    </x:row>
    <x:row r="10250" spans="6:6" x14ac:dyDescent="0.25">
      <x:c r="F10250" s="11"/>
    </x:row>
    <x:row r="10251" spans="6:6" x14ac:dyDescent="0.25">
      <x:c r="F10251" s="11"/>
    </x:row>
    <x:row r="10252" spans="6:6" x14ac:dyDescent="0.25">
      <x:c r="F10252" s="11"/>
    </x:row>
    <x:row r="10253" spans="6:6" x14ac:dyDescent="0.25">
      <x:c r="F10253" s="11"/>
    </x:row>
    <x:row r="10254" spans="6:6" x14ac:dyDescent="0.25">
      <x:c r="F10254" s="11"/>
    </x:row>
    <x:row r="10255" spans="6:6" x14ac:dyDescent="0.25">
      <x:c r="F10255" s="11"/>
    </x:row>
    <x:row r="10256" spans="6:6" x14ac:dyDescent="0.25">
      <x:c r="F10256" s="11"/>
    </x:row>
    <x:row r="10257" spans="6:6" x14ac:dyDescent="0.25">
      <x:c r="F10257" s="11"/>
    </x:row>
    <x:row r="10258" spans="6:6" x14ac:dyDescent="0.25">
      <x:c r="F10258" s="11"/>
    </x:row>
    <x:row r="10259" spans="6:6" x14ac:dyDescent="0.25">
      <x:c r="F10259" s="11"/>
    </x:row>
    <x:row r="10260" spans="6:6" x14ac:dyDescent="0.25">
      <x:c r="F10260" s="11"/>
    </x:row>
    <x:row r="10261" spans="6:6" x14ac:dyDescent="0.25">
      <x:c r="F10261" s="11"/>
    </x:row>
    <x:row r="10262" spans="6:6" x14ac:dyDescent="0.25">
      <x:c r="F10262" s="11"/>
    </x:row>
    <x:row r="10263" spans="6:6" x14ac:dyDescent="0.25">
      <x:c r="F10263" s="11"/>
    </x:row>
    <x:row r="10264" spans="6:6" x14ac:dyDescent="0.25">
      <x:c r="F10264" s="11"/>
    </x:row>
    <x:row r="10265" spans="6:6" x14ac:dyDescent="0.25">
      <x:c r="F10265" s="11"/>
    </x:row>
    <x:row r="10266" spans="6:6" x14ac:dyDescent="0.25">
      <x:c r="F10266" s="11"/>
    </x:row>
    <x:row r="10267" spans="6:6" x14ac:dyDescent="0.25">
      <x:c r="F10267" s="11"/>
    </x:row>
    <x:row r="10268" spans="6:6" x14ac:dyDescent="0.25">
      <x:c r="F10268" s="11"/>
    </x:row>
    <x:row r="10269" spans="6:6" x14ac:dyDescent="0.25">
      <x:c r="F10269" s="11"/>
    </x:row>
    <x:row r="10270" spans="6:6" x14ac:dyDescent="0.25">
      <x:c r="F10270" s="11"/>
    </x:row>
    <x:row r="10271" spans="6:6" x14ac:dyDescent="0.25">
      <x:c r="F10271" s="11"/>
    </x:row>
    <x:row r="10272" spans="6:6" x14ac:dyDescent="0.25">
      <x:c r="F10272" s="11"/>
    </x:row>
    <x:row r="10273" spans="6:6" x14ac:dyDescent="0.25">
      <x:c r="F10273" s="11"/>
    </x:row>
    <x:row r="10274" spans="6:6" x14ac:dyDescent="0.25">
      <x:c r="F10274" s="11"/>
    </x:row>
    <x:row r="10275" spans="6:6" x14ac:dyDescent="0.25">
      <x:c r="F10275" s="11"/>
    </x:row>
    <x:row r="10276" spans="6:6" x14ac:dyDescent="0.25">
      <x:c r="F10276" s="11"/>
    </x:row>
    <x:row r="10277" spans="6:6" x14ac:dyDescent="0.25">
      <x:c r="F10277" s="11"/>
    </x:row>
    <x:row r="10278" spans="6:6" x14ac:dyDescent="0.25">
      <x:c r="F10278" s="11"/>
    </x:row>
    <x:row r="10279" spans="6:6" x14ac:dyDescent="0.25">
      <x:c r="F10279" s="11"/>
    </x:row>
    <x:row r="10280" spans="6:6" x14ac:dyDescent="0.25">
      <x:c r="F10280" s="11"/>
    </x:row>
    <x:row r="10281" spans="6:6" x14ac:dyDescent="0.25">
      <x:c r="F10281" s="11"/>
    </x:row>
    <x:row r="10282" spans="6:6" x14ac:dyDescent="0.25">
      <x:c r="F10282" s="11"/>
    </x:row>
    <x:row r="10283" spans="6:6" x14ac:dyDescent="0.25">
      <x:c r="F10283" s="11"/>
    </x:row>
    <x:row r="10284" spans="6:6" x14ac:dyDescent="0.25">
      <x:c r="F10284" s="11"/>
    </x:row>
    <x:row r="10285" spans="6:6" x14ac:dyDescent="0.25">
      <x:c r="F10285" s="11"/>
    </x:row>
    <x:row r="10286" spans="6:6" x14ac:dyDescent="0.25">
      <x:c r="F10286" s="11"/>
    </x:row>
    <x:row r="10287" spans="6:6" x14ac:dyDescent="0.25">
      <x:c r="F10287" s="11"/>
    </x:row>
    <x:row r="10288" spans="6:6" x14ac:dyDescent="0.25">
      <x:c r="F10288" s="11"/>
    </x:row>
    <x:row r="10289" spans="6:6" x14ac:dyDescent="0.25">
      <x:c r="F10289" s="11"/>
    </x:row>
    <x:row r="10290" spans="6:6" x14ac:dyDescent="0.25">
      <x:c r="F10290" s="11"/>
    </x:row>
    <x:row r="10291" spans="6:6" x14ac:dyDescent="0.25">
      <x:c r="F10291" s="11"/>
    </x:row>
    <x:row r="10292" spans="6:6" x14ac:dyDescent="0.25">
      <x:c r="F10292" s="11"/>
    </x:row>
    <x:row r="10293" spans="6:6" x14ac:dyDescent="0.25">
      <x:c r="F10293" s="11"/>
    </x:row>
    <x:row r="10294" spans="6:6" x14ac:dyDescent="0.25">
      <x:c r="F10294" s="11"/>
    </x:row>
    <x:row r="10295" spans="6:6" x14ac:dyDescent="0.25">
      <x:c r="F10295" s="11"/>
    </x:row>
    <x:row r="10296" spans="6:6" x14ac:dyDescent="0.25">
      <x:c r="F10296" s="11"/>
    </x:row>
    <x:row r="10297" spans="6:6" x14ac:dyDescent="0.25">
      <x:c r="F10297" s="11"/>
    </x:row>
    <x:row r="10298" spans="6:6" x14ac:dyDescent="0.25">
      <x:c r="F10298" s="11"/>
    </x:row>
    <x:row r="10299" spans="6:6" x14ac:dyDescent="0.25">
      <x:c r="F10299" s="11"/>
    </x:row>
    <x:row r="10300" spans="6:6" x14ac:dyDescent="0.25">
      <x:c r="F10300" s="11"/>
    </x:row>
    <x:row r="10301" spans="6:6" x14ac:dyDescent="0.25">
      <x:c r="F10301" s="11"/>
    </x:row>
    <x:row r="10302" spans="6:6" x14ac:dyDescent="0.25">
      <x:c r="F10302" s="11"/>
    </x:row>
    <x:row r="10303" spans="6:6" x14ac:dyDescent="0.25">
      <x:c r="F10303" s="11"/>
    </x:row>
    <x:row r="10304" spans="6:6" x14ac:dyDescent="0.25">
      <x:c r="F10304" s="11"/>
    </x:row>
    <x:row r="10305" spans="6:6" x14ac:dyDescent="0.25">
      <x:c r="F10305" s="11"/>
    </x:row>
    <x:row r="10306" spans="6:6" x14ac:dyDescent="0.25">
      <x:c r="F10306" s="11"/>
    </x:row>
    <x:row r="10307" spans="6:6" x14ac:dyDescent="0.25">
      <x:c r="F10307" s="11"/>
    </x:row>
    <x:row r="10308" spans="6:6" x14ac:dyDescent="0.25">
      <x:c r="F10308" s="11"/>
    </x:row>
    <x:row r="10309" spans="6:6" x14ac:dyDescent="0.25">
      <x:c r="F10309" s="11"/>
    </x:row>
    <x:row r="10310" spans="6:6" x14ac:dyDescent="0.25">
      <x:c r="F10310" s="11"/>
    </x:row>
    <x:row r="10311" spans="6:6" x14ac:dyDescent="0.25">
      <x:c r="F10311" s="11"/>
    </x:row>
    <x:row r="10312" spans="6:6" x14ac:dyDescent="0.25">
      <x:c r="F10312" s="11"/>
    </x:row>
    <x:row r="10313" spans="6:6" x14ac:dyDescent="0.25">
      <x:c r="F10313" s="11"/>
    </x:row>
    <x:row r="10314" spans="6:6" x14ac:dyDescent="0.25">
      <x:c r="F10314" s="11"/>
    </x:row>
    <x:row r="10315" spans="6:6" x14ac:dyDescent="0.25">
      <x:c r="F10315" s="11"/>
    </x:row>
    <x:row r="10316" spans="6:6" x14ac:dyDescent="0.25">
      <x:c r="F10316" s="11"/>
    </x:row>
    <x:row r="10317" spans="6:6" x14ac:dyDescent="0.25">
      <x:c r="F10317" s="11"/>
    </x:row>
    <x:row r="10318" spans="6:6" x14ac:dyDescent="0.25">
      <x:c r="F10318" s="11"/>
    </x:row>
    <x:row r="10319" spans="6:6" x14ac:dyDescent="0.25">
      <x:c r="F10319" s="11"/>
    </x:row>
    <x:row r="10320" spans="6:6" x14ac:dyDescent="0.25">
      <x:c r="F10320" s="11"/>
    </x:row>
    <x:row r="10321" spans="6:6" x14ac:dyDescent="0.25">
      <x:c r="F10321" s="11"/>
    </x:row>
    <x:row r="10322" spans="6:6" x14ac:dyDescent="0.25">
      <x:c r="F10322" s="11"/>
    </x:row>
    <x:row r="10323" spans="6:6" x14ac:dyDescent="0.25">
      <x:c r="F10323" s="11"/>
    </x:row>
    <x:row r="10324" spans="6:6" x14ac:dyDescent="0.25">
      <x:c r="F10324" s="11"/>
    </x:row>
    <x:row r="10325" spans="6:6" x14ac:dyDescent="0.25">
      <x:c r="F10325" s="11"/>
    </x:row>
    <x:row r="10326" spans="6:6" x14ac:dyDescent="0.25">
      <x:c r="F10326" s="11"/>
    </x:row>
    <x:row r="10327" spans="6:6" x14ac:dyDescent="0.25">
      <x:c r="F10327" s="11"/>
    </x:row>
    <x:row r="10328" spans="6:6" x14ac:dyDescent="0.25">
      <x:c r="F10328" s="11"/>
    </x:row>
    <x:row r="10329" spans="6:6" x14ac:dyDescent="0.25">
      <x:c r="F10329" s="11"/>
    </x:row>
    <x:row r="10330" spans="6:6" x14ac:dyDescent="0.25">
      <x:c r="F10330" s="11"/>
    </x:row>
    <x:row r="10331" spans="6:6" x14ac:dyDescent="0.25">
      <x:c r="F10331" s="11"/>
    </x:row>
    <x:row r="10332" spans="6:6" x14ac:dyDescent="0.25">
      <x:c r="F10332" s="11"/>
    </x:row>
    <x:row r="10333" spans="6:6" x14ac:dyDescent="0.25">
      <x:c r="F10333" s="11"/>
    </x:row>
    <x:row r="10334" spans="6:6" x14ac:dyDescent="0.25">
      <x:c r="F10334" s="11"/>
    </x:row>
    <x:row r="10335" spans="6:6" x14ac:dyDescent="0.25">
      <x:c r="F10335" s="11"/>
    </x:row>
    <x:row r="10336" spans="6:6" x14ac:dyDescent="0.25">
      <x:c r="F10336" s="11"/>
    </x:row>
    <x:row r="10337" spans="6:6" x14ac:dyDescent="0.25">
      <x:c r="F10337" s="11"/>
    </x:row>
    <x:row r="10338" spans="6:6" x14ac:dyDescent="0.25">
      <x:c r="F10338" s="11"/>
    </x:row>
    <x:row r="10339" spans="6:6" x14ac:dyDescent="0.25">
      <x:c r="F10339" s="11"/>
    </x:row>
    <x:row r="10340" spans="6:6" x14ac:dyDescent="0.25">
      <x:c r="F10340" s="11"/>
    </x:row>
    <x:row r="10341" spans="6:6" x14ac:dyDescent="0.25">
      <x:c r="F10341" s="11"/>
    </x:row>
    <x:row r="10342" spans="6:6" x14ac:dyDescent="0.25">
      <x:c r="F10342" s="11"/>
    </x:row>
    <x:row r="10343" spans="6:6" x14ac:dyDescent="0.25">
      <x:c r="F10343" s="11"/>
    </x:row>
    <x:row r="10344" spans="6:6" x14ac:dyDescent="0.25">
      <x:c r="F10344" s="11"/>
    </x:row>
    <x:row r="10345" spans="6:6" x14ac:dyDescent="0.25">
      <x:c r="F10345" s="11"/>
    </x:row>
    <x:row r="10346" spans="6:6" x14ac:dyDescent="0.25">
      <x:c r="F10346" s="11"/>
    </x:row>
    <x:row r="10347" spans="6:6" x14ac:dyDescent="0.25">
      <x:c r="F10347" s="11"/>
    </x:row>
    <x:row r="10348" spans="6:6" x14ac:dyDescent="0.25">
      <x:c r="F10348" s="11"/>
    </x:row>
    <x:row r="10349" spans="6:6" x14ac:dyDescent="0.25">
      <x:c r="F10349" s="11"/>
    </x:row>
    <x:row r="10350" spans="6:6" x14ac:dyDescent="0.25">
      <x:c r="F10350" s="11"/>
    </x:row>
    <x:row r="10351" spans="6:6" x14ac:dyDescent="0.25">
      <x:c r="F10351" s="11"/>
    </x:row>
    <x:row r="10352" spans="6:6" x14ac:dyDescent="0.25">
      <x:c r="F10352" s="11"/>
    </x:row>
    <x:row r="10353" spans="6:6" x14ac:dyDescent="0.25">
      <x:c r="F10353" s="11"/>
    </x:row>
    <x:row r="10354" spans="6:6" x14ac:dyDescent="0.25">
      <x:c r="F10354" s="11"/>
    </x:row>
    <x:row r="10355" spans="6:6" x14ac:dyDescent="0.25">
      <x:c r="F10355" s="11"/>
    </x:row>
    <x:row r="10356" spans="6:6" x14ac:dyDescent="0.25">
      <x:c r="F10356" s="11"/>
    </x:row>
    <x:row r="10357" spans="6:6" x14ac:dyDescent="0.25">
      <x:c r="F10357" s="11"/>
    </x:row>
    <x:row r="10358" spans="6:6" x14ac:dyDescent="0.25">
      <x:c r="F10358" s="11"/>
    </x:row>
    <x:row r="10359" spans="6:6" x14ac:dyDescent="0.25">
      <x:c r="F10359" s="11"/>
    </x:row>
    <x:row r="10360" spans="6:6" x14ac:dyDescent="0.25">
      <x:c r="F10360" s="11"/>
    </x:row>
    <x:row r="10361" spans="6:6" x14ac:dyDescent="0.25">
      <x:c r="F10361" s="11"/>
    </x:row>
    <x:row r="10362" spans="6:6" x14ac:dyDescent="0.25">
      <x:c r="F10362" s="11"/>
    </x:row>
    <x:row r="10363" spans="6:6" x14ac:dyDescent="0.25">
      <x:c r="F10363" s="11"/>
    </x:row>
    <x:row r="10364" spans="6:6" x14ac:dyDescent="0.25">
      <x:c r="F10364" s="11"/>
    </x:row>
    <x:row r="10365" spans="6:6" x14ac:dyDescent="0.25">
      <x:c r="F10365" s="11"/>
    </x:row>
    <x:row r="10366" spans="6:6" x14ac:dyDescent="0.25">
      <x:c r="F10366" s="11"/>
    </x:row>
    <x:row r="10367" spans="6:6" x14ac:dyDescent="0.25">
      <x:c r="F10367" s="11"/>
    </x:row>
    <x:row r="10368" spans="6:6" x14ac:dyDescent="0.25">
      <x:c r="F10368" s="11"/>
    </x:row>
    <x:row r="10369" spans="6:6" x14ac:dyDescent="0.25">
      <x:c r="F10369" s="11"/>
    </x:row>
    <x:row r="10370" spans="6:6" x14ac:dyDescent="0.25">
      <x:c r="F10370" s="11"/>
    </x:row>
    <x:row r="10371" spans="6:6" x14ac:dyDescent="0.25">
      <x:c r="F10371" s="11"/>
    </x:row>
    <x:row r="10372" spans="6:6" x14ac:dyDescent="0.25">
      <x:c r="F10372" s="11"/>
    </x:row>
    <x:row r="10373" spans="6:6" x14ac:dyDescent="0.25">
      <x:c r="F10373" s="11"/>
    </x:row>
    <x:row r="10374" spans="6:6" x14ac:dyDescent="0.25">
      <x:c r="F10374" s="11"/>
    </x:row>
    <x:row r="10375" spans="6:6" x14ac:dyDescent="0.25">
      <x:c r="F10375" s="11"/>
    </x:row>
    <x:row r="10376" spans="6:6" x14ac:dyDescent="0.25">
      <x:c r="F10376" s="11"/>
    </x:row>
    <x:row r="10377" spans="6:6" x14ac:dyDescent="0.25">
      <x:c r="F10377" s="11"/>
    </x:row>
    <x:row r="10378" spans="6:6" x14ac:dyDescent="0.25">
      <x:c r="F10378" s="11"/>
    </x:row>
    <x:row r="10379" spans="6:6" x14ac:dyDescent="0.25">
      <x:c r="F10379" s="11"/>
    </x:row>
    <x:row r="10380" spans="6:6" x14ac:dyDescent="0.25">
      <x:c r="F10380" s="11"/>
    </x:row>
    <x:row r="10381" spans="6:6" x14ac:dyDescent="0.25">
      <x:c r="F10381" s="11"/>
    </x:row>
    <x:row r="10382" spans="6:6" x14ac:dyDescent="0.25">
      <x:c r="F10382" s="11"/>
    </x:row>
    <x:row r="10383" spans="6:6" x14ac:dyDescent="0.25">
      <x:c r="F10383" s="11"/>
    </x:row>
    <x:row r="10384" spans="6:6" x14ac:dyDescent="0.25">
      <x:c r="F10384" s="11"/>
    </x:row>
    <x:row r="10385" spans="6:6" x14ac:dyDescent="0.25">
      <x:c r="F10385" s="11"/>
    </x:row>
    <x:row r="10386" spans="6:6" x14ac:dyDescent="0.25">
      <x:c r="F10386" s="11"/>
    </x:row>
    <x:row r="10387" spans="6:6" x14ac:dyDescent="0.25">
      <x:c r="F10387" s="11"/>
    </x:row>
    <x:row r="10388" spans="6:6" x14ac:dyDescent="0.25">
      <x:c r="F10388" s="11"/>
    </x:row>
    <x:row r="10389" spans="6:6" x14ac:dyDescent="0.25">
      <x:c r="F10389" s="11"/>
    </x:row>
    <x:row r="10390" spans="6:6" x14ac:dyDescent="0.25">
      <x:c r="F10390" s="11"/>
    </x:row>
    <x:row r="10391" spans="6:6" x14ac:dyDescent="0.25">
      <x:c r="F10391" s="11"/>
    </x:row>
    <x:row r="10392" spans="6:6" x14ac:dyDescent="0.25">
      <x:c r="F10392" s="11"/>
    </x:row>
    <x:row r="10393" spans="6:6" x14ac:dyDescent="0.25">
      <x:c r="F10393" s="11"/>
    </x:row>
    <x:row r="10394" spans="6:6" x14ac:dyDescent="0.25">
      <x:c r="F10394" s="11"/>
    </x:row>
    <x:row r="10395" spans="6:6" x14ac:dyDescent="0.25">
      <x:c r="F10395" s="11"/>
    </x:row>
    <x:row r="10396" spans="6:6" x14ac:dyDescent="0.25">
      <x:c r="F10396" s="11"/>
    </x:row>
    <x:row r="10397" spans="6:6" x14ac:dyDescent="0.25">
      <x:c r="F10397" s="11"/>
    </x:row>
    <x:row r="10398" spans="6:6" x14ac:dyDescent="0.25">
      <x:c r="F10398" s="11"/>
    </x:row>
    <x:row r="10399" spans="6:6" x14ac:dyDescent="0.25">
      <x:c r="F10399" s="11"/>
    </x:row>
    <x:row r="10400" spans="6:6" x14ac:dyDescent="0.25">
      <x:c r="F10400" s="11"/>
    </x:row>
    <x:row r="10401" spans="6:6" x14ac:dyDescent="0.25">
      <x:c r="F10401" s="11"/>
    </x:row>
    <x:row r="10402" spans="6:6" x14ac:dyDescent="0.25">
      <x:c r="F10402" s="11"/>
    </x:row>
    <x:row r="10403" spans="6:6" x14ac:dyDescent="0.25">
      <x:c r="F10403" s="11"/>
    </x:row>
    <x:row r="10404" spans="6:6" x14ac:dyDescent="0.25">
      <x:c r="F10404" s="11"/>
    </x:row>
    <x:row r="10405" spans="6:6" x14ac:dyDescent="0.25">
      <x:c r="F10405" s="11"/>
    </x:row>
    <x:row r="10406" spans="6:6" x14ac:dyDescent="0.25">
      <x:c r="F10406" s="11"/>
    </x:row>
    <x:row r="10407" spans="6:6" x14ac:dyDescent="0.25">
      <x:c r="F10407" s="11"/>
    </x:row>
    <x:row r="10408" spans="6:6" x14ac:dyDescent="0.25">
      <x:c r="F10408" s="11"/>
    </x:row>
    <x:row r="10409" spans="6:6" x14ac:dyDescent="0.25">
      <x:c r="F10409" s="11"/>
    </x:row>
    <x:row r="10410" spans="6:6" x14ac:dyDescent="0.25">
      <x:c r="F10410" s="11"/>
    </x:row>
    <x:row r="10411" spans="6:6" x14ac:dyDescent="0.25">
      <x:c r="F10411" s="11"/>
    </x:row>
    <x:row r="10412" spans="6:6" x14ac:dyDescent="0.25">
      <x:c r="F10412" s="11"/>
    </x:row>
    <x:row r="10413" spans="6:6" x14ac:dyDescent="0.25">
      <x:c r="F10413" s="11"/>
    </x:row>
    <x:row r="10414" spans="6:6" x14ac:dyDescent="0.25">
      <x:c r="F10414" s="11"/>
    </x:row>
    <x:row r="10415" spans="6:6" x14ac:dyDescent="0.25">
      <x:c r="F10415" s="11"/>
    </x:row>
    <x:row r="10416" spans="6:6" x14ac:dyDescent="0.25">
      <x:c r="F10416" s="11"/>
    </x:row>
    <x:row r="10417" spans="6:6" x14ac:dyDescent="0.25">
      <x:c r="F10417" s="11"/>
    </x:row>
    <x:row r="10418" spans="6:6" x14ac:dyDescent="0.25">
      <x:c r="F10418" s="11"/>
    </x:row>
    <x:row r="10419" spans="6:6" x14ac:dyDescent="0.25">
      <x:c r="F10419" s="11"/>
    </x:row>
    <x:row r="10420" spans="6:6" x14ac:dyDescent="0.25">
      <x:c r="F10420" s="11"/>
    </x:row>
    <x:row r="10421" spans="6:6" x14ac:dyDescent="0.25">
      <x:c r="F10421" s="11"/>
    </x:row>
    <x:row r="10422" spans="6:6" x14ac:dyDescent="0.25">
      <x:c r="F10422" s="11"/>
    </x:row>
    <x:row r="10423" spans="6:6" x14ac:dyDescent="0.25">
      <x:c r="F10423" s="11"/>
    </x:row>
    <x:row r="10424" spans="6:6" x14ac:dyDescent="0.25">
      <x:c r="F10424" s="11"/>
    </x:row>
    <x:row r="10425" spans="6:6" x14ac:dyDescent="0.25">
      <x:c r="F10425" s="11"/>
    </x:row>
    <x:row r="10426" spans="6:6" x14ac:dyDescent="0.25">
      <x:c r="F10426" s="11"/>
    </x:row>
    <x:row r="10427" spans="6:6" x14ac:dyDescent="0.25">
      <x:c r="F10427" s="11"/>
    </x:row>
    <x:row r="10428" spans="6:6" x14ac:dyDescent="0.25">
      <x:c r="F10428" s="11"/>
    </x:row>
    <x:row r="10429" spans="6:6" x14ac:dyDescent="0.25">
      <x:c r="F10429" s="11"/>
    </x:row>
    <x:row r="10430" spans="6:6" x14ac:dyDescent="0.25">
      <x:c r="F10430" s="11"/>
    </x:row>
    <x:row r="10431" spans="6:6" x14ac:dyDescent="0.25">
      <x:c r="F10431" s="11"/>
    </x:row>
    <x:row r="10432" spans="6:6" x14ac:dyDescent="0.25">
      <x:c r="F10432" s="11"/>
    </x:row>
    <x:row r="10433" spans="6:6" x14ac:dyDescent="0.25">
      <x:c r="F10433" s="11"/>
    </x:row>
    <x:row r="10434" spans="6:6" x14ac:dyDescent="0.25">
      <x:c r="F10434" s="11"/>
    </x:row>
    <x:row r="10435" spans="6:6" x14ac:dyDescent="0.25">
      <x:c r="F10435" s="11"/>
    </x:row>
    <x:row r="10436" spans="6:6" x14ac:dyDescent="0.25">
      <x:c r="F10436" s="11"/>
    </x:row>
    <x:row r="10437" spans="6:6" x14ac:dyDescent="0.25">
      <x:c r="F10437" s="11"/>
    </x:row>
    <x:row r="10438" spans="6:6" x14ac:dyDescent="0.25">
      <x:c r="F10438" s="11"/>
    </x:row>
    <x:row r="10439" spans="6:6" x14ac:dyDescent="0.25">
      <x:c r="F10439" s="11"/>
    </x:row>
    <x:row r="10440" spans="6:6" x14ac:dyDescent="0.25">
      <x:c r="F10440" s="11"/>
    </x:row>
    <x:row r="10441" spans="6:6" x14ac:dyDescent="0.25">
      <x:c r="F10441" s="11"/>
    </x:row>
    <x:row r="10442" spans="6:6" x14ac:dyDescent="0.25">
      <x:c r="F10442" s="11"/>
    </x:row>
    <x:row r="10443" spans="6:6" x14ac:dyDescent="0.25">
      <x:c r="F10443" s="11"/>
    </x:row>
    <x:row r="10444" spans="6:6" x14ac:dyDescent="0.25">
      <x:c r="F10444" s="11"/>
    </x:row>
    <x:row r="10445" spans="6:6" x14ac:dyDescent="0.25">
      <x:c r="F10445" s="11"/>
    </x:row>
    <x:row r="10446" spans="6:6" x14ac:dyDescent="0.25">
      <x:c r="F10446" s="11"/>
    </x:row>
    <x:row r="10447" spans="6:6" x14ac:dyDescent="0.25">
      <x:c r="F10447" s="11"/>
    </x:row>
    <x:row r="10448" spans="6:6" x14ac:dyDescent="0.25">
      <x:c r="F10448" s="11"/>
    </x:row>
    <x:row r="10449" spans="6:6" x14ac:dyDescent="0.25">
      <x:c r="F10449" s="11"/>
    </x:row>
    <x:row r="10450" spans="6:6" x14ac:dyDescent="0.25">
      <x:c r="F10450" s="11"/>
    </x:row>
    <x:row r="10451" spans="6:6" x14ac:dyDescent="0.25">
      <x:c r="F10451" s="11"/>
    </x:row>
    <x:row r="10452" spans="6:6" x14ac:dyDescent="0.25">
      <x:c r="F10452" s="11"/>
    </x:row>
    <x:row r="10453" spans="6:6" x14ac:dyDescent="0.25">
      <x:c r="F10453" s="11"/>
    </x:row>
    <x:row r="10454" spans="6:6" x14ac:dyDescent="0.25">
      <x:c r="F10454" s="11"/>
    </x:row>
    <x:row r="10455" spans="6:6" x14ac:dyDescent="0.25">
      <x:c r="F10455" s="11"/>
    </x:row>
    <x:row r="10456" spans="6:6" x14ac:dyDescent="0.25">
      <x:c r="F10456" s="11"/>
    </x:row>
    <x:row r="10457" spans="6:6" x14ac:dyDescent="0.25">
      <x:c r="F10457" s="11"/>
    </x:row>
    <x:row r="10458" spans="6:6" x14ac:dyDescent="0.25">
      <x:c r="F10458" s="11"/>
    </x:row>
    <x:row r="10459" spans="6:6" x14ac:dyDescent="0.25">
      <x:c r="F10459" s="11"/>
    </x:row>
    <x:row r="10460" spans="6:6" x14ac:dyDescent="0.25">
      <x:c r="F10460" s="11"/>
    </x:row>
    <x:row r="10461" spans="6:6" x14ac:dyDescent="0.25">
      <x:c r="F10461" s="11"/>
    </x:row>
    <x:row r="10462" spans="6:6" x14ac:dyDescent="0.25">
      <x:c r="F10462" s="11"/>
    </x:row>
    <x:row r="10463" spans="6:6" x14ac:dyDescent="0.25">
      <x:c r="F10463" s="11"/>
    </x:row>
    <x:row r="10464" spans="6:6" x14ac:dyDescent="0.25">
      <x:c r="F10464" s="11"/>
    </x:row>
    <x:row r="10465" spans="6:6" x14ac:dyDescent="0.25">
      <x:c r="F10465" s="11"/>
    </x:row>
    <x:row r="10466" spans="6:6" x14ac:dyDescent="0.25">
      <x:c r="F10466" s="11"/>
    </x:row>
    <x:row r="10467" spans="6:6" x14ac:dyDescent="0.25">
      <x:c r="F10467" s="11"/>
    </x:row>
    <x:row r="10468" spans="6:6" x14ac:dyDescent="0.25">
      <x:c r="F10468" s="11"/>
    </x:row>
    <x:row r="10469" spans="6:6" x14ac:dyDescent="0.25">
      <x:c r="F10469" s="11"/>
    </x:row>
    <x:row r="10470" spans="6:6" x14ac:dyDescent="0.25">
      <x:c r="F10470" s="11"/>
    </x:row>
    <x:row r="10471" spans="6:6" x14ac:dyDescent="0.25">
      <x:c r="F10471" s="11"/>
    </x:row>
    <x:row r="10472" spans="6:6" x14ac:dyDescent="0.25">
      <x:c r="F10472" s="11"/>
    </x:row>
    <x:row r="10473" spans="6:6" x14ac:dyDescent="0.25">
      <x:c r="F10473" s="11"/>
    </x:row>
    <x:row r="10474" spans="6:6" x14ac:dyDescent="0.25">
      <x:c r="F10474" s="11"/>
    </x:row>
    <x:row r="10475" spans="6:6" x14ac:dyDescent="0.25">
      <x:c r="F10475" s="11"/>
    </x:row>
    <x:row r="10476" spans="6:6" x14ac:dyDescent="0.25">
      <x:c r="F10476" s="11"/>
    </x:row>
    <x:row r="10477" spans="6:6" x14ac:dyDescent="0.25">
      <x:c r="F10477" s="11"/>
    </x:row>
    <x:row r="10478" spans="6:6" x14ac:dyDescent="0.25">
      <x:c r="F10478" s="11"/>
    </x:row>
    <x:row r="10479" spans="6:6" x14ac:dyDescent="0.25">
      <x:c r="F10479" s="11"/>
    </x:row>
    <x:row r="10480" spans="6:6" x14ac:dyDescent="0.25">
      <x:c r="F10480" s="11"/>
    </x:row>
    <x:row r="10481" spans="6:6" x14ac:dyDescent="0.25">
      <x:c r="F10481" s="11"/>
    </x:row>
    <x:row r="10482" spans="6:6" x14ac:dyDescent="0.25">
      <x:c r="F10482" s="11"/>
    </x:row>
    <x:row r="10483" spans="6:6" x14ac:dyDescent="0.25">
      <x:c r="F10483" s="11"/>
    </x:row>
    <x:row r="10484" spans="6:6" x14ac:dyDescent="0.25">
      <x:c r="F10484" s="11"/>
    </x:row>
    <x:row r="10485" spans="6:6" x14ac:dyDescent="0.25">
      <x:c r="F10485" s="11"/>
    </x:row>
    <x:row r="10486" spans="6:6" x14ac:dyDescent="0.25">
      <x:c r="F10486" s="11"/>
    </x:row>
    <x:row r="10487" spans="6:6" x14ac:dyDescent="0.25">
      <x:c r="F10487" s="11"/>
    </x:row>
    <x:row r="10488" spans="6:6" x14ac:dyDescent="0.25">
      <x:c r="F10488" s="11"/>
    </x:row>
    <x:row r="10489" spans="6:6" x14ac:dyDescent="0.25">
      <x:c r="F10489" s="11"/>
    </x:row>
    <x:row r="10490" spans="6:6" x14ac:dyDescent="0.25">
      <x:c r="F10490" s="11"/>
    </x:row>
    <x:row r="10491" spans="6:6" x14ac:dyDescent="0.25">
      <x:c r="F10491" s="11"/>
    </x:row>
    <x:row r="10492" spans="6:6" x14ac:dyDescent="0.25">
      <x:c r="F10492" s="11"/>
    </x:row>
    <x:row r="10493" spans="6:6" x14ac:dyDescent="0.25">
      <x:c r="F10493" s="11"/>
    </x:row>
    <x:row r="10494" spans="6:6" x14ac:dyDescent="0.25">
      <x:c r="F10494" s="11"/>
    </x:row>
    <x:row r="10495" spans="6:6" x14ac:dyDescent="0.25">
      <x:c r="F10495" s="11"/>
    </x:row>
    <x:row r="10496" spans="6:6" x14ac:dyDescent="0.25">
      <x:c r="F10496" s="11"/>
    </x:row>
    <x:row r="10497" spans="6:6" x14ac:dyDescent="0.25">
      <x:c r="F10497" s="11"/>
    </x:row>
    <x:row r="10498" spans="6:6" x14ac:dyDescent="0.25">
      <x:c r="F10498" s="11"/>
    </x:row>
    <x:row r="10499" spans="6:6" x14ac:dyDescent="0.25">
      <x:c r="F10499" s="11"/>
    </x:row>
    <x:row r="10500" spans="6:6" x14ac:dyDescent="0.25">
      <x:c r="F10500" s="11"/>
    </x:row>
    <x:row r="10501" spans="6:6" x14ac:dyDescent="0.25">
      <x:c r="F10501" s="11"/>
    </x:row>
    <x:row r="10502" spans="6:6" x14ac:dyDescent="0.25">
      <x:c r="F10502" s="11"/>
    </x:row>
    <x:row r="10503" spans="6:6" x14ac:dyDescent="0.25">
      <x:c r="F10503" s="11"/>
    </x:row>
    <x:row r="10504" spans="6:6" x14ac:dyDescent="0.25">
      <x:c r="F10504" s="11"/>
    </x:row>
    <x:row r="10505" spans="6:6" x14ac:dyDescent="0.25">
      <x:c r="F10505" s="11"/>
    </x:row>
    <x:row r="10506" spans="6:6" x14ac:dyDescent="0.25">
      <x:c r="F10506" s="11"/>
    </x:row>
    <x:row r="10507" spans="6:6" x14ac:dyDescent="0.25">
      <x:c r="F10507" s="11"/>
    </x:row>
    <x:row r="10508" spans="6:6" x14ac:dyDescent="0.25">
      <x:c r="F10508" s="11"/>
    </x:row>
    <x:row r="10509" spans="6:6" x14ac:dyDescent="0.25">
      <x:c r="F10509" s="11"/>
    </x:row>
    <x:row r="10510" spans="6:6" x14ac:dyDescent="0.25">
      <x:c r="F10510" s="11"/>
    </x:row>
    <x:row r="10511" spans="6:6" x14ac:dyDescent="0.25">
      <x:c r="F10511" s="11"/>
    </x:row>
    <x:row r="10512" spans="6:6" x14ac:dyDescent="0.25">
      <x:c r="F10512" s="11"/>
    </x:row>
    <x:row r="10513" spans="6:6" x14ac:dyDescent="0.25">
      <x:c r="F10513" s="11"/>
    </x:row>
    <x:row r="10514" spans="6:6" x14ac:dyDescent="0.25">
      <x:c r="F10514" s="11"/>
    </x:row>
    <x:row r="10515" spans="6:6" x14ac:dyDescent="0.25">
      <x:c r="F10515" s="11"/>
    </x:row>
    <x:row r="10516" spans="6:6" x14ac:dyDescent="0.25">
      <x:c r="F10516" s="11"/>
    </x:row>
    <x:row r="10517" spans="6:6" x14ac:dyDescent="0.25">
      <x:c r="F10517" s="11"/>
    </x:row>
    <x:row r="10518" spans="6:6" x14ac:dyDescent="0.25">
      <x:c r="F10518" s="11"/>
    </x:row>
    <x:row r="10519" spans="6:6" x14ac:dyDescent="0.25">
      <x:c r="F10519" s="11"/>
    </x:row>
    <x:row r="10520" spans="6:6" x14ac:dyDescent="0.25">
      <x:c r="F10520" s="11"/>
    </x:row>
    <x:row r="10521" spans="6:6" x14ac:dyDescent="0.25">
      <x:c r="F10521" s="11"/>
    </x:row>
    <x:row r="10522" spans="6:6" x14ac:dyDescent="0.25">
      <x:c r="F10522" s="11"/>
    </x:row>
    <x:row r="10523" spans="6:6" x14ac:dyDescent="0.25">
      <x:c r="F10523" s="11"/>
    </x:row>
    <x:row r="10524" spans="6:6" x14ac:dyDescent="0.25">
      <x:c r="F10524" s="11"/>
    </x:row>
    <x:row r="10525" spans="6:6" x14ac:dyDescent="0.25">
      <x:c r="F10525" s="11"/>
    </x:row>
    <x:row r="10526" spans="6:6" x14ac:dyDescent="0.25">
      <x:c r="F10526" s="11"/>
    </x:row>
    <x:row r="10527" spans="6:6" x14ac:dyDescent="0.25">
      <x:c r="F10527" s="11"/>
    </x:row>
    <x:row r="10528" spans="6:6" x14ac:dyDescent="0.25">
      <x:c r="F10528" s="11"/>
    </x:row>
    <x:row r="10529" spans="6:6" x14ac:dyDescent="0.25">
      <x:c r="F10529" s="11"/>
    </x:row>
    <x:row r="10530" spans="6:6" x14ac:dyDescent="0.25">
      <x:c r="F10530" s="11"/>
    </x:row>
    <x:row r="10531" spans="6:6" x14ac:dyDescent="0.25">
      <x:c r="F10531" s="11"/>
    </x:row>
    <x:row r="10532" spans="6:6" x14ac:dyDescent="0.25">
      <x:c r="F10532" s="11"/>
    </x:row>
    <x:row r="10533" spans="6:6" x14ac:dyDescent="0.25">
      <x:c r="F10533" s="11"/>
    </x:row>
    <x:row r="10534" spans="6:6" x14ac:dyDescent="0.25">
      <x:c r="F10534" s="11"/>
    </x:row>
    <x:row r="10535" spans="6:6" x14ac:dyDescent="0.25">
      <x:c r="F10535" s="11"/>
    </x:row>
    <x:row r="10536" spans="6:6" x14ac:dyDescent="0.25">
      <x:c r="F10536" s="11"/>
    </x:row>
    <x:row r="10537" spans="6:6" x14ac:dyDescent="0.25">
      <x:c r="F10537" s="11"/>
    </x:row>
    <x:row r="10538" spans="6:6" x14ac:dyDescent="0.25">
      <x:c r="F10538" s="11"/>
    </x:row>
    <x:row r="10539" spans="6:6" x14ac:dyDescent="0.25">
      <x:c r="F10539" s="11"/>
    </x:row>
    <x:row r="10540" spans="6:6" x14ac:dyDescent="0.25">
      <x:c r="F10540" s="11"/>
    </x:row>
    <x:row r="10541" spans="6:6" x14ac:dyDescent="0.25">
      <x:c r="F10541" s="11"/>
    </x:row>
    <x:row r="10542" spans="6:6" x14ac:dyDescent="0.25">
      <x:c r="F10542" s="11"/>
    </x:row>
    <x:row r="10543" spans="6:6" x14ac:dyDescent="0.25">
      <x:c r="F10543" s="11"/>
    </x:row>
    <x:row r="10544" spans="6:6" x14ac:dyDescent="0.25">
      <x:c r="F10544" s="11"/>
    </x:row>
    <x:row r="10545" spans="6:6" x14ac:dyDescent="0.25">
      <x:c r="F10545" s="11"/>
    </x:row>
    <x:row r="10546" spans="6:6" x14ac:dyDescent="0.25">
      <x:c r="F10546" s="11"/>
    </x:row>
    <x:row r="10547" spans="6:6" x14ac:dyDescent="0.25">
      <x:c r="F10547" s="11"/>
    </x:row>
    <x:row r="10548" spans="6:6" x14ac:dyDescent="0.25">
      <x:c r="F10548" s="11"/>
    </x:row>
    <x:row r="10549" spans="6:6" x14ac:dyDescent="0.25">
      <x:c r="F10549" s="11"/>
    </x:row>
    <x:row r="10550" spans="6:6" x14ac:dyDescent="0.25">
      <x:c r="F10550" s="11"/>
    </x:row>
    <x:row r="10551" spans="6:6" x14ac:dyDescent="0.25">
      <x:c r="F10551" s="11"/>
    </x:row>
    <x:row r="10552" spans="6:6" x14ac:dyDescent="0.25">
      <x:c r="F10552" s="11"/>
    </x:row>
    <x:row r="10553" spans="6:6" x14ac:dyDescent="0.25">
      <x:c r="F10553" s="11"/>
    </x:row>
    <x:row r="10554" spans="6:6" x14ac:dyDescent="0.25">
      <x:c r="F10554" s="11"/>
    </x:row>
    <x:row r="10555" spans="6:6" x14ac:dyDescent="0.25">
      <x:c r="F10555" s="11"/>
    </x:row>
    <x:row r="10556" spans="6:6" x14ac:dyDescent="0.25">
      <x:c r="F10556" s="11"/>
    </x:row>
    <x:row r="10557" spans="6:6" x14ac:dyDescent="0.25">
      <x:c r="F10557" s="11"/>
    </x:row>
    <x:row r="10558" spans="6:6" x14ac:dyDescent="0.25">
      <x:c r="F10558" s="11"/>
    </x:row>
    <x:row r="10559" spans="6:6" x14ac:dyDescent="0.25">
      <x:c r="F10559" s="11"/>
    </x:row>
    <x:row r="10560" spans="6:6" x14ac:dyDescent="0.25">
      <x:c r="F10560" s="11"/>
    </x:row>
    <x:row r="10561" spans="6:6" x14ac:dyDescent="0.25">
      <x:c r="F10561" s="11"/>
    </x:row>
    <x:row r="10562" spans="6:6" x14ac:dyDescent="0.25">
      <x:c r="F10562" s="11"/>
    </x:row>
    <x:row r="10563" spans="6:6" x14ac:dyDescent="0.25">
      <x:c r="F10563" s="11"/>
    </x:row>
    <x:row r="10564" spans="6:6" x14ac:dyDescent="0.25">
      <x:c r="F10564" s="11"/>
    </x:row>
    <x:row r="10565" spans="6:6" x14ac:dyDescent="0.25">
      <x:c r="F10565" s="11"/>
    </x:row>
    <x:row r="10566" spans="6:6" x14ac:dyDescent="0.25">
      <x:c r="F10566" s="11"/>
    </x:row>
    <x:row r="10567" spans="6:6" x14ac:dyDescent="0.25">
      <x:c r="F10567" s="11"/>
    </x:row>
    <x:row r="10568" spans="6:6" x14ac:dyDescent="0.25">
      <x:c r="F10568" s="11"/>
    </x:row>
    <x:row r="10569" spans="6:6" x14ac:dyDescent="0.25">
      <x:c r="F10569" s="11"/>
    </x:row>
    <x:row r="10570" spans="6:6" x14ac:dyDescent="0.25">
      <x:c r="F10570" s="11"/>
    </x:row>
    <x:row r="10571" spans="6:6" x14ac:dyDescent="0.25">
      <x:c r="F10571" s="11"/>
    </x:row>
    <x:row r="10572" spans="6:6" x14ac:dyDescent="0.25">
      <x:c r="F10572" s="11"/>
    </x:row>
    <x:row r="10573" spans="6:6" x14ac:dyDescent="0.25">
      <x:c r="F10573" s="11"/>
    </x:row>
    <x:row r="10574" spans="6:6" x14ac:dyDescent="0.25">
      <x:c r="F10574" s="11"/>
    </x:row>
    <x:row r="10575" spans="6:6" x14ac:dyDescent="0.25">
      <x:c r="F10575" s="11"/>
    </x:row>
    <x:row r="10576" spans="6:6" x14ac:dyDescent="0.25">
      <x:c r="F10576" s="11"/>
    </x:row>
    <x:row r="10577" spans="6:6" x14ac:dyDescent="0.25">
      <x:c r="F10577" s="11"/>
    </x:row>
    <x:row r="10578" spans="6:6" x14ac:dyDescent="0.25">
      <x:c r="F10578" s="11"/>
    </x:row>
    <x:row r="10579" spans="6:6" x14ac:dyDescent="0.25">
      <x:c r="F10579" s="11"/>
    </x:row>
    <x:row r="10580" spans="6:6" x14ac:dyDescent="0.25">
      <x:c r="F10580" s="11"/>
    </x:row>
    <x:row r="10581" spans="6:6" x14ac:dyDescent="0.25">
      <x:c r="F10581" s="11"/>
    </x:row>
    <x:row r="10582" spans="6:6" x14ac:dyDescent="0.25">
      <x:c r="F10582" s="11"/>
    </x:row>
    <x:row r="10583" spans="6:6" x14ac:dyDescent="0.25">
      <x:c r="F10583" s="11"/>
    </x:row>
    <x:row r="10584" spans="6:6" x14ac:dyDescent="0.25">
      <x:c r="F10584" s="11"/>
    </x:row>
    <x:row r="10585" spans="6:6" x14ac:dyDescent="0.25">
      <x:c r="F10585" s="11"/>
    </x:row>
    <x:row r="10586" spans="6:6" x14ac:dyDescent="0.25">
      <x:c r="F10586" s="11"/>
    </x:row>
    <x:row r="10587" spans="6:6" x14ac:dyDescent="0.25">
      <x:c r="F10587" s="11"/>
    </x:row>
    <x:row r="10588" spans="6:6" x14ac:dyDescent="0.25">
      <x:c r="F10588" s="11"/>
    </x:row>
    <x:row r="10589" spans="6:6" x14ac:dyDescent="0.25">
      <x:c r="F10589" s="11"/>
    </x:row>
    <x:row r="10590" spans="6:6" x14ac:dyDescent="0.25">
      <x:c r="F10590" s="11"/>
    </x:row>
    <x:row r="10591" spans="6:6" x14ac:dyDescent="0.25">
      <x:c r="F10591" s="11"/>
    </x:row>
    <x:row r="10592" spans="6:6" x14ac:dyDescent="0.25">
      <x:c r="F10592" s="11"/>
    </x:row>
    <x:row r="10593" spans="6:6" x14ac:dyDescent="0.25">
      <x:c r="F10593" s="11"/>
    </x:row>
    <x:row r="10594" spans="6:6" x14ac:dyDescent="0.25">
      <x:c r="F10594" s="11"/>
    </x:row>
    <x:row r="10595" spans="6:6" x14ac:dyDescent="0.25">
      <x:c r="F10595" s="11"/>
    </x:row>
    <x:row r="10596" spans="6:6" x14ac:dyDescent="0.25">
      <x:c r="F10596" s="11"/>
    </x:row>
    <x:row r="10597" spans="6:6" x14ac:dyDescent="0.25">
      <x:c r="F10597" s="11"/>
    </x:row>
    <x:row r="10598" spans="6:6" x14ac:dyDescent="0.25">
      <x:c r="F10598" s="11"/>
    </x:row>
    <x:row r="10599" spans="6:6" x14ac:dyDescent="0.25">
      <x:c r="F10599" s="11"/>
    </x:row>
    <x:row r="10600" spans="6:6" x14ac:dyDescent="0.25">
      <x:c r="F10600" s="11"/>
    </x:row>
    <x:row r="10601" spans="6:6" x14ac:dyDescent="0.25">
      <x:c r="F10601" s="11"/>
    </x:row>
    <x:row r="10602" spans="6:6" x14ac:dyDescent="0.25">
      <x:c r="F10602" s="11"/>
    </x:row>
    <x:row r="10603" spans="6:6" x14ac:dyDescent="0.25">
      <x:c r="F10603" s="11"/>
    </x:row>
    <x:row r="10604" spans="6:6" x14ac:dyDescent="0.25">
      <x:c r="F10604" s="11"/>
    </x:row>
    <x:row r="10605" spans="6:6" x14ac:dyDescent="0.25">
      <x:c r="F10605" s="11"/>
    </x:row>
    <x:row r="10606" spans="6:6" x14ac:dyDescent="0.25">
      <x:c r="F10606" s="11"/>
    </x:row>
    <x:row r="10607" spans="6:6" x14ac:dyDescent="0.25">
      <x:c r="F10607" s="11"/>
    </x:row>
    <x:row r="10608" spans="6:6" x14ac:dyDescent="0.25">
      <x:c r="F10608" s="11"/>
    </x:row>
    <x:row r="10609" spans="6:6" x14ac:dyDescent="0.25">
      <x:c r="F10609" s="11"/>
    </x:row>
    <x:row r="10610" spans="6:6" x14ac:dyDescent="0.25">
      <x:c r="F10610" s="11"/>
    </x:row>
    <x:row r="10611" spans="6:6" x14ac:dyDescent="0.25">
      <x:c r="F10611" s="11"/>
    </x:row>
    <x:row r="10612" spans="6:6" x14ac:dyDescent="0.25">
      <x:c r="F10612" s="11"/>
    </x:row>
    <x:row r="10613" spans="6:6" x14ac:dyDescent="0.25">
      <x:c r="F10613" s="11"/>
    </x:row>
    <x:row r="10614" spans="6:6" x14ac:dyDescent="0.25">
      <x:c r="F10614" s="11"/>
    </x:row>
    <x:row r="10615" spans="6:6" x14ac:dyDescent="0.25">
      <x:c r="F10615" s="11"/>
    </x:row>
    <x:row r="10616" spans="6:6" x14ac:dyDescent="0.25">
      <x:c r="F10616" s="11"/>
    </x:row>
    <x:row r="10617" spans="6:6" x14ac:dyDescent="0.25">
      <x:c r="F10617" s="11"/>
    </x:row>
    <x:row r="10618" spans="6:6" x14ac:dyDescent="0.25">
      <x:c r="F10618" s="11"/>
    </x:row>
    <x:row r="10619" spans="6:6" x14ac:dyDescent="0.25">
      <x:c r="F10619" s="11"/>
    </x:row>
    <x:row r="10620" spans="6:6" x14ac:dyDescent="0.25">
      <x:c r="F10620" s="11"/>
    </x:row>
    <x:row r="10621" spans="6:6" x14ac:dyDescent="0.25">
      <x:c r="F10621" s="11"/>
    </x:row>
    <x:row r="10622" spans="6:6" x14ac:dyDescent="0.25">
      <x:c r="F10622" s="11"/>
    </x:row>
    <x:row r="10623" spans="6:6" x14ac:dyDescent="0.25">
      <x:c r="F10623" s="11"/>
    </x:row>
    <x:row r="10624" spans="6:6" x14ac:dyDescent="0.25">
      <x:c r="F10624" s="11"/>
    </x:row>
    <x:row r="10625" spans="6:6" x14ac:dyDescent="0.25">
      <x:c r="F10625" s="11"/>
    </x:row>
    <x:row r="10626" spans="6:6" x14ac:dyDescent="0.25">
      <x:c r="F10626" s="11"/>
    </x:row>
    <x:row r="10627" spans="6:6" x14ac:dyDescent="0.25">
      <x:c r="F10627" s="11"/>
    </x:row>
    <x:row r="10628" spans="6:6" x14ac:dyDescent="0.25">
      <x:c r="F10628" s="11"/>
    </x:row>
    <x:row r="10629" spans="6:6" x14ac:dyDescent="0.25">
      <x:c r="F10629" s="11"/>
    </x:row>
    <x:row r="10630" spans="6:6" x14ac:dyDescent="0.25">
      <x:c r="F10630" s="11"/>
    </x:row>
    <x:row r="10631" spans="6:6" x14ac:dyDescent="0.25">
      <x:c r="F10631" s="11"/>
    </x:row>
    <x:row r="10632" spans="6:6" x14ac:dyDescent="0.25">
      <x:c r="F10632" s="11"/>
    </x:row>
    <x:row r="10633" spans="6:6" x14ac:dyDescent="0.25">
      <x:c r="F10633" s="11"/>
    </x:row>
    <x:row r="10634" spans="6:6" x14ac:dyDescent="0.25">
      <x:c r="F10634" s="11"/>
    </x:row>
    <x:row r="10635" spans="6:6" x14ac:dyDescent="0.25">
      <x:c r="F10635" s="11"/>
    </x:row>
    <x:row r="10636" spans="6:6" x14ac:dyDescent="0.25">
      <x:c r="F10636" s="11"/>
    </x:row>
    <x:row r="10637" spans="6:6" x14ac:dyDescent="0.25">
      <x:c r="F10637" s="11"/>
    </x:row>
    <x:row r="10638" spans="6:6" x14ac:dyDescent="0.25">
      <x:c r="F10638" s="11"/>
    </x:row>
    <x:row r="10639" spans="6:6" x14ac:dyDescent="0.25">
      <x:c r="F10639" s="11"/>
    </x:row>
    <x:row r="10640" spans="6:6" x14ac:dyDescent="0.25">
      <x:c r="F10640" s="11"/>
    </x:row>
    <x:row r="10641" spans="6:6" x14ac:dyDescent="0.25">
      <x:c r="F10641" s="11"/>
    </x:row>
    <x:row r="10642" spans="6:6" x14ac:dyDescent="0.25">
      <x:c r="F10642" s="11"/>
    </x:row>
    <x:row r="10643" spans="6:6" x14ac:dyDescent="0.25">
      <x:c r="F10643" s="11"/>
    </x:row>
    <x:row r="10644" spans="6:6" x14ac:dyDescent="0.25">
      <x:c r="F10644" s="11"/>
    </x:row>
    <x:row r="10645" spans="6:6" x14ac:dyDescent="0.25">
      <x:c r="F10645" s="11"/>
    </x:row>
    <x:row r="10646" spans="6:6" x14ac:dyDescent="0.25">
      <x:c r="F10646" s="11"/>
    </x:row>
    <x:row r="10647" spans="6:6" x14ac:dyDescent="0.25">
      <x:c r="F10647" s="11"/>
    </x:row>
    <x:row r="10648" spans="6:6" x14ac:dyDescent="0.25">
      <x:c r="F10648" s="11"/>
    </x:row>
    <x:row r="10649" spans="6:6" x14ac:dyDescent="0.25">
      <x:c r="F10649" s="11"/>
    </x:row>
    <x:row r="10650" spans="6:6" x14ac:dyDescent="0.25">
      <x:c r="F10650" s="11"/>
    </x:row>
    <x:row r="10651" spans="6:6" x14ac:dyDescent="0.25">
      <x:c r="F10651" s="11"/>
    </x:row>
    <x:row r="10652" spans="6:6" x14ac:dyDescent="0.25">
      <x:c r="F10652" s="11"/>
    </x:row>
    <x:row r="10653" spans="6:6" x14ac:dyDescent="0.25">
      <x:c r="F10653" s="11"/>
    </x:row>
    <x:row r="10654" spans="6:6" x14ac:dyDescent="0.25">
      <x:c r="F10654" s="11"/>
    </x:row>
    <x:row r="10655" spans="6:6" x14ac:dyDescent="0.25">
      <x:c r="F10655" s="11"/>
    </x:row>
    <x:row r="10656" spans="6:6" x14ac:dyDescent="0.25">
      <x:c r="F10656" s="11"/>
    </x:row>
    <x:row r="10657" spans="6:6" x14ac:dyDescent="0.25">
      <x:c r="F10657" s="11"/>
    </x:row>
    <x:row r="10658" spans="6:6" x14ac:dyDescent="0.25">
      <x:c r="F10658" s="11"/>
    </x:row>
    <x:row r="10659" spans="6:6" x14ac:dyDescent="0.25">
      <x:c r="F10659" s="11"/>
    </x:row>
    <x:row r="10660" spans="6:6" x14ac:dyDescent="0.25">
      <x:c r="F10660" s="11"/>
    </x:row>
    <x:row r="10661" spans="6:6" x14ac:dyDescent="0.25">
      <x:c r="F10661" s="11"/>
    </x:row>
    <x:row r="10662" spans="6:6" x14ac:dyDescent="0.25">
      <x:c r="F10662" s="11"/>
    </x:row>
    <x:row r="10663" spans="6:6" x14ac:dyDescent="0.25">
      <x:c r="F10663" s="11"/>
    </x:row>
    <x:row r="10664" spans="6:6" x14ac:dyDescent="0.25">
      <x:c r="F10664" s="11"/>
    </x:row>
    <x:row r="10665" spans="6:6" x14ac:dyDescent="0.25">
      <x:c r="F10665" s="11"/>
    </x:row>
    <x:row r="10666" spans="6:6" x14ac:dyDescent="0.25">
      <x:c r="F10666" s="11"/>
    </x:row>
    <x:row r="10667" spans="6:6" x14ac:dyDescent="0.25">
      <x:c r="F10667" s="11"/>
    </x:row>
    <x:row r="10668" spans="6:6" x14ac:dyDescent="0.25">
      <x:c r="F10668" s="11"/>
    </x:row>
    <x:row r="10669" spans="6:6" x14ac:dyDescent="0.25">
      <x:c r="F10669" s="11"/>
    </x:row>
    <x:row r="10670" spans="6:6" x14ac:dyDescent="0.25">
      <x:c r="F10670" s="11"/>
    </x:row>
    <x:row r="10671" spans="6:6" x14ac:dyDescent="0.25">
      <x:c r="F10671" s="11"/>
    </x:row>
    <x:row r="10672" spans="6:6" x14ac:dyDescent="0.25">
      <x:c r="F10672" s="11"/>
    </x:row>
    <x:row r="10673" spans="6:6" x14ac:dyDescent="0.25">
      <x:c r="F10673" s="11"/>
    </x:row>
    <x:row r="10674" spans="6:6" x14ac:dyDescent="0.25">
      <x:c r="F10674" s="11"/>
    </x:row>
    <x:row r="10675" spans="6:6" x14ac:dyDescent="0.25">
      <x:c r="F10675" s="11"/>
    </x:row>
    <x:row r="10676" spans="6:6" x14ac:dyDescent="0.25">
      <x:c r="F10676" s="11"/>
    </x:row>
    <x:row r="10677" spans="6:6" x14ac:dyDescent="0.25">
      <x:c r="F10677" s="11"/>
    </x:row>
    <x:row r="10678" spans="6:6" x14ac:dyDescent="0.25">
      <x:c r="F10678" s="11"/>
    </x:row>
    <x:row r="10679" spans="6:6" x14ac:dyDescent="0.25">
      <x:c r="F10679" s="11"/>
    </x:row>
    <x:row r="10680" spans="6:6" x14ac:dyDescent="0.25">
      <x:c r="F10680" s="11"/>
    </x:row>
    <x:row r="10681" spans="6:6" x14ac:dyDescent="0.25">
      <x:c r="F10681" s="11"/>
    </x:row>
    <x:row r="10682" spans="6:6" x14ac:dyDescent="0.25">
      <x:c r="F10682" s="11"/>
    </x:row>
    <x:row r="10683" spans="6:6" x14ac:dyDescent="0.25">
      <x:c r="F10683" s="11"/>
    </x:row>
    <x:row r="10684" spans="6:6" x14ac:dyDescent="0.25">
      <x:c r="F10684" s="11"/>
    </x:row>
    <x:row r="10685" spans="6:6" x14ac:dyDescent="0.25">
      <x:c r="F10685" s="11"/>
    </x:row>
    <x:row r="10686" spans="6:6" x14ac:dyDescent="0.25">
      <x:c r="F10686" s="11"/>
    </x:row>
    <x:row r="10687" spans="6:6" x14ac:dyDescent="0.25">
      <x:c r="F10687" s="11"/>
    </x:row>
    <x:row r="10688" spans="6:6" x14ac:dyDescent="0.25">
      <x:c r="F10688" s="11"/>
    </x:row>
    <x:row r="10689" spans="6:6" x14ac:dyDescent="0.25">
      <x:c r="F10689" s="11"/>
    </x:row>
    <x:row r="10690" spans="6:6" x14ac:dyDescent="0.25">
      <x:c r="F10690" s="11"/>
    </x:row>
    <x:row r="10691" spans="6:6" x14ac:dyDescent="0.25">
      <x:c r="F10691" s="11"/>
    </x:row>
    <x:row r="10692" spans="6:6" x14ac:dyDescent="0.25">
      <x:c r="F10692" s="11"/>
    </x:row>
    <x:row r="10693" spans="6:6" x14ac:dyDescent="0.25">
      <x:c r="F10693" s="11"/>
    </x:row>
    <x:row r="10694" spans="6:6" x14ac:dyDescent="0.25">
      <x:c r="F10694" s="11"/>
    </x:row>
    <x:row r="10695" spans="6:6" x14ac:dyDescent="0.25">
      <x:c r="F10695" s="11"/>
    </x:row>
    <x:row r="10696" spans="6:6" x14ac:dyDescent="0.25">
      <x:c r="F10696" s="11"/>
    </x:row>
    <x:row r="10697" spans="6:6" x14ac:dyDescent="0.25">
      <x:c r="F10697" s="11"/>
    </x:row>
    <x:row r="10698" spans="6:6" x14ac:dyDescent="0.25">
      <x:c r="F10698" s="11"/>
    </x:row>
    <x:row r="10699" spans="6:6" x14ac:dyDescent="0.25">
      <x:c r="F10699" s="11"/>
    </x:row>
    <x:row r="10700" spans="6:6" x14ac:dyDescent="0.25">
      <x:c r="F10700" s="11"/>
    </x:row>
    <x:row r="10701" spans="6:6" x14ac:dyDescent="0.25">
      <x:c r="F10701" s="11"/>
    </x:row>
    <x:row r="10702" spans="6:6" x14ac:dyDescent="0.25">
      <x:c r="F10702" s="11"/>
    </x:row>
    <x:row r="10703" spans="6:6" x14ac:dyDescent="0.25">
      <x:c r="F10703" s="11"/>
    </x:row>
    <x:row r="10704" spans="6:6" x14ac:dyDescent="0.25">
      <x:c r="F10704" s="11"/>
    </x:row>
    <x:row r="10705" spans="6:6" x14ac:dyDescent="0.25">
      <x:c r="F10705" s="11"/>
    </x:row>
    <x:row r="10706" spans="6:6" x14ac:dyDescent="0.25">
      <x:c r="F10706" s="11"/>
    </x:row>
    <x:row r="10707" spans="6:6" x14ac:dyDescent="0.25">
      <x:c r="F10707" s="11"/>
    </x:row>
    <x:row r="10708" spans="6:6" x14ac:dyDescent="0.25">
      <x:c r="F10708" s="11"/>
    </x:row>
    <x:row r="10709" spans="6:6" x14ac:dyDescent="0.25">
      <x:c r="F10709" s="11"/>
    </x:row>
    <x:row r="10710" spans="6:6" x14ac:dyDescent="0.25">
      <x:c r="F10710" s="11"/>
    </x:row>
    <x:row r="10711" spans="6:6" x14ac:dyDescent="0.25">
      <x:c r="F10711" s="11"/>
    </x:row>
    <x:row r="10712" spans="6:6" x14ac:dyDescent="0.25">
      <x:c r="F10712" s="11"/>
    </x:row>
    <x:row r="10713" spans="6:6" x14ac:dyDescent="0.25">
      <x:c r="F10713" s="11"/>
    </x:row>
    <x:row r="10714" spans="6:6" x14ac:dyDescent="0.25">
      <x:c r="F10714" s="11"/>
    </x:row>
    <x:row r="10715" spans="6:6" x14ac:dyDescent="0.25">
      <x:c r="F10715" s="11"/>
    </x:row>
    <x:row r="10716" spans="6:6" x14ac:dyDescent="0.25">
      <x:c r="F10716" s="11"/>
    </x:row>
    <x:row r="10717" spans="6:6" x14ac:dyDescent="0.25">
      <x:c r="F10717" s="11"/>
    </x:row>
    <x:row r="10718" spans="6:6" x14ac:dyDescent="0.25">
      <x:c r="F10718" s="11"/>
    </x:row>
    <x:row r="10719" spans="6:6" x14ac:dyDescent="0.25">
      <x:c r="F10719" s="11"/>
    </x:row>
    <x:row r="10720" spans="6:6" x14ac:dyDescent="0.25">
      <x:c r="F10720" s="11"/>
    </x:row>
    <x:row r="10721" spans="6:6" x14ac:dyDescent="0.25">
      <x:c r="F10721" s="11"/>
    </x:row>
    <x:row r="10722" spans="6:6" x14ac:dyDescent="0.25">
      <x:c r="F10722" s="11"/>
    </x:row>
    <x:row r="10723" spans="6:6" x14ac:dyDescent="0.25">
      <x:c r="F10723" s="11"/>
    </x:row>
    <x:row r="10724" spans="6:6" x14ac:dyDescent="0.25">
      <x:c r="F10724" s="11"/>
    </x:row>
    <x:row r="10725" spans="6:6" x14ac:dyDescent="0.25">
      <x:c r="F10725" s="11"/>
    </x:row>
    <x:row r="10726" spans="6:6" x14ac:dyDescent="0.25">
      <x:c r="F10726" s="11"/>
    </x:row>
    <x:row r="10727" spans="6:6" x14ac:dyDescent="0.25">
      <x:c r="F10727" s="11"/>
    </x:row>
    <x:row r="10728" spans="6:6" x14ac:dyDescent="0.25">
      <x:c r="F10728" s="11"/>
    </x:row>
    <x:row r="10729" spans="6:6" x14ac:dyDescent="0.25">
      <x:c r="F10729" s="11"/>
    </x:row>
    <x:row r="10730" spans="6:6" x14ac:dyDescent="0.25">
      <x:c r="F10730" s="11"/>
    </x:row>
    <x:row r="10731" spans="6:6" x14ac:dyDescent="0.25">
      <x:c r="F10731" s="11"/>
    </x:row>
    <x:row r="10732" spans="6:6" x14ac:dyDescent="0.25">
      <x:c r="F10732" s="11"/>
    </x:row>
    <x:row r="10733" spans="6:6" x14ac:dyDescent="0.25">
      <x:c r="F10733" s="11"/>
    </x:row>
    <x:row r="10734" spans="6:6" x14ac:dyDescent="0.25">
      <x:c r="F10734" s="11"/>
    </x:row>
    <x:row r="10735" spans="6:6" x14ac:dyDescent="0.25">
      <x:c r="F10735" s="11"/>
    </x:row>
    <x:row r="10736" spans="6:6" x14ac:dyDescent="0.25">
      <x:c r="F10736" s="11"/>
    </x:row>
    <x:row r="10737" spans="6:6" x14ac:dyDescent="0.25">
      <x:c r="F10737" s="11"/>
    </x:row>
    <x:row r="10738" spans="6:6" x14ac:dyDescent="0.25">
      <x:c r="F10738" s="11"/>
    </x:row>
    <x:row r="10739" spans="6:6" x14ac:dyDescent="0.25">
      <x:c r="F10739" s="11"/>
    </x:row>
    <x:row r="10740" spans="6:6" x14ac:dyDescent="0.25">
      <x:c r="F10740" s="11"/>
    </x:row>
    <x:row r="10741" spans="6:6" x14ac:dyDescent="0.25">
      <x:c r="F10741" s="11"/>
    </x:row>
    <x:row r="10742" spans="6:6" x14ac:dyDescent="0.25">
      <x:c r="F10742" s="11"/>
    </x:row>
    <x:row r="10743" spans="6:6" x14ac:dyDescent="0.25">
      <x:c r="F10743" s="11"/>
    </x:row>
    <x:row r="10744" spans="6:6" x14ac:dyDescent="0.25">
      <x:c r="F10744" s="11"/>
    </x:row>
    <x:row r="10745" spans="6:6" x14ac:dyDescent="0.25">
      <x:c r="F10745" s="11"/>
    </x:row>
    <x:row r="10746" spans="6:6" x14ac:dyDescent="0.25">
      <x:c r="F10746" s="11"/>
    </x:row>
    <x:row r="10747" spans="6:6" x14ac:dyDescent="0.25">
      <x:c r="F10747" s="11"/>
    </x:row>
    <x:row r="10748" spans="6:6" x14ac:dyDescent="0.25">
      <x:c r="F10748" s="11"/>
    </x:row>
    <x:row r="10749" spans="6:6" x14ac:dyDescent="0.25">
      <x:c r="F10749" s="11"/>
    </x:row>
    <x:row r="10750" spans="6:6" x14ac:dyDescent="0.25">
      <x:c r="F10750" s="11"/>
    </x:row>
    <x:row r="10751" spans="6:6" x14ac:dyDescent="0.25">
      <x:c r="F10751" s="11"/>
    </x:row>
    <x:row r="10752" spans="6:6" x14ac:dyDescent="0.25">
      <x:c r="F10752" s="11"/>
    </x:row>
    <x:row r="10753" spans="6:6" x14ac:dyDescent="0.25">
      <x:c r="F10753" s="11"/>
    </x:row>
    <x:row r="10754" spans="6:6" x14ac:dyDescent="0.25">
      <x:c r="F10754" s="11"/>
    </x:row>
    <x:row r="10755" spans="6:6" x14ac:dyDescent="0.25">
      <x:c r="F10755" s="11"/>
    </x:row>
    <x:row r="10756" spans="6:6" x14ac:dyDescent="0.25">
      <x:c r="F10756" s="11"/>
    </x:row>
    <x:row r="10757" spans="6:6" x14ac:dyDescent="0.25">
      <x:c r="F10757" s="11"/>
    </x:row>
    <x:row r="10758" spans="6:6" x14ac:dyDescent="0.25">
      <x:c r="F10758" s="11"/>
    </x:row>
    <x:row r="10759" spans="6:6" x14ac:dyDescent="0.25">
      <x:c r="F10759" s="11"/>
    </x:row>
    <x:row r="10760" spans="6:6" x14ac:dyDescent="0.25">
      <x:c r="F10760" s="11"/>
    </x:row>
    <x:row r="10761" spans="6:6" x14ac:dyDescent="0.25">
      <x:c r="F10761" s="11"/>
    </x:row>
    <x:row r="10762" spans="6:6" x14ac:dyDescent="0.25">
      <x:c r="F10762" s="11"/>
    </x:row>
    <x:row r="10763" spans="6:6" x14ac:dyDescent="0.25">
      <x:c r="F10763" s="11"/>
    </x:row>
    <x:row r="10764" spans="6:6" x14ac:dyDescent="0.25">
      <x:c r="F10764" s="11"/>
    </x:row>
    <x:row r="10765" spans="6:6" x14ac:dyDescent="0.25">
      <x:c r="F10765" s="11"/>
    </x:row>
    <x:row r="10766" spans="6:6" x14ac:dyDescent="0.25">
      <x:c r="F10766" s="11"/>
    </x:row>
    <x:row r="10767" spans="6:6" x14ac:dyDescent="0.25">
      <x:c r="F10767" s="11"/>
    </x:row>
    <x:row r="10768" spans="6:6" x14ac:dyDescent="0.25">
      <x:c r="F10768" s="11"/>
    </x:row>
    <x:row r="10769" spans="6:6" x14ac:dyDescent="0.25">
      <x:c r="F10769" s="11"/>
    </x:row>
    <x:row r="10770" spans="6:6" x14ac:dyDescent="0.25">
      <x:c r="F10770" s="11"/>
    </x:row>
    <x:row r="10771" spans="6:6" x14ac:dyDescent="0.25">
      <x:c r="F10771" s="11"/>
    </x:row>
    <x:row r="10772" spans="6:6" x14ac:dyDescent="0.25">
      <x:c r="F10772" s="11"/>
    </x:row>
    <x:row r="10773" spans="6:6" x14ac:dyDescent="0.25">
      <x:c r="F10773" s="11"/>
    </x:row>
    <x:row r="10774" spans="6:6" x14ac:dyDescent="0.25">
      <x:c r="F10774" s="11"/>
    </x:row>
    <x:row r="10775" spans="6:6" x14ac:dyDescent="0.25">
      <x:c r="F10775" s="11"/>
    </x:row>
    <x:row r="10776" spans="6:6" x14ac:dyDescent="0.25">
      <x:c r="F10776" s="11"/>
    </x:row>
    <x:row r="10777" spans="6:6" x14ac:dyDescent="0.25">
      <x:c r="F10777" s="11"/>
    </x:row>
    <x:row r="10778" spans="6:6" x14ac:dyDescent="0.25">
      <x:c r="F10778" s="11"/>
    </x:row>
    <x:row r="10779" spans="6:6" x14ac:dyDescent="0.25">
      <x:c r="F10779" s="11"/>
    </x:row>
    <x:row r="10780" spans="6:6" x14ac:dyDescent="0.25">
      <x:c r="F10780" s="11"/>
    </x:row>
    <x:row r="10781" spans="6:6" x14ac:dyDescent="0.25">
      <x:c r="F10781" s="11"/>
    </x:row>
    <x:row r="10782" spans="6:6" x14ac:dyDescent="0.25">
      <x:c r="F10782" s="11"/>
    </x:row>
    <x:row r="10783" spans="6:6" x14ac:dyDescent="0.25">
      <x:c r="F10783" s="11"/>
    </x:row>
    <x:row r="10784" spans="6:6" x14ac:dyDescent="0.25">
      <x:c r="F10784" s="11"/>
    </x:row>
    <x:row r="10785" spans="6:6" x14ac:dyDescent="0.25">
      <x:c r="F10785" s="11"/>
    </x:row>
    <x:row r="10786" spans="6:6" x14ac:dyDescent="0.25">
      <x:c r="F10786" s="11"/>
    </x:row>
    <x:row r="10787" spans="6:6" x14ac:dyDescent="0.25">
      <x:c r="F10787" s="11"/>
    </x:row>
    <x:row r="10788" spans="6:6" x14ac:dyDescent="0.25">
      <x:c r="F10788" s="11"/>
    </x:row>
    <x:row r="10789" spans="6:6" x14ac:dyDescent="0.25">
      <x:c r="F10789" s="11"/>
    </x:row>
    <x:row r="10790" spans="6:6" x14ac:dyDescent="0.25">
      <x:c r="F10790" s="11"/>
    </x:row>
    <x:row r="10791" spans="6:6" x14ac:dyDescent="0.25">
      <x:c r="F10791" s="11"/>
    </x:row>
    <x:row r="10792" spans="6:6" x14ac:dyDescent="0.25">
      <x:c r="F10792" s="11"/>
    </x:row>
    <x:row r="10793" spans="6:6" x14ac:dyDescent="0.25">
      <x:c r="F10793" s="11"/>
    </x:row>
    <x:row r="10794" spans="6:6" x14ac:dyDescent="0.25">
      <x:c r="F10794" s="11"/>
    </x:row>
    <x:row r="10795" spans="6:6" x14ac:dyDescent="0.25">
      <x:c r="F10795" s="11"/>
    </x:row>
    <x:row r="10796" spans="6:6" x14ac:dyDescent="0.25">
      <x:c r="F10796" s="11"/>
    </x:row>
    <x:row r="10797" spans="6:6" x14ac:dyDescent="0.25">
      <x:c r="F10797" s="11"/>
    </x:row>
    <x:row r="10798" spans="6:6" x14ac:dyDescent="0.25">
      <x:c r="F10798" s="11"/>
    </x:row>
    <x:row r="10799" spans="6:6" x14ac:dyDescent="0.25">
      <x:c r="F10799" s="11"/>
    </x:row>
    <x:row r="10800" spans="6:6" x14ac:dyDescent="0.25">
      <x:c r="F10800" s="11"/>
    </x:row>
    <x:row r="10801" spans="6:6" x14ac:dyDescent="0.25">
      <x:c r="F10801" s="11"/>
    </x:row>
    <x:row r="10802" spans="6:6" x14ac:dyDescent="0.25">
      <x:c r="F10802" s="11"/>
    </x:row>
    <x:row r="10803" spans="6:6" x14ac:dyDescent="0.25">
      <x:c r="F10803" s="11"/>
    </x:row>
    <x:row r="10804" spans="6:6" x14ac:dyDescent="0.25">
      <x:c r="F10804" s="11"/>
    </x:row>
    <x:row r="10805" spans="6:6" x14ac:dyDescent="0.25">
      <x:c r="F10805" s="11"/>
    </x:row>
    <x:row r="10806" spans="6:6" x14ac:dyDescent="0.25">
      <x:c r="F10806" s="11"/>
    </x:row>
    <x:row r="10807" spans="6:6" x14ac:dyDescent="0.25">
      <x:c r="F10807" s="11"/>
    </x:row>
    <x:row r="10808" spans="6:6" x14ac:dyDescent="0.25">
      <x:c r="F10808" s="11"/>
    </x:row>
    <x:row r="10809" spans="6:6" x14ac:dyDescent="0.25">
      <x:c r="F10809" s="11"/>
    </x:row>
    <x:row r="10810" spans="6:6" x14ac:dyDescent="0.25">
      <x:c r="F10810" s="11"/>
    </x:row>
    <x:row r="10811" spans="6:6" x14ac:dyDescent="0.25">
      <x:c r="F10811" s="11"/>
    </x:row>
    <x:row r="10812" spans="6:6" x14ac:dyDescent="0.25">
      <x:c r="F10812" s="11"/>
    </x:row>
    <x:row r="10813" spans="6:6" x14ac:dyDescent="0.25">
      <x:c r="F10813" s="11"/>
    </x:row>
    <x:row r="10814" spans="6:6" x14ac:dyDescent="0.25">
      <x:c r="F10814" s="11"/>
    </x:row>
    <x:row r="10815" spans="6:6" x14ac:dyDescent="0.25">
      <x:c r="F10815" s="11"/>
    </x:row>
    <x:row r="10816" spans="6:6" x14ac:dyDescent="0.25">
      <x:c r="F10816" s="11"/>
    </x:row>
    <x:row r="10817" spans="6:6" x14ac:dyDescent="0.25">
      <x:c r="F10817" s="11"/>
    </x:row>
    <x:row r="10818" spans="6:6" x14ac:dyDescent="0.25">
      <x:c r="F10818" s="11"/>
    </x:row>
    <x:row r="10819" spans="6:6" x14ac:dyDescent="0.25">
      <x:c r="F10819" s="11"/>
    </x:row>
    <x:row r="10820" spans="6:6" x14ac:dyDescent="0.25">
      <x:c r="F10820" s="11"/>
    </x:row>
    <x:row r="10821" spans="6:6" x14ac:dyDescent="0.25">
      <x:c r="F10821" s="11"/>
    </x:row>
    <x:row r="10822" spans="6:6" x14ac:dyDescent="0.25">
      <x:c r="F10822" s="11"/>
    </x:row>
    <x:row r="10823" spans="6:6" x14ac:dyDescent="0.25">
      <x:c r="F10823" s="11"/>
    </x:row>
    <x:row r="10824" spans="6:6" x14ac:dyDescent="0.25">
      <x:c r="F10824" s="11"/>
    </x:row>
    <x:row r="10825" spans="6:6" x14ac:dyDescent="0.25">
      <x:c r="F10825" s="11"/>
    </x:row>
    <x:row r="10826" spans="6:6" x14ac:dyDescent="0.25">
      <x:c r="F10826" s="11"/>
    </x:row>
    <x:row r="10827" spans="6:6" x14ac:dyDescent="0.25">
      <x:c r="F10827" s="11"/>
    </x:row>
    <x:row r="10828" spans="6:6" x14ac:dyDescent="0.25">
      <x:c r="F10828" s="11"/>
    </x:row>
    <x:row r="10829" spans="6:6" x14ac:dyDescent="0.25">
      <x:c r="F10829" s="11"/>
    </x:row>
    <x:row r="10830" spans="6:6" x14ac:dyDescent="0.25">
      <x:c r="F10830" s="11"/>
    </x:row>
    <x:row r="10831" spans="6:6" x14ac:dyDescent="0.25">
      <x:c r="F10831" s="11"/>
    </x:row>
    <x:row r="10832" spans="6:6" x14ac:dyDescent="0.25">
      <x:c r="F10832" s="11"/>
    </x:row>
    <x:row r="10833" spans="6:6" x14ac:dyDescent="0.25">
      <x:c r="F10833" s="11"/>
    </x:row>
    <x:row r="10834" spans="6:6" x14ac:dyDescent="0.25">
      <x:c r="F10834" s="11"/>
    </x:row>
    <x:row r="10835" spans="6:6" x14ac:dyDescent="0.25">
      <x:c r="F10835" s="11"/>
    </x:row>
    <x:row r="10836" spans="6:6" x14ac:dyDescent="0.25">
      <x:c r="F10836" s="11"/>
    </x:row>
    <x:row r="10837" spans="6:6" x14ac:dyDescent="0.25">
      <x:c r="F10837" s="11"/>
    </x:row>
    <x:row r="10838" spans="6:6" x14ac:dyDescent="0.25">
      <x:c r="F10838" s="11"/>
    </x:row>
    <x:row r="10839" spans="6:6" x14ac:dyDescent="0.25">
      <x:c r="F10839" s="11"/>
    </x:row>
    <x:row r="10840" spans="6:6" x14ac:dyDescent="0.25">
      <x:c r="F10840" s="11"/>
    </x:row>
    <x:row r="10841" spans="6:6" x14ac:dyDescent="0.25">
      <x:c r="F10841" s="11"/>
    </x:row>
    <x:row r="10842" spans="6:6" x14ac:dyDescent="0.25">
      <x:c r="F10842" s="11"/>
    </x:row>
    <x:row r="10843" spans="6:6" x14ac:dyDescent="0.25">
      <x:c r="F10843" s="11"/>
    </x:row>
    <x:row r="10844" spans="6:6" x14ac:dyDescent="0.25">
      <x:c r="F10844" s="11"/>
    </x:row>
    <x:row r="10845" spans="6:6" x14ac:dyDescent="0.25">
      <x:c r="F10845" s="11"/>
    </x:row>
    <x:row r="10846" spans="6:6" x14ac:dyDescent="0.25">
      <x:c r="F10846" s="11"/>
    </x:row>
    <x:row r="10847" spans="6:6" x14ac:dyDescent="0.25">
      <x:c r="F10847" s="11"/>
    </x:row>
    <x:row r="10848" spans="6:6" x14ac:dyDescent="0.25">
      <x:c r="F10848" s="11"/>
    </x:row>
    <x:row r="10849" spans="6:6" x14ac:dyDescent="0.25">
      <x:c r="F10849" s="11"/>
    </x:row>
    <x:row r="10850" spans="6:6" x14ac:dyDescent="0.25">
      <x:c r="F10850" s="11"/>
    </x:row>
    <x:row r="10851" spans="6:6" x14ac:dyDescent="0.25">
      <x:c r="F10851" s="11"/>
    </x:row>
    <x:row r="10852" spans="6:6" x14ac:dyDescent="0.25">
      <x:c r="F10852" s="11"/>
    </x:row>
    <x:row r="10853" spans="6:6" x14ac:dyDescent="0.25">
      <x:c r="F10853" s="11"/>
    </x:row>
    <x:row r="10854" spans="6:6" x14ac:dyDescent="0.25">
      <x:c r="F10854" s="11"/>
    </x:row>
    <x:row r="10855" spans="6:6" x14ac:dyDescent="0.25">
      <x:c r="F10855" s="11"/>
    </x:row>
    <x:row r="10856" spans="6:6" x14ac:dyDescent="0.25">
      <x:c r="F10856" s="11"/>
    </x:row>
    <x:row r="10857" spans="6:6" x14ac:dyDescent="0.25">
      <x:c r="F10857" s="11"/>
    </x:row>
    <x:row r="10858" spans="6:6" x14ac:dyDescent="0.25">
      <x:c r="F10858" s="11"/>
    </x:row>
    <x:row r="10859" spans="6:6" x14ac:dyDescent="0.25">
      <x:c r="F10859" s="11"/>
    </x:row>
    <x:row r="10860" spans="6:6" x14ac:dyDescent="0.25">
      <x:c r="F10860" s="11"/>
    </x:row>
    <x:row r="10861" spans="6:6" x14ac:dyDescent="0.25">
      <x:c r="F10861" s="11"/>
    </x:row>
    <x:row r="10862" spans="6:6" x14ac:dyDescent="0.25">
      <x:c r="F10862" s="11"/>
    </x:row>
    <x:row r="10863" spans="6:6" x14ac:dyDescent="0.25">
      <x:c r="F10863" s="11"/>
    </x:row>
    <x:row r="10864" spans="6:6" x14ac:dyDescent="0.25">
      <x:c r="F10864" s="11"/>
    </x:row>
    <x:row r="10865" spans="6:6" x14ac:dyDescent="0.25">
      <x:c r="F10865" s="11"/>
    </x:row>
    <x:row r="10866" spans="6:6" x14ac:dyDescent="0.25">
      <x:c r="F10866" s="11"/>
    </x:row>
    <x:row r="10867" spans="6:6" x14ac:dyDescent="0.25">
      <x:c r="F10867" s="11"/>
    </x:row>
    <x:row r="10868" spans="6:6" x14ac:dyDescent="0.25">
      <x:c r="F10868" s="11"/>
    </x:row>
    <x:row r="10869" spans="6:6" x14ac:dyDescent="0.25">
      <x:c r="F10869" s="11"/>
    </x:row>
    <x:row r="10870" spans="6:6" x14ac:dyDescent="0.25">
      <x:c r="F10870" s="11"/>
    </x:row>
    <x:row r="10871" spans="6:6" x14ac:dyDescent="0.25">
      <x:c r="F10871" s="11"/>
    </x:row>
    <x:row r="10872" spans="6:6" x14ac:dyDescent="0.25">
      <x:c r="F10872" s="11"/>
    </x:row>
    <x:row r="10873" spans="6:6" x14ac:dyDescent="0.25">
      <x:c r="F10873" s="11"/>
    </x:row>
    <x:row r="10874" spans="6:6" x14ac:dyDescent="0.25">
      <x:c r="F10874" s="11"/>
    </x:row>
    <x:row r="10875" spans="6:6" x14ac:dyDescent="0.25">
      <x:c r="F10875" s="11"/>
    </x:row>
    <x:row r="10876" spans="6:6" x14ac:dyDescent="0.25">
      <x:c r="F10876" s="11"/>
    </x:row>
    <x:row r="10877" spans="6:6" x14ac:dyDescent="0.25">
      <x:c r="F10877" s="11"/>
    </x:row>
    <x:row r="10878" spans="6:6" x14ac:dyDescent="0.25">
      <x:c r="F10878" s="11"/>
    </x:row>
    <x:row r="10879" spans="6:6" x14ac:dyDescent="0.25">
      <x:c r="F10879" s="11"/>
    </x:row>
    <x:row r="10880" spans="6:6" x14ac:dyDescent="0.25">
      <x:c r="F10880" s="11"/>
    </x:row>
    <x:row r="10881" spans="6:6" x14ac:dyDescent="0.25">
      <x:c r="F10881" s="11"/>
    </x:row>
    <x:row r="10882" spans="6:6" x14ac:dyDescent="0.25">
      <x:c r="F10882" s="11"/>
    </x:row>
    <x:row r="10883" spans="6:6" x14ac:dyDescent="0.25">
      <x:c r="F10883" s="11"/>
    </x:row>
    <x:row r="10884" spans="6:6" x14ac:dyDescent="0.25">
      <x:c r="F10884" s="11"/>
    </x:row>
    <x:row r="10885" spans="6:6" x14ac:dyDescent="0.25">
      <x:c r="F10885" s="11"/>
    </x:row>
    <x:row r="10886" spans="6:6" x14ac:dyDescent="0.25">
      <x:c r="F10886" s="11"/>
    </x:row>
    <x:row r="10887" spans="6:6" x14ac:dyDescent="0.25">
      <x:c r="F10887" s="11"/>
    </x:row>
    <x:row r="10888" spans="6:6" x14ac:dyDescent="0.25">
      <x:c r="F10888" s="11"/>
    </x:row>
    <x:row r="10889" spans="6:6" x14ac:dyDescent="0.25">
      <x:c r="F10889" s="11"/>
    </x:row>
    <x:row r="10890" spans="6:6" x14ac:dyDescent="0.25">
      <x:c r="F10890" s="11"/>
    </x:row>
    <x:row r="10891" spans="6:6" x14ac:dyDescent="0.25">
      <x:c r="F10891" s="11"/>
    </x:row>
    <x:row r="10892" spans="6:6" x14ac:dyDescent="0.25">
      <x:c r="F10892" s="11"/>
    </x:row>
    <x:row r="10893" spans="6:6" x14ac:dyDescent="0.25">
      <x:c r="F10893" s="11"/>
    </x:row>
    <x:row r="10894" spans="6:6" x14ac:dyDescent="0.25">
      <x:c r="F10894" s="11"/>
    </x:row>
    <x:row r="10895" spans="6:6" x14ac:dyDescent="0.25">
      <x:c r="F10895" s="11"/>
    </x:row>
    <x:row r="10896" spans="6:6" x14ac:dyDescent="0.25">
      <x:c r="F10896" s="11"/>
    </x:row>
    <x:row r="10897" spans="6:6" x14ac:dyDescent="0.25">
      <x:c r="F10897" s="11"/>
    </x:row>
    <x:row r="10898" spans="6:6" x14ac:dyDescent="0.25">
      <x:c r="F10898" s="11"/>
    </x:row>
    <x:row r="10899" spans="6:6" x14ac:dyDescent="0.25">
      <x:c r="F10899" s="11"/>
    </x:row>
    <x:row r="10900" spans="6:6" x14ac:dyDescent="0.25">
      <x:c r="F10900" s="11"/>
    </x:row>
    <x:row r="10901" spans="6:6" x14ac:dyDescent="0.25">
      <x:c r="F10901" s="11"/>
    </x:row>
    <x:row r="10902" spans="6:6" x14ac:dyDescent="0.25">
      <x:c r="F10902" s="11"/>
    </x:row>
    <x:row r="10903" spans="6:6" x14ac:dyDescent="0.25">
      <x:c r="F10903" s="11"/>
    </x:row>
    <x:row r="10904" spans="6:6" x14ac:dyDescent="0.25">
      <x:c r="F10904" s="11"/>
    </x:row>
    <x:row r="10905" spans="6:6" x14ac:dyDescent="0.25">
      <x:c r="F10905" s="11"/>
    </x:row>
    <x:row r="10906" spans="6:6" x14ac:dyDescent="0.25">
      <x:c r="F10906" s="11"/>
    </x:row>
    <x:row r="10907" spans="6:6" x14ac:dyDescent="0.25">
      <x:c r="F10907" s="11"/>
    </x:row>
    <x:row r="10908" spans="6:6" x14ac:dyDescent="0.25">
      <x:c r="F10908" s="11"/>
    </x:row>
    <x:row r="10909" spans="6:6" x14ac:dyDescent="0.25">
      <x:c r="F10909" s="11"/>
    </x:row>
    <x:row r="10910" spans="6:6" x14ac:dyDescent="0.25">
      <x:c r="F10910" s="11"/>
    </x:row>
    <x:row r="10911" spans="6:6" x14ac:dyDescent="0.25">
      <x:c r="F10911" s="11"/>
    </x:row>
    <x:row r="10912" spans="6:6" x14ac:dyDescent="0.25">
      <x:c r="F10912" s="11"/>
    </x:row>
    <x:row r="10913" spans="6:6" x14ac:dyDescent="0.25">
      <x:c r="F10913" s="11"/>
    </x:row>
    <x:row r="10914" spans="6:6" x14ac:dyDescent="0.25">
      <x:c r="F10914" s="11"/>
    </x:row>
    <x:row r="10915" spans="6:6" x14ac:dyDescent="0.25">
      <x:c r="F10915" s="11"/>
    </x:row>
    <x:row r="10916" spans="6:6" x14ac:dyDescent="0.25">
      <x:c r="F10916" s="11"/>
    </x:row>
    <x:row r="10917" spans="6:6" x14ac:dyDescent="0.25">
      <x:c r="F10917" s="11"/>
    </x:row>
    <x:row r="10918" spans="6:6" x14ac:dyDescent="0.25">
      <x:c r="F10918" s="11"/>
    </x:row>
    <x:row r="10919" spans="6:6" x14ac:dyDescent="0.25">
      <x:c r="F10919" s="11"/>
    </x:row>
    <x:row r="10920" spans="6:6" x14ac:dyDescent="0.25">
      <x:c r="F10920" s="11"/>
    </x:row>
    <x:row r="10921" spans="6:6" x14ac:dyDescent="0.25">
      <x:c r="F10921" s="11"/>
    </x:row>
    <x:row r="10922" spans="6:6" x14ac:dyDescent="0.25">
      <x:c r="F10922" s="11"/>
    </x:row>
    <x:row r="10923" spans="6:6" x14ac:dyDescent="0.25">
      <x:c r="F10923" s="11"/>
    </x:row>
    <x:row r="10924" spans="6:6" x14ac:dyDescent="0.25">
      <x:c r="F10924" s="11"/>
    </x:row>
    <x:row r="10925" spans="6:6" x14ac:dyDescent="0.25">
      <x:c r="F10925" s="11"/>
    </x:row>
    <x:row r="10926" spans="6:6" x14ac:dyDescent="0.25">
      <x:c r="F10926" s="11"/>
    </x:row>
    <x:row r="10927" spans="6:6" x14ac:dyDescent="0.25">
      <x:c r="F10927" s="11"/>
    </x:row>
    <x:row r="10928" spans="6:6" x14ac:dyDescent="0.25">
      <x:c r="F10928" s="11"/>
    </x:row>
    <x:row r="10929" spans="6:6" x14ac:dyDescent="0.25">
      <x:c r="F10929" s="11"/>
    </x:row>
    <x:row r="10930" spans="6:6" x14ac:dyDescent="0.25">
      <x:c r="F10930" s="11"/>
    </x:row>
    <x:row r="10931" spans="6:6" x14ac:dyDescent="0.25">
      <x:c r="F10931" s="11"/>
    </x:row>
    <x:row r="10932" spans="6:6" x14ac:dyDescent="0.25">
      <x:c r="F10932" s="11"/>
    </x:row>
    <x:row r="10933" spans="6:6" x14ac:dyDescent="0.25">
      <x:c r="F10933" s="11"/>
    </x:row>
    <x:row r="10934" spans="6:6" x14ac:dyDescent="0.25">
      <x:c r="F10934" s="11"/>
    </x:row>
    <x:row r="10935" spans="6:6" x14ac:dyDescent="0.25">
      <x:c r="F10935" s="11"/>
    </x:row>
    <x:row r="10936" spans="6:6" x14ac:dyDescent="0.25">
      <x:c r="F10936" s="11"/>
    </x:row>
    <x:row r="10937" spans="6:6" x14ac:dyDescent="0.25">
      <x:c r="F10937" s="11"/>
    </x:row>
    <x:row r="10938" spans="6:6" x14ac:dyDescent="0.25">
      <x:c r="F10938" s="11"/>
    </x:row>
    <x:row r="10939" spans="6:6" x14ac:dyDescent="0.25">
      <x:c r="F10939" s="11"/>
    </x:row>
    <x:row r="10940" spans="6:6" x14ac:dyDescent="0.25">
      <x:c r="F10940" s="11"/>
    </x:row>
    <x:row r="10941" spans="6:6" x14ac:dyDescent="0.25">
      <x:c r="F10941" s="11"/>
    </x:row>
    <x:row r="10942" spans="6:6" x14ac:dyDescent="0.25">
      <x:c r="F10942" s="11"/>
    </x:row>
    <x:row r="10943" spans="6:6" x14ac:dyDescent="0.25">
      <x:c r="F10943" s="11"/>
    </x:row>
    <x:row r="10944" spans="6:6" x14ac:dyDescent="0.25">
      <x:c r="F10944" s="11"/>
    </x:row>
    <x:row r="10945" spans="6:6" x14ac:dyDescent="0.25">
      <x:c r="F10945" s="11"/>
    </x:row>
    <x:row r="10946" spans="6:6" x14ac:dyDescent="0.25">
      <x:c r="F10946" s="11"/>
    </x:row>
    <x:row r="10947" spans="6:6" x14ac:dyDescent="0.25">
      <x:c r="F10947" s="11"/>
    </x:row>
    <x:row r="10948" spans="6:6" x14ac:dyDescent="0.25">
      <x:c r="F10948" s="11"/>
    </x:row>
    <x:row r="10949" spans="6:6" x14ac:dyDescent="0.25">
      <x:c r="F10949" s="11"/>
    </x:row>
    <x:row r="10950" spans="6:6" x14ac:dyDescent="0.25">
      <x:c r="F10950" s="11"/>
    </x:row>
    <x:row r="10951" spans="6:6" x14ac:dyDescent="0.25">
      <x:c r="F10951" s="11"/>
    </x:row>
    <x:row r="10952" spans="6:6" x14ac:dyDescent="0.25">
      <x:c r="F10952" s="11"/>
    </x:row>
    <x:row r="10953" spans="6:6" x14ac:dyDescent="0.25">
      <x:c r="F10953" s="11"/>
    </x:row>
    <x:row r="10954" spans="6:6" x14ac:dyDescent="0.25">
      <x:c r="F10954" s="11"/>
    </x:row>
    <x:row r="10955" spans="6:6" x14ac:dyDescent="0.25">
      <x:c r="F10955" s="11"/>
    </x:row>
    <x:row r="10956" spans="6:6" x14ac:dyDescent="0.25">
      <x:c r="F10956" s="11"/>
    </x:row>
    <x:row r="10957" spans="6:6" x14ac:dyDescent="0.25">
      <x:c r="F10957" s="11"/>
    </x:row>
    <x:row r="10958" spans="6:6" x14ac:dyDescent="0.25">
      <x:c r="F10958" s="11"/>
    </x:row>
    <x:row r="10959" spans="6:6" x14ac:dyDescent="0.25">
      <x:c r="F10959" s="11"/>
    </x:row>
    <x:row r="10960" spans="6:6" x14ac:dyDescent="0.25">
      <x:c r="F10960" s="11"/>
    </x:row>
    <x:row r="10961" spans="6:6" x14ac:dyDescent="0.25">
      <x:c r="F10961" s="11"/>
    </x:row>
    <x:row r="10962" spans="6:6" x14ac:dyDescent="0.25">
      <x:c r="F10962" s="11"/>
    </x:row>
    <x:row r="10963" spans="6:6" x14ac:dyDescent="0.25">
      <x:c r="F10963" s="11"/>
    </x:row>
    <x:row r="10964" spans="6:6" x14ac:dyDescent="0.25">
      <x:c r="F10964" s="11"/>
    </x:row>
    <x:row r="10965" spans="6:6" x14ac:dyDescent="0.25">
      <x:c r="F10965" s="11"/>
    </x:row>
    <x:row r="10966" spans="6:6" x14ac:dyDescent="0.25">
      <x:c r="F10966" s="11"/>
    </x:row>
    <x:row r="10967" spans="6:6" x14ac:dyDescent="0.25">
      <x:c r="F10967" s="11"/>
    </x:row>
    <x:row r="10968" spans="6:6" x14ac:dyDescent="0.25">
      <x:c r="F10968" s="11"/>
    </x:row>
    <x:row r="10969" spans="6:6" x14ac:dyDescent="0.25">
      <x:c r="F10969" s="11"/>
    </x:row>
    <x:row r="10970" spans="6:6" x14ac:dyDescent="0.25">
      <x:c r="F10970" s="11"/>
    </x:row>
    <x:row r="10971" spans="6:6" x14ac:dyDescent="0.25">
      <x:c r="F10971" s="11"/>
    </x:row>
    <x:row r="10972" spans="6:6" x14ac:dyDescent="0.25">
      <x:c r="F10972" s="11"/>
    </x:row>
    <x:row r="10973" spans="6:6" x14ac:dyDescent="0.25">
      <x:c r="F10973" s="11"/>
    </x:row>
    <x:row r="10974" spans="6:6" x14ac:dyDescent="0.25">
      <x:c r="F10974" s="11"/>
    </x:row>
    <x:row r="10975" spans="6:6" x14ac:dyDescent="0.25">
      <x:c r="F10975" s="11"/>
    </x:row>
    <x:row r="10976" spans="6:6" x14ac:dyDescent="0.25">
      <x:c r="F10976" s="11"/>
    </x:row>
    <x:row r="10977" spans="6:6" x14ac:dyDescent="0.25">
      <x:c r="F10977" s="11"/>
    </x:row>
    <x:row r="10978" spans="6:6" x14ac:dyDescent="0.25">
      <x:c r="F10978" s="11"/>
    </x:row>
    <x:row r="10979" spans="6:6" x14ac:dyDescent="0.25">
      <x:c r="F10979" s="11"/>
    </x:row>
    <x:row r="10980" spans="6:6" x14ac:dyDescent="0.25">
      <x:c r="F10980" s="11"/>
    </x:row>
    <x:row r="10981" spans="6:6" x14ac:dyDescent="0.25">
      <x:c r="F10981" s="11"/>
    </x:row>
    <x:row r="10982" spans="6:6" x14ac:dyDescent="0.25">
      <x:c r="F10982" s="11"/>
    </x:row>
    <x:row r="10983" spans="6:6" x14ac:dyDescent="0.25">
      <x:c r="F10983" s="11"/>
    </x:row>
    <x:row r="10984" spans="6:6" x14ac:dyDescent="0.25">
      <x:c r="F10984" s="11"/>
    </x:row>
    <x:row r="10985" spans="6:6" x14ac:dyDescent="0.25">
      <x:c r="F10985" s="11"/>
    </x:row>
    <x:row r="10986" spans="6:6" x14ac:dyDescent="0.25">
      <x:c r="F10986" s="11"/>
    </x:row>
    <x:row r="10987" spans="6:6" x14ac:dyDescent="0.25">
      <x:c r="F10987" s="11"/>
    </x:row>
    <x:row r="10988" spans="6:6" x14ac:dyDescent="0.25">
      <x:c r="F10988" s="11"/>
    </x:row>
    <x:row r="10989" spans="6:6" x14ac:dyDescent="0.25">
      <x:c r="F10989" s="11"/>
    </x:row>
    <x:row r="10990" spans="6:6" x14ac:dyDescent="0.25">
      <x:c r="F10990" s="11"/>
    </x:row>
    <x:row r="10991" spans="6:6" x14ac:dyDescent="0.25">
      <x:c r="F10991" s="11"/>
    </x:row>
    <x:row r="10992" spans="6:6" x14ac:dyDescent="0.25">
      <x:c r="F10992" s="11"/>
    </x:row>
    <x:row r="10993" spans="6:6" x14ac:dyDescent="0.25">
      <x:c r="F10993" s="11"/>
    </x:row>
    <x:row r="10994" spans="6:6" x14ac:dyDescent="0.25">
      <x:c r="F10994" s="11"/>
    </x:row>
    <x:row r="10995" spans="6:6" x14ac:dyDescent="0.25">
      <x:c r="F10995" s="11"/>
    </x:row>
    <x:row r="10996" spans="6:6" x14ac:dyDescent="0.25">
      <x:c r="F10996" s="11"/>
    </x:row>
    <x:row r="10997" spans="6:6" x14ac:dyDescent="0.25">
      <x:c r="F10997" s="11"/>
    </x:row>
    <x:row r="10998" spans="6:6" x14ac:dyDescent="0.25">
      <x:c r="F10998" s="11"/>
    </x:row>
    <x:row r="10999" spans="6:6" x14ac:dyDescent="0.25">
      <x:c r="F10999" s="11"/>
    </x:row>
    <x:row r="11000" spans="6:6" x14ac:dyDescent="0.25">
      <x:c r="F11000" s="11"/>
    </x:row>
    <x:row r="11001" spans="6:6" x14ac:dyDescent="0.25">
      <x:c r="F11001" s="11"/>
    </x:row>
    <x:row r="11002" spans="6:6" x14ac:dyDescent="0.25">
      <x:c r="F11002" s="11"/>
    </x:row>
    <x:row r="11003" spans="6:6" x14ac:dyDescent="0.25">
      <x:c r="F11003" s="11"/>
    </x:row>
    <x:row r="11004" spans="6:6" x14ac:dyDescent="0.25">
      <x:c r="F11004" s="11"/>
    </x:row>
    <x:row r="11005" spans="6:6" x14ac:dyDescent="0.25">
      <x:c r="F11005" s="11"/>
    </x:row>
    <x:row r="11006" spans="6:6" x14ac:dyDescent="0.25">
      <x:c r="F11006" s="11"/>
    </x:row>
    <x:row r="11007" spans="6:6" x14ac:dyDescent="0.25">
      <x:c r="F11007" s="11"/>
    </x:row>
    <x:row r="11008" spans="6:6" x14ac:dyDescent="0.25">
      <x:c r="F11008" s="11"/>
    </x:row>
    <x:row r="11009" spans="6:6" x14ac:dyDescent="0.25">
      <x:c r="F11009" s="11"/>
    </x:row>
    <x:row r="11010" spans="6:6" x14ac:dyDescent="0.25">
      <x:c r="F11010" s="11"/>
    </x:row>
    <x:row r="11011" spans="6:6" x14ac:dyDescent="0.25">
      <x:c r="F11011" s="11"/>
    </x:row>
    <x:row r="11012" spans="6:6" x14ac:dyDescent="0.25">
      <x:c r="F11012" s="11"/>
    </x:row>
    <x:row r="11013" spans="6:6" x14ac:dyDescent="0.25">
      <x:c r="F11013" s="11"/>
    </x:row>
    <x:row r="11014" spans="6:6" x14ac:dyDescent="0.25">
      <x:c r="F11014" s="11"/>
    </x:row>
    <x:row r="11015" spans="6:6" x14ac:dyDescent="0.25">
      <x:c r="F11015" s="11"/>
    </x:row>
    <x:row r="11016" spans="6:6" x14ac:dyDescent="0.25">
      <x:c r="F11016" s="11"/>
    </x:row>
    <x:row r="11017" spans="6:6" x14ac:dyDescent="0.25">
      <x:c r="F11017" s="11"/>
    </x:row>
    <x:row r="11018" spans="6:6" x14ac:dyDescent="0.25">
      <x:c r="F11018" s="11"/>
    </x:row>
    <x:row r="11019" spans="6:6" x14ac:dyDescent="0.25">
      <x:c r="F11019" s="11"/>
    </x:row>
    <x:row r="11020" spans="6:6" x14ac:dyDescent="0.25">
      <x:c r="F11020" s="11"/>
    </x:row>
    <x:row r="11021" spans="6:6" x14ac:dyDescent="0.25">
      <x:c r="F11021" s="11"/>
    </x:row>
    <x:row r="11022" spans="6:6" x14ac:dyDescent="0.25">
      <x:c r="F11022" s="11"/>
    </x:row>
    <x:row r="11023" spans="6:6" x14ac:dyDescent="0.25">
      <x:c r="F11023" s="11"/>
    </x:row>
    <x:row r="11024" spans="6:6" x14ac:dyDescent="0.25">
      <x:c r="F11024" s="11"/>
    </x:row>
    <x:row r="11025" spans="6:6" x14ac:dyDescent="0.25">
      <x:c r="F11025" s="11"/>
    </x:row>
    <x:row r="11026" spans="6:6" x14ac:dyDescent="0.25">
      <x:c r="F11026" s="11"/>
    </x:row>
    <x:row r="11027" spans="6:6" x14ac:dyDescent="0.25">
      <x:c r="F11027" s="11"/>
    </x:row>
    <x:row r="11028" spans="6:6" x14ac:dyDescent="0.25">
      <x:c r="F11028" s="11"/>
    </x:row>
    <x:row r="11029" spans="6:6" x14ac:dyDescent="0.25">
      <x:c r="F11029" s="11"/>
    </x:row>
    <x:row r="11030" spans="6:6" x14ac:dyDescent="0.25">
      <x:c r="F11030" s="11"/>
    </x:row>
    <x:row r="11031" spans="6:6" x14ac:dyDescent="0.25">
      <x:c r="F11031" s="11"/>
    </x:row>
    <x:row r="11032" spans="6:6" x14ac:dyDescent="0.25">
      <x:c r="F11032" s="11"/>
    </x:row>
    <x:row r="11033" spans="6:6" x14ac:dyDescent="0.25">
      <x:c r="F11033" s="11"/>
    </x:row>
    <x:row r="11034" spans="6:6" x14ac:dyDescent="0.25">
      <x:c r="F11034" s="11"/>
    </x:row>
    <x:row r="11035" spans="6:6" x14ac:dyDescent="0.25">
      <x:c r="F11035" s="11"/>
    </x:row>
    <x:row r="11036" spans="6:6" x14ac:dyDescent="0.25">
      <x:c r="F11036" s="11"/>
    </x:row>
    <x:row r="11037" spans="6:6" x14ac:dyDescent="0.25">
      <x:c r="F11037" s="11"/>
    </x:row>
    <x:row r="11038" spans="6:6" x14ac:dyDescent="0.25">
      <x:c r="F11038" s="11"/>
    </x:row>
    <x:row r="11039" spans="6:6" x14ac:dyDescent="0.25">
      <x:c r="F11039" s="11"/>
    </x:row>
    <x:row r="11040" spans="6:6" x14ac:dyDescent="0.25">
      <x:c r="F11040" s="11"/>
    </x:row>
    <x:row r="11041" spans="6:6" x14ac:dyDescent="0.25">
      <x:c r="F11041" s="11"/>
    </x:row>
    <x:row r="11042" spans="6:6" x14ac:dyDescent="0.25">
      <x:c r="F11042" s="11"/>
    </x:row>
    <x:row r="11043" spans="6:6" x14ac:dyDescent="0.25">
      <x:c r="F11043" s="11"/>
    </x:row>
    <x:row r="11044" spans="6:6" x14ac:dyDescent="0.25">
      <x:c r="F11044" s="11"/>
    </x:row>
    <x:row r="11045" spans="6:6" x14ac:dyDescent="0.25">
      <x:c r="F11045" s="11"/>
    </x:row>
    <x:row r="11046" spans="6:6" x14ac:dyDescent="0.25">
      <x:c r="F11046" s="11"/>
    </x:row>
    <x:row r="11047" spans="6:6" x14ac:dyDescent="0.25">
      <x:c r="F11047" s="11"/>
    </x:row>
    <x:row r="11048" spans="6:6" x14ac:dyDescent="0.25">
      <x:c r="F11048" s="11"/>
    </x:row>
    <x:row r="11049" spans="6:6" x14ac:dyDescent="0.25">
      <x:c r="F11049" s="11"/>
    </x:row>
    <x:row r="11050" spans="6:6" x14ac:dyDescent="0.25">
      <x:c r="F11050" s="11"/>
    </x:row>
    <x:row r="11051" spans="6:6" x14ac:dyDescent="0.25">
      <x:c r="F11051" s="11"/>
    </x:row>
    <x:row r="11052" spans="6:6" x14ac:dyDescent="0.25">
      <x:c r="F11052" s="11"/>
    </x:row>
    <x:row r="11053" spans="6:6" x14ac:dyDescent="0.25">
      <x:c r="F11053" s="11"/>
    </x:row>
    <x:row r="11054" spans="6:6" x14ac:dyDescent="0.25">
      <x:c r="F11054" s="11"/>
    </x:row>
    <x:row r="11055" spans="6:6" x14ac:dyDescent="0.25">
      <x:c r="F11055" s="11"/>
    </x:row>
    <x:row r="11056" spans="6:6" x14ac:dyDescent="0.25">
      <x:c r="F11056" s="11"/>
    </x:row>
    <x:row r="11057" spans="6:6" x14ac:dyDescent="0.25">
      <x:c r="F11057" s="11"/>
    </x:row>
    <x:row r="11058" spans="6:6" x14ac:dyDescent="0.25">
      <x:c r="F11058" s="11"/>
    </x:row>
    <x:row r="11059" spans="6:6" x14ac:dyDescent="0.25">
      <x:c r="F11059" s="11"/>
    </x:row>
    <x:row r="11060" spans="6:6" x14ac:dyDescent="0.25">
      <x:c r="F11060" s="11"/>
    </x:row>
    <x:row r="11061" spans="6:6" x14ac:dyDescent="0.25">
      <x:c r="F11061" s="11"/>
    </x:row>
    <x:row r="11062" spans="6:6" x14ac:dyDescent="0.25">
      <x:c r="F11062" s="11"/>
    </x:row>
    <x:row r="11063" spans="6:6" x14ac:dyDescent="0.25">
      <x:c r="F11063" s="11"/>
    </x:row>
    <x:row r="11064" spans="6:6" x14ac:dyDescent="0.25">
      <x:c r="F11064" s="11"/>
    </x:row>
    <x:row r="11065" spans="6:6" x14ac:dyDescent="0.25">
      <x:c r="F11065" s="11"/>
    </x:row>
    <x:row r="11066" spans="6:6" x14ac:dyDescent="0.25">
      <x:c r="F11066" s="11"/>
    </x:row>
    <x:row r="11067" spans="6:6" x14ac:dyDescent="0.25">
      <x:c r="F11067" s="11"/>
    </x:row>
    <x:row r="11068" spans="6:6" x14ac:dyDescent="0.25">
      <x:c r="F11068" s="11"/>
    </x:row>
    <x:row r="11069" spans="6:6" x14ac:dyDescent="0.25">
      <x:c r="F11069" s="11"/>
    </x:row>
    <x:row r="11070" spans="6:6" x14ac:dyDescent="0.25">
      <x:c r="F11070" s="11"/>
    </x:row>
    <x:row r="11071" spans="6:6" x14ac:dyDescent="0.25">
      <x:c r="F11071" s="11"/>
    </x:row>
    <x:row r="11072" spans="6:6" x14ac:dyDescent="0.25">
      <x:c r="F11072" s="11"/>
    </x:row>
    <x:row r="11073" spans="6:6" x14ac:dyDescent="0.25">
      <x:c r="F11073" s="11"/>
    </x:row>
    <x:row r="11074" spans="6:6" x14ac:dyDescent="0.25">
      <x:c r="F11074" s="11"/>
    </x:row>
    <x:row r="11075" spans="6:6" x14ac:dyDescent="0.25">
      <x:c r="F11075" s="11"/>
    </x:row>
    <x:row r="11076" spans="6:6" x14ac:dyDescent="0.25">
      <x:c r="F11076" s="11"/>
    </x:row>
    <x:row r="11077" spans="6:6" x14ac:dyDescent="0.25">
      <x:c r="F11077" s="11"/>
    </x:row>
    <x:row r="11078" spans="6:6" x14ac:dyDescent="0.25">
      <x:c r="F11078" s="11"/>
    </x:row>
    <x:row r="11079" spans="6:6" x14ac:dyDescent="0.25">
      <x:c r="F11079" s="11"/>
    </x:row>
    <x:row r="11080" spans="6:6" x14ac:dyDescent="0.25">
      <x:c r="F11080" s="11"/>
    </x:row>
    <x:row r="11081" spans="6:6" x14ac:dyDescent="0.25">
      <x:c r="F11081" s="11"/>
    </x:row>
    <x:row r="11082" spans="6:6" x14ac:dyDescent="0.25">
      <x:c r="F11082" s="11"/>
    </x:row>
    <x:row r="11083" spans="6:6" x14ac:dyDescent="0.25">
      <x:c r="F11083" s="11"/>
    </x:row>
    <x:row r="11084" spans="6:6" x14ac:dyDescent="0.25">
      <x:c r="F11084" s="11"/>
    </x:row>
    <x:row r="11085" spans="6:6" x14ac:dyDescent="0.25">
      <x:c r="F11085" s="11"/>
    </x:row>
    <x:row r="11086" spans="6:6" x14ac:dyDescent="0.25">
      <x:c r="F11086" s="11"/>
    </x:row>
    <x:row r="11087" spans="6:6" x14ac:dyDescent="0.25">
      <x:c r="F11087" s="11"/>
    </x:row>
    <x:row r="11088" spans="6:6" x14ac:dyDescent="0.25">
      <x:c r="F11088" s="11"/>
    </x:row>
    <x:row r="11089" spans="6:6" x14ac:dyDescent="0.25">
      <x:c r="F11089" s="11"/>
    </x:row>
    <x:row r="11090" spans="6:6" x14ac:dyDescent="0.25">
      <x:c r="F11090" s="11"/>
    </x:row>
    <x:row r="11091" spans="6:6" x14ac:dyDescent="0.25">
      <x:c r="F11091" s="11"/>
    </x:row>
    <x:row r="11092" spans="6:6" x14ac:dyDescent="0.25">
      <x:c r="F11092" s="11"/>
    </x:row>
    <x:row r="11093" spans="6:6" x14ac:dyDescent="0.25">
      <x:c r="F11093" s="11"/>
    </x:row>
    <x:row r="11094" spans="6:6" x14ac:dyDescent="0.25">
      <x:c r="F11094" s="11"/>
    </x:row>
    <x:row r="11095" spans="6:6" x14ac:dyDescent="0.25">
      <x:c r="F11095" s="11"/>
    </x:row>
    <x:row r="11096" spans="6:6" x14ac:dyDescent="0.25">
      <x:c r="F11096" s="11"/>
    </x:row>
    <x:row r="11097" spans="6:6" x14ac:dyDescent="0.25">
      <x:c r="F11097" s="11"/>
    </x:row>
    <x:row r="11098" spans="6:6" x14ac:dyDescent="0.25">
      <x:c r="F11098" s="11"/>
    </x:row>
    <x:row r="11099" spans="6:6" x14ac:dyDescent="0.25">
      <x:c r="F11099" s="11"/>
    </x:row>
    <x:row r="11100" spans="6:6" x14ac:dyDescent="0.25">
      <x:c r="F11100" s="11"/>
    </x:row>
    <x:row r="11101" spans="6:6" x14ac:dyDescent="0.25">
      <x:c r="F11101" s="11"/>
    </x:row>
    <x:row r="11102" spans="6:6" x14ac:dyDescent="0.25">
      <x:c r="F11102" s="11"/>
    </x:row>
    <x:row r="11103" spans="6:6" x14ac:dyDescent="0.25">
      <x:c r="F11103" s="11"/>
    </x:row>
    <x:row r="11104" spans="6:6" x14ac:dyDescent="0.25">
      <x:c r="F11104" s="11"/>
    </x:row>
    <x:row r="11105" spans="6:6" x14ac:dyDescent="0.25">
      <x:c r="F11105" s="11"/>
    </x:row>
    <x:row r="11106" spans="6:6" x14ac:dyDescent="0.25">
      <x:c r="F11106" s="11"/>
    </x:row>
    <x:row r="11107" spans="6:6" x14ac:dyDescent="0.25">
      <x:c r="F11107" s="11"/>
    </x:row>
    <x:row r="11108" spans="6:6" x14ac:dyDescent="0.25">
      <x:c r="F11108" s="11"/>
    </x:row>
    <x:row r="11109" spans="6:6" x14ac:dyDescent="0.25">
      <x:c r="F11109" s="11"/>
    </x:row>
    <x:row r="11110" spans="6:6" x14ac:dyDescent="0.25">
      <x:c r="F11110" s="11"/>
    </x:row>
    <x:row r="11111" spans="6:6" x14ac:dyDescent="0.25">
      <x:c r="F11111" s="11"/>
    </x:row>
    <x:row r="11112" spans="6:6" x14ac:dyDescent="0.25">
      <x:c r="F11112" s="11"/>
    </x:row>
    <x:row r="11113" spans="6:6" x14ac:dyDescent="0.25">
      <x:c r="F11113" s="11"/>
    </x:row>
    <x:row r="11114" spans="6:6" x14ac:dyDescent="0.25">
      <x:c r="F11114" s="11"/>
    </x:row>
    <x:row r="11115" spans="6:6" x14ac:dyDescent="0.25">
      <x:c r="F11115" s="11"/>
    </x:row>
    <x:row r="11116" spans="6:6" x14ac:dyDescent="0.25">
      <x:c r="F11116" s="11"/>
    </x:row>
    <x:row r="11117" spans="6:6" x14ac:dyDescent="0.25">
      <x:c r="F11117" s="11"/>
    </x:row>
    <x:row r="11118" spans="6:6" x14ac:dyDescent="0.25">
      <x:c r="F11118" s="11"/>
    </x:row>
    <x:row r="11119" spans="6:6" x14ac:dyDescent="0.25">
      <x:c r="F11119" s="11"/>
    </x:row>
    <x:row r="11120" spans="6:6" x14ac:dyDescent="0.25">
      <x:c r="F11120" s="11"/>
    </x:row>
    <x:row r="11121" spans="6:6" x14ac:dyDescent="0.25">
      <x:c r="F11121" s="11"/>
    </x:row>
    <x:row r="11122" spans="6:6" x14ac:dyDescent="0.25">
      <x:c r="F11122" s="11"/>
    </x:row>
    <x:row r="11123" spans="6:6" x14ac:dyDescent="0.25">
      <x:c r="F11123" s="11"/>
    </x:row>
    <x:row r="11124" spans="6:6" x14ac:dyDescent="0.25">
      <x:c r="F11124" s="11"/>
    </x:row>
    <x:row r="11125" spans="6:6" x14ac:dyDescent="0.25">
      <x:c r="F11125" s="11"/>
    </x:row>
    <x:row r="11126" spans="6:6" x14ac:dyDescent="0.25">
      <x:c r="F11126" s="11"/>
    </x:row>
    <x:row r="11127" spans="6:6" x14ac:dyDescent="0.25">
      <x:c r="F11127" s="11"/>
    </x:row>
    <x:row r="11128" spans="6:6" x14ac:dyDescent="0.25">
      <x:c r="F11128" s="11"/>
    </x:row>
    <x:row r="11129" spans="6:6" x14ac:dyDescent="0.25">
      <x:c r="F11129" s="11"/>
    </x:row>
    <x:row r="11130" spans="6:6" x14ac:dyDescent="0.25">
      <x:c r="F11130" s="11"/>
    </x:row>
    <x:row r="11131" spans="6:6" x14ac:dyDescent="0.25">
      <x:c r="F11131" s="11"/>
    </x:row>
    <x:row r="11132" spans="6:6" x14ac:dyDescent="0.25">
      <x:c r="F11132" s="11"/>
    </x:row>
    <x:row r="11133" spans="6:6" x14ac:dyDescent="0.25">
      <x:c r="F11133" s="11"/>
    </x:row>
    <x:row r="11134" spans="6:6" x14ac:dyDescent="0.25">
      <x:c r="F11134" s="11"/>
    </x:row>
    <x:row r="11135" spans="6:6" x14ac:dyDescent="0.25">
      <x:c r="F11135" s="11"/>
    </x:row>
    <x:row r="11136" spans="6:6" x14ac:dyDescent="0.25">
      <x:c r="F11136" s="11"/>
    </x:row>
    <x:row r="11137" spans="6:6" x14ac:dyDescent="0.25">
      <x:c r="F11137" s="11"/>
    </x:row>
    <x:row r="11138" spans="6:6" x14ac:dyDescent="0.25">
      <x:c r="F11138" s="11"/>
    </x:row>
    <x:row r="11139" spans="6:6" x14ac:dyDescent="0.25">
      <x:c r="F11139" s="11"/>
    </x:row>
    <x:row r="11140" spans="6:6" x14ac:dyDescent="0.25">
      <x:c r="F11140" s="11"/>
    </x:row>
    <x:row r="11141" spans="6:6" x14ac:dyDescent="0.25">
      <x:c r="F11141" s="11"/>
    </x:row>
    <x:row r="11142" spans="6:6" x14ac:dyDescent="0.25">
      <x:c r="F11142" s="11"/>
    </x:row>
    <x:row r="11143" spans="6:6" x14ac:dyDescent="0.25">
      <x:c r="F11143" s="11"/>
    </x:row>
    <x:row r="11144" spans="6:6" x14ac:dyDescent="0.25">
      <x:c r="F11144" s="11"/>
    </x:row>
    <x:row r="11145" spans="6:6" x14ac:dyDescent="0.25">
      <x:c r="F11145" s="11"/>
    </x:row>
    <x:row r="11146" spans="6:6" x14ac:dyDescent="0.25">
      <x:c r="F11146" s="11"/>
    </x:row>
    <x:row r="11147" spans="6:6" x14ac:dyDescent="0.25">
      <x:c r="F11147" s="11"/>
    </x:row>
    <x:row r="11148" spans="6:6" x14ac:dyDescent="0.25">
      <x:c r="F11148" s="11"/>
    </x:row>
    <x:row r="11149" spans="6:6" x14ac:dyDescent="0.25">
      <x:c r="F11149" s="11"/>
    </x:row>
    <x:row r="11150" spans="6:6" x14ac:dyDescent="0.25">
      <x:c r="F11150" s="11"/>
    </x:row>
    <x:row r="11151" spans="6:6" x14ac:dyDescent="0.25">
      <x:c r="F11151" s="11"/>
    </x:row>
    <x:row r="11152" spans="6:6" x14ac:dyDescent="0.25">
      <x:c r="F11152" s="11"/>
    </x:row>
    <x:row r="11153" spans="6:6" x14ac:dyDescent="0.25">
      <x:c r="F11153" s="11"/>
    </x:row>
    <x:row r="11154" spans="6:6" x14ac:dyDescent="0.25">
      <x:c r="F11154" s="11"/>
    </x:row>
    <x:row r="11155" spans="6:6" x14ac:dyDescent="0.25">
      <x:c r="F11155" s="11"/>
    </x:row>
    <x:row r="11156" spans="6:6" x14ac:dyDescent="0.25">
      <x:c r="F11156" s="11"/>
    </x:row>
    <x:row r="11157" spans="6:6" x14ac:dyDescent="0.25">
      <x:c r="F11157" s="11"/>
    </x:row>
    <x:row r="11158" spans="6:6" x14ac:dyDescent="0.25">
      <x:c r="F11158" s="11"/>
    </x:row>
    <x:row r="11159" spans="6:6" x14ac:dyDescent="0.25">
      <x:c r="F11159" s="11"/>
    </x:row>
    <x:row r="11160" spans="6:6" x14ac:dyDescent="0.25">
      <x:c r="F11160" s="11"/>
    </x:row>
    <x:row r="11161" spans="6:6" x14ac:dyDescent="0.25">
      <x:c r="F11161" s="11"/>
    </x:row>
    <x:row r="11162" spans="6:6" x14ac:dyDescent="0.25">
      <x:c r="F11162" s="11"/>
    </x:row>
    <x:row r="11163" spans="6:6" x14ac:dyDescent="0.25">
      <x:c r="F11163" s="11"/>
    </x:row>
    <x:row r="11164" spans="6:6" x14ac:dyDescent="0.25">
      <x:c r="F11164" s="11"/>
    </x:row>
    <x:row r="11165" spans="6:6" x14ac:dyDescent="0.25">
      <x:c r="F11165" s="11"/>
    </x:row>
    <x:row r="11166" spans="6:6" x14ac:dyDescent="0.25">
      <x:c r="F11166" s="11"/>
    </x:row>
    <x:row r="11167" spans="6:6" x14ac:dyDescent="0.25">
      <x:c r="F11167" s="11"/>
    </x:row>
    <x:row r="11168" spans="6:6" x14ac:dyDescent="0.25">
      <x:c r="F11168" s="11"/>
    </x:row>
    <x:row r="11169" spans="6:6" x14ac:dyDescent="0.25">
      <x:c r="F11169" s="11"/>
    </x:row>
    <x:row r="11170" spans="6:6" x14ac:dyDescent="0.25">
      <x:c r="F11170" s="11"/>
    </x:row>
    <x:row r="11171" spans="6:6" x14ac:dyDescent="0.25">
      <x:c r="F11171" s="11"/>
    </x:row>
    <x:row r="11172" spans="6:6" x14ac:dyDescent="0.25">
      <x:c r="F11172" s="11"/>
    </x:row>
    <x:row r="11173" spans="6:6" x14ac:dyDescent="0.25">
      <x:c r="F11173" s="11"/>
    </x:row>
    <x:row r="11174" spans="6:6" x14ac:dyDescent="0.25">
      <x:c r="F11174" s="11"/>
    </x:row>
    <x:row r="11175" spans="6:6" x14ac:dyDescent="0.25">
      <x:c r="F11175" s="11"/>
    </x:row>
    <x:row r="11176" spans="6:6" x14ac:dyDescent="0.25">
      <x:c r="F11176" s="11"/>
    </x:row>
    <x:row r="11177" spans="6:6" x14ac:dyDescent="0.25">
      <x:c r="F11177" s="11"/>
    </x:row>
    <x:row r="11178" spans="6:6" x14ac:dyDescent="0.25">
      <x:c r="F11178" s="11"/>
    </x:row>
    <x:row r="11179" spans="6:6" x14ac:dyDescent="0.25">
      <x:c r="F11179" s="11"/>
    </x:row>
    <x:row r="11180" spans="6:6" x14ac:dyDescent="0.25">
      <x:c r="F11180" s="11"/>
    </x:row>
    <x:row r="11181" spans="6:6" x14ac:dyDescent="0.25">
      <x:c r="F11181" s="11"/>
    </x:row>
    <x:row r="11182" spans="6:6" x14ac:dyDescent="0.25">
      <x:c r="F11182" s="11"/>
    </x:row>
    <x:row r="11183" spans="6:6" x14ac:dyDescent="0.25">
      <x:c r="F11183" s="11"/>
    </x:row>
    <x:row r="11184" spans="6:6" x14ac:dyDescent="0.25">
      <x:c r="F11184" s="11"/>
    </x:row>
    <x:row r="11185" spans="6:6" x14ac:dyDescent="0.25">
      <x:c r="F11185" s="11"/>
    </x:row>
    <x:row r="11186" spans="6:6" x14ac:dyDescent="0.25">
      <x:c r="F11186" s="11"/>
    </x:row>
    <x:row r="11187" spans="6:6" x14ac:dyDescent="0.25">
      <x:c r="F11187" s="11"/>
    </x:row>
    <x:row r="11188" spans="6:6" x14ac:dyDescent="0.25">
      <x:c r="F11188" s="11"/>
    </x:row>
    <x:row r="11189" spans="6:6" x14ac:dyDescent="0.25">
      <x:c r="F11189" s="11"/>
    </x:row>
    <x:row r="11190" spans="6:6" x14ac:dyDescent="0.25">
      <x:c r="F11190" s="11"/>
    </x:row>
    <x:row r="11191" spans="6:6" x14ac:dyDescent="0.25">
      <x:c r="F11191" s="11"/>
    </x:row>
    <x:row r="11192" spans="6:6" x14ac:dyDescent="0.25">
      <x:c r="F11192" s="11"/>
    </x:row>
    <x:row r="11193" spans="6:6" x14ac:dyDescent="0.25">
      <x:c r="F11193" s="11"/>
    </x:row>
    <x:row r="11194" spans="6:6" x14ac:dyDescent="0.25">
      <x:c r="F11194" s="11"/>
    </x:row>
    <x:row r="11195" spans="6:6" x14ac:dyDescent="0.25">
      <x:c r="F11195" s="11"/>
    </x:row>
    <x:row r="11196" spans="6:6" x14ac:dyDescent="0.25">
      <x:c r="F11196" s="11"/>
    </x:row>
    <x:row r="11197" spans="6:6" x14ac:dyDescent="0.25">
      <x:c r="F11197" s="11"/>
    </x:row>
    <x:row r="11198" spans="6:6" x14ac:dyDescent="0.25">
      <x:c r="F11198" s="11"/>
    </x:row>
    <x:row r="11199" spans="6:6" x14ac:dyDescent="0.25">
      <x:c r="F11199" s="11"/>
    </x:row>
    <x:row r="11200" spans="6:6" x14ac:dyDescent="0.25">
      <x:c r="F11200" s="11"/>
    </x:row>
    <x:row r="11201" spans="6:6" x14ac:dyDescent="0.25">
      <x:c r="F11201" s="11"/>
    </x:row>
    <x:row r="11202" spans="6:6" x14ac:dyDescent="0.25">
      <x:c r="F11202" s="11"/>
    </x:row>
    <x:row r="11203" spans="6:6" x14ac:dyDescent="0.25">
      <x:c r="F11203" s="11"/>
    </x:row>
    <x:row r="11204" spans="6:6" x14ac:dyDescent="0.25">
      <x:c r="F11204" s="11"/>
    </x:row>
    <x:row r="11205" spans="6:6" x14ac:dyDescent="0.25">
      <x:c r="F11205" s="11"/>
    </x:row>
    <x:row r="11206" spans="6:6" x14ac:dyDescent="0.25">
      <x:c r="F11206" s="11"/>
    </x:row>
    <x:row r="11207" spans="6:6" x14ac:dyDescent="0.25">
      <x:c r="F11207" s="11"/>
    </x:row>
    <x:row r="11208" spans="6:6" x14ac:dyDescent="0.25">
      <x:c r="F11208" s="11"/>
    </x:row>
    <x:row r="11209" spans="6:6" x14ac:dyDescent="0.25">
      <x:c r="F11209" s="11"/>
    </x:row>
    <x:row r="11210" spans="6:6" x14ac:dyDescent="0.25">
      <x:c r="F11210" s="11"/>
    </x:row>
    <x:row r="11211" spans="6:6" x14ac:dyDescent="0.25">
      <x:c r="F11211" s="11"/>
    </x:row>
    <x:row r="11212" spans="6:6" x14ac:dyDescent="0.25">
      <x:c r="F11212" s="11"/>
    </x:row>
    <x:row r="11213" spans="6:6" x14ac:dyDescent="0.25">
      <x:c r="F11213" s="11"/>
    </x:row>
    <x:row r="11214" spans="6:6" x14ac:dyDescent="0.25">
      <x:c r="F11214" s="11"/>
    </x:row>
    <x:row r="11215" spans="6:6" x14ac:dyDescent="0.25">
      <x:c r="F11215" s="11"/>
    </x:row>
    <x:row r="11216" spans="6:6" x14ac:dyDescent="0.25">
      <x:c r="F11216" s="11"/>
    </x:row>
    <x:row r="11217" spans="6:6" x14ac:dyDescent="0.25">
      <x:c r="F11217" s="11"/>
    </x:row>
    <x:row r="11218" spans="6:6" x14ac:dyDescent="0.25">
      <x:c r="F11218" s="11"/>
    </x:row>
    <x:row r="11219" spans="6:6" x14ac:dyDescent="0.25">
      <x:c r="F11219" s="11"/>
    </x:row>
    <x:row r="11220" spans="6:6" x14ac:dyDescent="0.25">
      <x:c r="F11220" s="11"/>
    </x:row>
    <x:row r="11221" spans="6:6" x14ac:dyDescent="0.25">
      <x:c r="F11221" s="11"/>
    </x:row>
    <x:row r="11222" spans="6:6" x14ac:dyDescent="0.25">
      <x:c r="F11222" s="11"/>
    </x:row>
    <x:row r="11223" spans="6:6" x14ac:dyDescent="0.25">
      <x:c r="F11223" s="11"/>
    </x:row>
    <x:row r="11224" spans="6:6" x14ac:dyDescent="0.25">
      <x:c r="F11224" s="11"/>
    </x:row>
    <x:row r="11225" spans="6:6" x14ac:dyDescent="0.25">
      <x:c r="F11225" s="11"/>
    </x:row>
    <x:row r="11226" spans="6:6" x14ac:dyDescent="0.25">
      <x:c r="F11226" s="11"/>
    </x:row>
    <x:row r="11227" spans="6:6" x14ac:dyDescent="0.25">
      <x:c r="F11227" s="11"/>
    </x:row>
    <x:row r="11228" spans="6:6" x14ac:dyDescent="0.25">
      <x:c r="F11228" s="11"/>
    </x:row>
    <x:row r="11229" spans="6:6" x14ac:dyDescent="0.25">
      <x:c r="F11229" s="11"/>
    </x:row>
    <x:row r="11230" spans="6:6" x14ac:dyDescent="0.25">
      <x:c r="F11230" s="11"/>
    </x:row>
    <x:row r="11231" spans="6:6" x14ac:dyDescent="0.25">
      <x:c r="F11231" s="11"/>
    </x:row>
    <x:row r="11232" spans="6:6" x14ac:dyDescent="0.25">
      <x:c r="F11232" s="11"/>
    </x:row>
    <x:row r="11233" spans="6:6" x14ac:dyDescent="0.25">
      <x:c r="F11233" s="11"/>
    </x:row>
    <x:row r="11234" spans="6:6" x14ac:dyDescent="0.25">
      <x:c r="F11234" s="11"/>
    </x:row>
    <x:row r="11235" spans="6:6" x14ac:dyDescent="0.25">
      <x:c r="F11235" s="11"/>
    </x:row>
    <x:row r="11236" spans="6:6" x14ac:dyDescent="0.25">
      <x:c r="F11236" s="11"/>
    </x:row>
    <x:row r="11237" spans="6:6" x14ac:dyDescent="0.25">
      <x:c r="F11237" s="11"/>
    </x:row>
    <x:row r="11238" spans="6:6" x14ac:dyDescent="0.25">
      <x:c r="F11238" s="11"/>
    </x:row>
    <x:row r="11239" spans="6:6" x14ac:dyDescent="0.25">
      <x:c r="F11239" s="11"/>
    </x:row>
    <x:row r="11240" spans="6:6" x14ac:dyDescent="0.25">
      <x:c r="F11240" s="11"/>
    </x:row>
    <x:row r="11241" spans="6:6" x14ac:dyDescent="0.25">
      <x:c r="F11241" s="11"/>
    </x:row>
    <x:row r="11242" spans="6:6" x14ac:dyDescent="0.25">
      <x:c r="F11242" s="11"/>
    </x:row>
    <x:row r="11243" spans="6:6" x14ac:dyDescent="0.25">
      <x:c r="F11243" s="11"/>
    </x:row>
    <x:row r="11244" spans="6:6" x14ac:dyDescent="0.25">
      <x:c r="F11244" s="11"/>
    </x:row>
    <x:row r="11245" spans="6:6" x14ac:dyDescent="0.25">
      <x:c r="F11245" s="11"/>
    </x:row>
    <x:row r="11246" spans="6:6" x14ac:dyDescent="0.25">
      <x:c r="F11246" s="11"/>
    </x:row>
    <x:row r="11247" spans="6:6" x14ac:dyDescent="0.25">
      <x:c r="F11247" s="11"/>
    </x:row>
    <x:row r="11248" spans="6:6" x14ac:dyDescent="0.25">
      <x:c r="F11248" s="11"/>
    </x:row>
    <x:row r="11249" spans="6:6" x14ac:dyDescent="0.25">
      <x:c r="F11249" s="11"/>
    </x:row>
    <x:row r="11250" spans="6:6" x14ac:dyDescent="0.25">
      <x:c r="F11250" s="11"/>
    </x:row>
    <x:row r="11251" spans="6:6" x14ac:dyDescent="0.25">
      <x:c r="F11251" s="11"/>
    </x:row>
    <x:row r="11252" spans="6:6" x14ac:dyDescent="0.25">
      <x:c r="F11252" s="11"/>
    </x:row>
    <x:row r="11253" spans="6:6" x14ac:dyDescent="0.25">
      <x:c r="F11253" s="11"/>
    </x:row>
    <x:row r="11254" spans="6:6" x14ac:dyDescent="0.25">
      <x:c r="F11254" s="11"/>
    </x:row>
    <x:row r="11255" spans="6:6" x14ac:dyDescent="0.25">
      <x:c r="F11255" s="11"/>
    </x:row>
    <x:row r="11256" spans="6:6" x14ac:dyDescent="0.25">
      <x:c r="F11256" s="11"/>
    </x:row>
    <x:row r="11257" spans="6:6" x14ac:dyDescent="0.25">
      <x:c r="F11257" s="11"/>
    </x:row>
    <x:row r="11258" spans="6:6" x14ac:dyDescent="0.25">
      <x:c r="F11258" s="11"/>
    </x:row>
    <x:row r="11259" spans="6:6" x14ac:dyDescent="0.25">
      <x:c r="F11259" s="11"/>
    </x:row>
    <x:row r="11260" spans="6:6" x14ac:dyDescent="0.25">
      <x:c r="F11260" s="11"/>
    </x:row>
    <x:row r="11261" spans="6:6" x14ac:dyDescent="0.25">
      <x:c r="F11261" s="11"/>
    </x:row>
    <x:row r="11262" spans="6:6" x14ac:dyDescent="0.25">
      <x:c r="F11262" s="11"/>
    </x:row>
    <x:row r="11263" spans="6:6" x14ac:dyDescent="0.25">
      <x:c r="F11263" s="11"/>
    </x:row>
    <x:row r="11264" spans="6:6" x14ac:dyDescent="0.25">
      <x:c r="F11264" s="11"/>
    </x:row>
    <x:row r="11265" spans="6:6" x14ac:dyDescent="0.25">
      <x:c r="F11265" s="11"/>
    </x:row>
    <x:row r="11266" spans="6:6" x14ac:dyDescent="0.25">
      <x:c r="F11266" s="11"/>
    </x:row>
    <x:row r="11267" spans="6:6" x14ac:dyDescent="0.25">
      <x:c r="F11267" s="11"/>
    </x:row>
    <x:row r="11268" spans="6:6" x14ac:dyDescent="0.25">
      <x:c r="F11268" s="11"/>
    </x:row>
    <x:row r="11269" spans="6:6" x14ac:dyDescent="0.25">
      <x:c r="F11269" s="11"/>
    </x:row>
    <x:row r="11270" spans="6:6" x14ac:dyDescent="0.25">
      <x:c r="F11270" s="11"/>
    </x:row>
    <x:row r="11271" spans="6:6" x14ac:dyDescent="0.25">
      <x:c r="F11271" s="11"/>
    </x:row>
    <x:row r="11272" spans="6:6" x14ac:dyDescent="0.25">
      <x:c r="F11272" s="11"/>
    </x:row>
    <x:row r="11273" spans="6:6" x14ac:dyDescent="0.25">
      <x:c r="F11273" s="11"/>
    </x:row>
    <x:row r="11274" spans="6:6" x14ac:dyDescent="0.25">
      <x:c r="F11274" s="11"/>
    </x:row>
    <x:row r="11275" spans="6:6" x14ac:dyDescent="0.25">
      <x:c r="F11275" s="11"/>
    </x:row>
    <x:row r="11276" spans="6:6" x14ac:dyDescent="0.25">
      <x:c r="F11276" s="11"/>
    </x:row>
    <x:row r="11277" spans="6:6" x14ac:dyDescent="0.25">
      <x:c r="F11277" s="11"/>
    </x:row>
    <x:row r="11278" spans="6:6" x14ac:dyDescent="0.25">
      <x:c r="F11278" s="11"/>
    </x:row>
    <x:row r="11279" spans="6:6" x14ac:dyDescent="0.25">
      <x:c r="F11279" s="11"/>
    </x:row>
    <x:row r="11280" spans="6:6" x14ac:dyDescent="0.25">
      <x:c r="F11280" s="11"/>
    </x:row>
    <x:row r="11281" spans="6:6" x14ac:dyDescent="0.25">
      <x:c r="F11281" s="11"/>
    </x:row>
    <x:row r="11282" spans="6:6" x14ac:dyDescent="0.25">
      <x:c r="F11282" s="11"/>
    </x:row>
    <x:row r="11283" spans="6:6" x14ac:dyDescent="0.25">
      <x:c r="F11283" s="11"/>
    </x:row>
    <x:row r="11284" spans="6:6" x14ac:dyDescent="0.25">
      <x:c r="F11284" s="11"/>
    </x:row>
    <x:row r="11285" spans="6:6" x14ac:dyDescent="0.25">
      <x:c r="F11285" s="11"/>
    </x:row>
    <x:row r="11286" spans="6:6" x14ac:dyDescent="0.25">
      <x:c r="F11286" s="11"/>
    </x:row>
    <x:row r="11287" spans="6:6" x14ac:dyDescent="0.25">
      <x:c r="F11287" s="11"/>
    </x:row>
    <x:row r="11288" spans="6:6" x14ac:dyDescent="0.25">
      <x:c r="F11288" s="11"/>
    </x:row>
    <x:row r="11289" spans="6:6" x14ac:dyDescent="0.25">
      <x:c r="F11289" s="11"/>
    </x:row>
    <x:row r="11290" spans="6:6" x14ac:dyDescent="0.25">
      <x:c r="F11290" s="11"/>
    </x:row>
    <x:row r="11291" spans="6:6" x14ac:dyDescent="0.25">
      <x:c r="F11291" s="11"/>
    </x:row>
    <x:row r="11292" spans="6:6" x14ac:dyDescent="0.25">
      <x:c r="F11292" s="11"/>
    </x:row>
    <x:row r="11293" spans="6:6" x14ac:dyDescent="0.25">
      <x:c r="F11293" s="11"/>
    </x:row>
    <x:row r="11294" spans="6:6" x14ac:dyDescent="0.25">
      <x:c r="F11294" s="11"/>
    </x:row>
    <x:row r="11295" spans="6:6" x14ac:dyDescent="0.25">
      <x:c r="F11295" s="11"/>
    </x:row>
    <x:row r="11296" spans="6:6" x14ac:dyDescent="0.25">
      <x:c r="F11296" s="11"/>
    </x:row>
    <x:row r="11297" spans="6:6" x14ac:dyDescent="0.25">
      <x:c r="F11297" s="11"/>
    </x:row>
    <x:row r="11298" spans="6:6" x14ac:dyDescent="0.25">
      <x:c r="F11298" s="11"/>
    </x:row>
    <x:row r="11299" spans="6:6" x14ac:dyDescent="0.25">
      <x:c r="F11299" s="11"/>
    </x:row>
    <x:row r="11300" spans="6:6" x14ac:dyDescent="0.25">
      <x:c r="F11300" s="11"/>
    </x:row>
    <x:row r="11301" spans="6:6" x14ac:dyDescent="0.25">
      <x:c r="F11301" s="11"/>
    </x:row>
    <x:row r="11302" spans="6:6" x14ac:dyDescent="0.25">
      <x:c r="F11302" s="11"/>
    </x:row>
    <x:row r="11303" spans="6:6" x14ac:dyDescent="0.25">
      <x:c r="F11303" s="11"/>
    </x:row>
    <x:row r="11304" spans="6:6" x14ac:dyDescent="0.25">
      <x:c r="F11304" s="11"/>
    </x:row>
    <x:row r="11305" spans="6:6" x14ac:dyDescent="0.25">
      <x:c r="F11305" s="11"/>
    </x:row>
    <x:row r="11306" spans="6:6" x14ac:dyDescent="0.25">
      <x:c r="F11306" s="11"/>
    </x:row>
    <x:row r="11307" spans="6:6" x14ac:dyDescent="0.25">
      <x:c r="F11307" s="11"/>
    </x:row>
    <x:row r="11308" spans="6:6" x14ac:dyDescent="0.25">
      <x:c r="F11308" s="11"/>
    </x:row>
    <x:row r="11309" spans="6:6" x14ac:dyDescent="0.25">
      <x:c r="F11309" s="11"/>
    </x:row>
    <x:row r="11310" spans="6:6" x14ac:dyDescent="0.25">
      <x:c r="F11310" s="11"/>
    </x:row>
    <x:row r="11311" spans="6:6" x14ac:dyDescent="0.25">
      <x:c r="F11311" s="11"/>
    </x:row>
    <x:row r="11312" spans="6:6" x14ac:dyDescent="0.25">
      <x:c r="F11312" s="11"/>
    </x:row>
    <x:row r="11313" spans="6:6" x14ac:dyDescent="0.25">
      <x:c r="F11313" s="11"/>
    </x:row>
    <x:row r="11314" spans="6:6" x14ac:dyDescent="0.25">
      <x:c r="F11314" s="11"/>
    </x:row>
    <x:row r="11315" spans="6:6" x14ac:dyDescent="0.25">
      <x:c r="F11315" s="11"/>
    </x:row>
    <x:row r="11316" spans="6:6" x14ac:dyDescent="0.25">
      <x:c r="F11316" s="11"/>
    </x:row>
    <x:row r="11317" spans="6:6" x14ac:dyDescent="0.25">
      <x:c r="F11317" s="11"/>
    </x:row>
    <x:row r="11318" spans="6:6" x14ac:dyDescent="0.25">
      <x:c r="F11318" s="11"/>
    </x:row>
    <x:row r="11319" spans="6:6" x14ac:dyDescent="0.25">
      <x:c r="F11319" s="11"/>
    </x:row>
    <x:row r="11320" spans="6:6" x14ac:dyDescent="0.25">
      <x:c r="F11320" s="11"/>
    </x:row>
    <x:row r="11321" spans="6:6" x14ac:dyDescent="0.25">
      <x:c r="F11321" s="11"/>
    </x:row>
    <x:row r="11322" spans="6:6" x14ac:dyDescent="0.25">
      <x:c r="F11322" s="11"/>
    </x:row>
    <x:row r="11323" spans="6:6" x14ac:dyDescent="0.25">
      <x:c r="F11323" s="11"/>
    </x:row>
    <x:row r="11324" spans="6:6" x14ac:dyDescent="0.25">
      <x:c r="F11324" s="11"/>
    </x:row>
    <x:row r="11325" spans="6:6" x14ac:dyDescent="0.25">
      <x:c r="F11325" s="11"/>
    </x:row>
    <x:row r="11326" spans="6:6" x14ac:dyDescent="0.25">
      <x:c r="F11326" s="11"/>
    </x:row>
    <x:row r="11327" spans="6:6" x14ac:dyDescent="0.25">
      <x:c r="F11327" s="11"/>
    </x:row>
    <x:row r="11328" spans="6:6" x14ac:dyDescent="0.25">
      <x:c r="F11328" s="11"/>
    </x:row>
    <x:row r="11329" spans="6:6" x14ac:dyDescent="0.25">
      <x:c r="F11329" s="11"/>
    </x:row>
    <x:row r="11330" spans="6:6" x14ac:dyDescent="0.25">
      <x:c r="F11330" s="11"/>
    </x:row>
    <x:row r="11331" spans="6:6" x14ac:dyDescent="0.25">
      <x:c r="F11331" s="11"/>
    </x:row>
    <x:row r="11332" spans="6:6" x14ac:dyDescent="0.25">
      <x:c r="F11332" s="11"/>
    </x:row>
    <x:row r="11333" spans="6:6" x14ac:dyDescent="0.25">
      <x:c r="F11333" s="11"/>
    </x:row>
    <x:row r="11334" spans="6:6" x14ac:dyDescent="0.25">
      <x:c r="F11334" s="11"/>
    </x:row>
    <x:row r="11335" spans="6:6" x14ac:dyDescent="0.25">
      <x:c r="F11335" s="11"/>
    </x:row>
    <x:row r="11336" spans="6:6" x14ac:dyDescent="0.25">
      <x:c r="F11336" s="11"/>
    </x:row>
    <x:row r="11337" spans="6:6" x14ac:dyDescent="0.25">
      <x:c r="F11337" s="11"/>
    </x:row>
    <x:row r="11338" spans="6:6" x14ac:dyDescent="0.25">
      <x:c r="F11338" s="11"/>
    </x:row>
    <x:row r="11339" spans="6:6" x14ac:dyDescent="0.25">
      <x:c r="F11339" s="11"/>
    </x:row>
    <x:row r="11340" spans="6:6" x14ac:dyDescent="0.25">
      <x:c r="F11340" s="11"/>
    </x:row>
    <x:row r="11341" spans="6:6" x14ac:dyDescent="0.25">
      <x:c r="F11341" s="11"/>
    </x:row>
    <x:row r="11342" spans="6:6" x14ac:dyDescent="0.25">
      <x:c r="F11342" s="11"/>
    </x:row>
    <x:row r="11343" spans="6:6" x14ac:dyDescent="0.25">
      <x:c r="F11343" s="11"/>
    </x:row>
    <x:row r="11344" spans="6:6" x14ac:dyDescent="0.25">
      <x:c r="F11344" s="11"/>
    </x:row>
    <x:row r="11345" spans="6:6" x14ac:dyDescent="0.25">
      <x:c r="F11345" s="11"/>
    </x:row>
    <x:row r="11346" spans="6:6" x14ac:dyDescent="0.25">
      <x:c r="F11346" s="11"/>
    </x:row>
    <x:row r="11347" spans="6:6" x14ac:dyDescent="0.25">
      <x:c r="F11347" s="11"/>
    </x:row>
    <x:row r="11348" spans="6:6" x14ac:dyDescent="0.25">
      <x:c r="F11348" s="11"/>
    </x:row>
    <x:row r="11349" spans="6:6" x14ac:dyDescent="0.25">
      <x:c r="F11349" s="11"/>
    </x:row>
    <x:row r="11350" spans="6:6" x14ac:dyDescent="0.25">
      <x:c r="F11350" s="11"/>
    </x:row>
    <x:row r="11351" spans="6:6" x14ac:dyDescent="0.25">
      <x:c r="F11351" s="11"/>
    </x:row>
    <x:row r="11352" spans="6:6" x14ac:dyDescent="0.25">
      <x:c r="F11352" s="11"/>
    </x:row>
    <x:row r="11353" spans="6:6" x14ac:dyDescent="0.25">
      <x:c r="F11353" s="11"/>
    </x:row>
    <x:row r="11354" spans="6:6" x14ac:dyDescent="0.25">
      <x:c r="F11354" s="11"/>
    </x:row>
    <x:row r="11355" spans="6:6" x14ac:dyDescent="0.25">
      <x:c r="F11355" s="11"/>
    </x:row>
    <x:row r="11356" spans="6:6" x14ac:dyDescent="0.25">
      <x:c r="F11356" s="11"/>
    </x:row>
    <x:row r="11357" spans="6:6" x14ac:dyDescent="0.25">
      <x:c r="F11357" s="11"/>
    </x:row>
    <x:row r="11358" spans="6:6" x14ac:dyDescent="0.25">
      <x:c r="F11358" s="11"/>
    </x:row>
    <x:row r="11359" spans="6:6" x14ac:dyDescent="0.25">
      <x:c r="F11359" s="11"/>
    </x:row>
    <x:row r="11360" spans="6:6" x14ac:dyDescent="0.25">
      <x:c r="F11360" s="11"/>
    </x:row>
    <x:row r="11361" spans="6:6" x14ac:dyDescent="0.25">
      <x:c r="F11361" s="11"/>
    </x:row>
    <x:row r="11362" spans="6:6" x14ac:dyDescent="0.25">
      <x:c r="F11362" s="11"/>
    </x:row>
    <x:row r="11363" spans="6:6" x14ac:dyDescent="0.25">
      <x:c r="F11363" s="11"/>
    </x:row>
    <x:row r="11364" spans="6:6" x14ac:dyDescent="0.25">
      <x:c r="F11364" s="11"/>
    </x:row>
    <x:row r="11365" spans="6:6" x14ac:dyDescent="0.25">
      <x:c r="F11365" s="11"/>
    </x:row>
    <x:row r="11366" spans="6:6" x14ac:dyDescent="0.25">
      <x:c r="F11366" s="11"/>
    </x:row>
    <x:row r="11367" spans="6:6" x14ac:dyDescent="0.25">
      <x:c r="F11367" s="11"/>
    </x:row>
    <x:row r="11368" spans="6:6" x14ac:dyDescent="0.25">
      <x:c r="F11368" s="11"/>
    </x:row>
    <x:row r="11369" spans="6:6" x14ac:dyDescent="0.25">
      <x:c r="F11369" s="11"/>
    </x:row>
    <x:row r="11370" spans="6:6" x14ac:dyDescent="0.25">
      <x:c r="F11370" s="11"/>
    </x:row>
    <x:row r="11371" spans="6:6" x14ac:dyDescent="0.25">
      <x:c r="F11371" s="11"/>
    </x:row>
    <x:row r="11372" spans="6:6" x14ac:dyDescent="0.25">
      <x:c r="F11372" s="11"/>
    </x:row>
    <x:row r="11373" spans="6:6" x14ac:dyDescent="0.25">
      <x:c r="F11373" s="11"/>
    </x:row>
    <x:row r="11374" spans="6:6" x14ac:dyDescent="0.25">
      <x:c r="F11374" s="11"/>
    </x:row>
    <x:row r="11375" spans="6:6" x14ac:dyDescent="0.25">
      <x:c r="F11375" s="11"/>
    </x:row>
    <x:row r="11376" spans="6:6" x14ac:dyDescent="0.25">
      <x:c r="F11376" s="11"/>
    </x:row>
    <x:row r="11377" spans="6:6" x14ac:dyDescent="0.25">
      <x:c r="F11377" s="11"/>
    </x:row>
    <x:row r="11378" spans="6:6" x14ac:dyDescent="0.25">
      <x:c r="F11378" s="11"/>
    </x:row>
    <x:row r="11379" spans="6:6" x14ac:dyDescent="0.25">
      <x:c r="F11379" s="11"/>
    </x:row>
    <x:row r="11380" spans="6:6" x14ac:dyDescent="0.25">
      <x:c r="F11380" s="11"/>
    </x:row>
    <x:row r="11381" spans="6:6" x14ac:dyDescent="0.25">
      <x:c r="F11381" s="11"/>
    </x:row>
    <x:row r="11382" spans="6:6" x14ac:dyDescent="0.25">
      <x:c r="F11382" s="11"/>
    </x:row>
    <x:row r="11383" spans="6:6" x14ac:dyDescent="0.25">
      <x:c r="F11383" s="11"/>
    </x:row>
    <x:row r="11384" spans="6:6" x14ac:dyDescent="0.25">
      <x:c r="F11384" s="11"/>
    </x:row>
    <x:row r="11385" spans="6:6" x14ac:dyDescent="0.25">
      <x:c r="F11385" s="11"/>
    </x:row>
    <x:row r="11386" spans="6:6" x14ac:dyDescent="0.25">
      <x:c r="F11386" s="11"/>
    </x:row>
    <x:row r="11387" spans="6:6" x14ac:dyDescent="0.25">
      <x:c r="F11387" s="11"/>
    </x:row>
    <x:row r="11388" spans="6:6" x14ac:dyDescent="0.25">
      <x:c r="F11388" s="11"/>
    </x:row>
    <x:row r="11389" spans="6:6" x14ac:dyDescent="0.25">
      <x:c r="F11389" s="11"/>
    </x:row>
    <x:row r="11390" spans="6:6" x14ac:dyDescent="0.25">
      <x:c r="F11390" s="11"/>
    </x:row>
    <x:row r="11391" spans="6:6" x14ac:dyDescent="0.25">
      <x:c r="F11391" s="11"/>
    </x:row>
    <x:row r="11392" spans="6:6" x14ac:dyDescent="0.25">
      <x:c r="F11392" s="11"/>
    </x:row>
    <x:row r="11393" spans="6:6" x14ac:dyDescent="0.25">
      <x:c r="F11393" s="11"/>
    </x:row>
    <x:row r="11394" spans="6:6" x14ac:dyDescent="0.25">
      <x:c r="F11394" s="11"/>
    </x:row>
    <x:row r="11395" spans="6:6" x14ac:dyDescent="0.25">
      <x:c r="F11395" s="11"/>
    </x:row>
    <x:row r="11396" spans="6:6" x14ac:dyDescent="0.25">
      <x:c r="F11396" s="11"/>
    </x:row>
    <x:row r="11397" spans="6:6" x14ac:dyDescent="0.25">
      <x:c r="F11397" s="11"/>
    </x:row>
    <x:row r="11398" spans="6:6" x14ac:dyDescent="0.25">
      <x:c r="F11398" s="11"/>
    </x:row>
    <x:row r="11399" spans="6:6" x14ac:dyDescent="0.25">
      <x:c r="F11399" s="11"/>
    </x:row>
    <x:row r="11400" spans="6:6" x14ac:dyDescent="0.25">
      <x:c r="F11400" s="11"/>
    </x:row>
    <x:row r="11401" spans="6:6" x14ac:dyDescent="0.25">
      <x:c r="F11401" s="11"/>
    </x:row>
    <x:row r="11402" spans="6:6" x14ac:dyDescent="0.25">
      <x:c r="F11402" s="11"/>
    </x:row>
    <x:row r="11403" spans="6:6" x14ac:dyDescent="0.25">
      <x:c r="F11403" s="11"/>
    </x:row>
    <x:row r="11404" spans="6:6" x14ac:dyDescent="0.25">
      <x:c r="F11404" s="11"/>
    </x:row>
    <x:row r="11405" spans="6:6" x14ac:dyDescent="0.25">
      <x:c r="F11405" s="11"/>
    </x:row>
    <x:row r="11406" spans="6:6" x14ac:dyDescent="0.25">
      <x:c r="F11406" s="11"/>
    </x:row>
    <x:row r="11407" spans="6:6" x14ac:dyDescent="0.25">
      <x:c r="F11407" s="11"/>
    </x:row>
    <x:row r="11408" spans="6:6" x14ac:dyDescent="0.25">
      <x:c r="F11408" s="11"/>
    </x:row>
    <x:row r="11409" spans="6:6" x14ac:dyDescent="0.25">
      <x:c r="F11409" s="11"/>
    </x:row>
    <x:row r="11410" spans="6:6" x14ac:dyDescent="0.25">
      <x:c r="F11410" s="11"/>
    </x:row>
    <x:row r="11411" spans="6:6" x14ac:dyDescent="0.25">
      <x:c r="F11411" s="11"/>
    </x:row>
    <x:row r="11412" spans="6:6" x14ac:dyDescent="0.25">
      <x:c r="F11412" s="11"/>
    </x:row>
    <x:row r="11413" spans="6:6" x14ac:dyDescent="0.25">
      <x:c r="F11413" s="11"/>
    </x:row>
    <x:row r="11414" spans="6:6" x14ac:dyDescent="0.25">
      <x:c r="F11414" s="11"/>
    </x:row>
    <x:row r="11415" spans="6:6" x14ac:dyDescent="0.25">
      <x:c r="F11415" s="11"/>
    </x:row>
    <x:row r="11416" spans="6:6" x14ac:dyDescent="0.25">
      <x:c r="F11416" s="11"/>
    </x:row>
    <x:row r="11417" spans="6:6" x14ac:dyDescent="0.25">
      <x:c r="F11417" s="11"/>
    </x:row>
    <x:row r="11418" spans="6:6" x14ac:dyDescent="0.25">
      <x:c r="F11418" s="11"/>
    </x:row>
    <x:row r="11419" spans="6:6" x14ac:dyDescent="0.25">
      <x:c r="F11419" s="11"/>
    </x:row>
    <x:row r="11420" spans="6:6" x14ac:dyDescent="0.25">
      <x:c r="F11420" s="11"/>
    </x:row>
    <x:row r="11421" spans="6:6" x14ac:dyDescent="0.25">
      <x:c r="F11421" s="11"/>
    </x:row>
    <x:row r="11422" spans="6:6" x14ac:dyDescent="0.25">
      <x:c r="F11422" s="11"/>
    </x:row>
    <x:row r="11423" spans="6:6" x14ac:dyDescent="0.25">
      <x:c r="F11423" s="11"/>
    </x:row>
    <x:row r="11424" spans="6:6" x14ac:dyDescent="0.25">
      <x:c r="F11424" s="11"/>
    </x:row>
    <x:row r="11425" spans="6:6" x14ac:dyDescent="0.25">
      <x:c r="F11425" s="11"/>
    </x:row>
    <x:row r="11426" spans="6:6" x14ac:dyDescent="0.25">
      <x:c r="F11426" s="11"/>
    </x:row>
    <x:row r="11427" spans="6:6" x14ac:dyDescent="0.25">
      <x:c r="F11427" s="11"/>
    </x:row>
    <x:row r="11428" spans="6:6" x14ac:dyDescent="0.25">
      <x:c r="F11428" s="11"/>
    </x:row>
    <x:row r="11429" spans="6:6" x14ac:dyDescent="0.25">
      <x:c r="F11429" s="11"/>
    </x:row>
    <x:row r="11430" spans="6:6" x14ac:dyDescent="0.25">
      <x:c r="F11430" s="11"/>
    </x:row>
    <x:row r="11431" spans="6:6" x14ac:dyDescent="0.25">
      <x:c r="F11431" s="11"/>
    </x:row>
    <x:row r="11432" spans="6:6" x14ac:dyDescent="0.25">
      <x:c r="F11432" s="11"/>
    </x:row>
    <x:row r="11433" spans="6:6" x14ac:dyDescent="0.25">
      <x:c r="F11433" s="11"/>
    </x:row>
    <x:row r="11434" spans="6:6" x14ac:dyDescent="0.25">
      <x:c r="F11434" s="11"/>
    </x:row>
    <x:row r="11435" spans="6:6" x14ac:dyDescent="0.25">
      <x:c r="F11435" s="11"/>
    </x:row>
    <x:row r="11436" spans="6:6" x14ac:dyDescent="0.25">
      <x:c r="F11436" s="11"/>
    </x:row>
    <x:row r="11437" spans="6:6" x14ac:dyDescent="0.25">
      <x:c r="F11437" s="11"/>
    </x:row>
    <x:row r="11438" spans="6:6" x14ac:dyDescent="0.25">
      <x:c r="F11438" s="11"/>
    </x:row>
    <x:row r="11439" spans="6:6" x14ac:dyDescent="0.25">
      <x:c r="F11439" s="11"/>
    </x:row>
    <x:row r="11440" spans="6:6" x14ac:dyDescent="0.25">
      <x:c r="F11440" s="11"/>
    </x:row>
    <x:row r="11441" spans="6:6" x14ac:dyDescent="0.25">
      <x:c r="F11441" s="11"/>
    </x:row>
    <x:row r="11442" spans="6:6" x14ac:dyDescent="0.25">
      <x:c r="F11442" s="11"/>
    </x:row>
    <x:row r="11443" spans="6:6" x14ac:dyDescent="0.25">
      <x:c r="F11443" s="11"/>
    </x:row>
    <x:row r="11444" spans="6:6" x14ac:dyDescent="0.25">
      <x:c r="F11444" s="11"/>
    </x:row>
    <x:row r="11445" spans="6:6" x14ac:dyDescent="0.25">
      <x:c r="F11445" s="11"/>
    </x:row>
    <x:row r="11446" spans="6:6" x14ac:dyDescent="0.25">
      <x:c r="F11446" s="11"/>
    </x:row>
    <x:row r="11447" spans="6:6" x14ac:dyDescent="0.25">
      <x:c r="F11447" s="11"/>
    </x:row>
    <x:row r="11448" spans="6:6" x14ac:dyDescent="0.25">
      <x:c r="F11448" s="11"/>
    </x:row>
    <x:row r="11449" spans="6:6" x14ac:dyDescent="0.25">
      <x:c r="F11449" s="11"/>
    </x:row>
    <x:row r="11450" spans="6:6" x14ac:dyDescent="0.25">
      <x:c r="F11450" s="11"/>
    </x:row>
    <x:row r="11451" spans="6:6" x14ac:dyDescent="0.25">
      <x:c r="F11451" s="11"/>
    </x:row>
    <x:row r="11452" spans="6:6" x14ac:dyDescent="0.25">
      <x:c r="F11452" s="11"/>
    </x:row>
    <x:row r="11453" spans="6:6" x14ac:dyDescent="0.25">
      <x:c r="F11453" s="11"/>
    </x:row>
    <x:row r="11454" spans="6:6" x14ac:dyDescent="0.25">
      <x:c r="F11454" s="11"/>
    </x:row>
    <x:row r="11455" spans="6:6" x14ac:dyDescent="0.25">
      <x:c r="F11455" s="11"/>
    </x:row>
    <x:row r="11456" spans="6:6" x14ac:dyDescent="0.25">
      <x:c r="F11456" s="11"/>
    </x:row>
    <x:row r="11457" spans="6:6" x14ac:dyDescent="0.25">
      <x:c r="F11457" s="11"/>
    </x:row>
    <x:row r="11458" spans="6:6" x14ac:dyDescent="0.25">
      <x:c r="F11458" s="11"/>
    </x:row>
    <x:row r="11459" spans="6:6" x14ac:dyDescent="0.25">
      <x:c r="F11459" s="11"/>
    </x:row>
    <x:row r="11460" spans="6:6" x14ac:dyDescent="0.25">
      <x:c r="F11460" s="11"/>
    </x:row>
    <x:row r="11461" spans="6:6" x14ac:dyDescent="0.25">
      <x:c r="F11461" s="11"/>
    </x:row>
    <x:row r="11462" spans="6:6" x14ac:dyDescent="0.25">
      <x:c r="F11462" s="11"/>
    </x:row>
    <x:row r="11463" spans="6:6" x14ac:dyDescent="0.25">
      <x:c r="F11463" s="11"/>
    </x:row>
    <x:row r="11464" spans="6:6" x14ac:dyDescent="0.25">
      <x:c r="F11464" s="11"/>
    </x:row>
    <x:row r="11465" spans="6:6" x14ac:dyDescent="0.25">
      <x:c r="F11465" s="11"/>
    </x:row>
    <x:row r="11466" spans="6:6" x14ac:dyDescent="0.25">
      <x:c r="F11466" s="11"/>
    </x:row>
    <x:row r="11467" spans="6:6" x14ac:dyDescent="0.25">
      <x:c r="F11467" s="11"/>
    </x:row>
    <x:row r="11468" spans="6:6" x14ac:dyDescent="0.25">
      <x:c r="F11468" s="11"/>
    </x:row>
    <x:row r="11469" spans="6:6" x14ac:dyDescent="0.25">
      <x:c r="F11469" s="11"/>
    </x:row>
    <x:row r="11470" spans="6:6" x14ac:dyDescent="0.25">
      <x:c r="F11470" s="11"/>
    </x:row>
    <x:row r="11471" spans="6:6" x14ac:dyDescent="0.25">
      <x:c r="F11471" s="11"/>
    </x:row>
    <x:row r="11472" spans="6:6" x14ac:dyDescent="0.25">
      <x:c r="F11472" s="11"/>
    </x:row>
    <x:row r="11473" spans="6:6" x14ac:dyDescent="0.25">
      <x:c r="F11473" s="11"/>
    </x:row>
    <x:row r="11474" spans="6:6" x14ac:dyDescent="0.25">
      <x:c r="F11474" s="11"/>
    </x:row>
    <x:row r="11475" spans="6:6" x14ac:dyDescent="0.25">
      <x:c r="F11475" s="11"/>
    </x:row>
    <x:row r="11476" spans="6:6" x14ac:dyDescent="0.25">
      <x:c r="F11476" s="11"/>
    </x:row>
    <x:row r="11477" spans="6:6" x14ac:dyDescent="0.25">
      <x:c r="F11477" s="11"/>
    </x:row>
    <x:row r="11478" spans="6:6" x14ac:dyDescent="0.25">
      <x:c r="F11478" s="11"/>
    </x:row>
    <x:row r="11479" spans="6:6" x14ac:dyDescent="0.25">
      <x:c r="F11479" s="11"/>
    </x:row>
    <x:row r="11480" spans="6:6" x14ac:dyDescent="0.25">
      <x:c r="F11480" s="11"/>
    </x:row>
    <x:row r="11481" spans="6:6" x14ac:dyDescent="0.25">
      <x:c r="F11481" s="11"/>
    </x:row>
    <x:row r="11482" spans="6:6" x14ac:dyDescent="0.25">
      <x:c r="F11482" s="11"/>
    </x:row>
    <x:row r="11483" spans="6:6" x14ac:dyDescent="0.25">
      <x:c r="F11483" s="11"/>
    </x:row>
    <x:row r="11484" spans="6:6" x14ac:dyDescent="0.25">
      <x:c r="F11484" s="11"/>
    </x:row>
    <x:row r="11485" spans="6:6" x14ac:dyDescent="0.25">
      <x:c r="F11485" s="11"/>
    </x:row>
    <x:row r="11486" spans="6:6" x14ac:dyDescent="0.25">
      <x:c r="F11486" s="11"/>
    </x:row>
    <x:row r="11487" spans="6:6" x14ac:dyDescent="0.25">
      <x:c r="F11487" s="11"/>
    </x:row>
    <x:row r="11488" spans="6:6" x14ac:dyDescent="0.25">
      <x:c r="F11488" s="11"/>
    </x:row>
    <x:row r="11489" spans="6:6" x14ac:dyDescent="0.25">
      <x:c r="F11489" s="11"/>
    </x:row>
    <x:row r="11490" spans="6:6" x14ac:dyDescent="0.25">
      <x:c r="F11490" s="11"/>
    </x:row>
    <x:row r="11491" spans="6:6" x14ac:dyDescent="0.25">
      <x:c r="F11491" s="11"/>
    </x:row>
    <x:row r="11492" spans="6:6" x14ac:dyDescent="0.25">
      <x:c r="F11492" s="11"/>
    </x:row>
    <x:row r="11493" spans="6:6" x14ac:dyDescent="0.25">
      <x:c r="F11493" s="11"/>
    </x:row>
    <x:row r="11494" spans="6:6" x14ac:dyDescent="0.25">
      <x:c r="F11494" s="11"/>
    </x:row>
    <x:row r="11495" spans="6:6" x14ac:dyDescent="0.25">
      <x:c r="F11495" s="11"/>
    </x:row>
    <x:row r="11496" spans="6:6" x14ac:dyDescent="0.25">
      <x:c r="F11496" s="11"/>
    </x:row>
    <x:row r="11497" spans="6:6" x14ac:dyDescent="0.25">
      <x:c r="F11497" s="11"/>
    </x:row>
    <x:row r="11498" spans="6:6" x14ac:dyDescent="0.25">
      <x:c r="F11498" s="11"/>
    </x:row>
    <x:row r="11499" spans="6:6" x14ac:dyDescent="0.25">
      <x:c r="F11499" s="11"/>
    </x:row>
    <x:row r="11500" spans="6:6" x14ac:dyDescent="0.25">
      <x:c r="F11500" s="11"/>
    </x:row>
    <x:row r="11501" spans="6:6" x14ac:dyDescent="0.25">
      <x:c r="F11501" s="11"/>
    </x:row>
    <x:row r="11502" spans="6:6" x14ac:dyDescent="0.25">
      <x:c r="F11502" s="11"/>
    </x:row>
    <x:row r="11503" spans="6:6" x14ac:dyDescent="0.25">
      <x:c r="F11503" s="11"/>
    </x:row>
    <x:row r="11504" spans="6:6" x14ac:dyDescent="0.25">
      <x:c r="F11504" s="11"/>
    </x:row>
    <x:row r="11505" spans="6:6" x14ac:dyDescent="0.25">
      <x:c r="F11505" s="11"/>
    </x:row>
    <x:row r="11506" spans="6:6" x14ac:dyDescent="0.25">
      <x:c r="F11506" s="11"/>
    </x:row>
    <x:row r="11507" spans="6:6" x14ac:dyDescent="0.25">
      <x:c r="F11507" s="11"/>
    </x:row>
    <x:row r="11508" spans="6:6" x14ac:dyDescent="0.25">
      <x:c r="F11508" s="11"/>
    </x:row>
    <x:row r="11509" spans="6:6" x14ac:dyDescent="0.25">
      <x:c r="F11509" s="11"/>
    </x:row>
    <x:row r="11510" spans="6:6" x14ac:dyDescent="0.25">
      <x:c r="F11510" s="11"/>
    </x:row>
    <x:row r="11511" spans="6:6" x14ac:dyDescent="0.25">
      <x:c r="F11511" s="11"/>
    </x:row>
    <x:row r="11512" spans="6:6" x14ac:dyDescent="0.25">
      <x:c r="F11512" s="11"/>
    </x:row>
    <x:row r="11513" spans="6:6" x14ac:dyDescent="0.25">
      <x:c r="F11513" s="11"/>
    </x:row>
    <x:row r="11514" spans="6:6" x14ac:dyDescent="0.25">
      <x:c r="F11514" s="11"/>
    </x:row>
    <x:row r="11515" spans="6:6" x14ac:dyDescent="0.25">
      <x:c r="F11515" s="11"/>
    </x:row>
    <x:row r="11516" spans="6:6" x14ac:dyDescent="0.25">
      <x:c r="F11516" s="11"/>
    </x:row>
    <x:row r="11517" spans="6:6" x14ac:dyDescent="0.25">
      <x:c r="F11517" s="11"/>
    </x:row>
    <x:row r="11518" spans="6:6" x14ac:dyDescent="0.25">
      <x:c r="F11518" s="11"/>
    </x:row>
    <x:row r="11519" spans="6:6" x14ac:dyDescent="0.25">
      <x:c r="F11519" s="11"/>
    </x:row>
    <x:row r="11520" spans="6:6" x14ac:dyDescent="0.25">
      <x:c r="F11520" s="11"/>
    </x:row>
    <x:row r="11521" spans="6:6" x14ac:dyDescent="0.25">
      <x:c r="F11521" s="11"/>
    </x:row>
    <x:row r="11522" spans="6:6" x14ac:dyDescent="0.25">
      <x:c r="F11522" s="11"/>
    </x:row>
    <x:row r="11523" spans="6:6" x14ac:dyDescent="0.25">
      <x:c r="F11523" s="11"/>
    </x:row>
    <x:row r="11524" spans="6:6" x14ac:dyDescent="0.25">
      <x:c r="F11524" s="11"/>
    </x:row>
    <x:row r="11525" spans="6:6" x14ac:dyDescent="0.25">
      <x:c r="F11525" s="11"/>
    </x:row>
    <x:row r="11526" spans="6:6" x14ac:dyDescent="0.25">
      <x:c r="F11526" s="11"/>
    </x:row>
    <x:row r="11527" spans="6:6" x14ac:dyDescent="0.25">
      <x:c r="F11527" s="11"/>
    </x:row>
    <x:row r="11528" spans="6:6" x14ac:dyDescent="0.25">
      <x:c r="F11528" s="11"/>
    </x:row>
    <x:row r="11529" spans="6:6" x14ac:dyDescent="0.25">
      <x:c r="F11529" s="11"/>
    </x:row>
    <x:row r="11530" spans="6:6" x14ac:dyDescent="0.25">
      <x:c r="F11530" s="11"/>
    </x:row>
    <x:row r="11531" spans="6:6" x14ac:dyDescent="0.25">
      <x:c r="F11531" s="11"/>
    </x:row>
    <x:row r="11532" spans="6:6" x14ac:dyDescent="0.25">
      <x:c r="F11532" s="11"/>
    </x:row>
    <x:row r="11533" spans="6:6" x14ac:dyDescent="0.25">
      <x:c r="F11533" s="11"/>
    </x:row>
    <x:row r="11534" spans="6:6" x14ac:dyDescent="0.25">
      <x:c r="F11534" s="11"/>
    </x:row>
    <x:row r="11535" spans="6:6" x14ac:dyDescent="0.25">
      <x:c r="F11535" s="11"/>
    </x:row>
    <x:row r="11536" spans="6:6" x14ac:dyDescent="0.25">
      <x:c r="F11536" s="11"/>
    </x:row>
    <x:row r="11537" spans="6:6" x14ac:dyDescent="0.25">
      <x:c r="F11537" s="11"/>
    </x:row>
    <x:row r="11538" spans="6:6" x14ac:dyDescent="0.25">
      <x:c r="F11538" s="11"/>
    </x:row>
    <x:row r="11539" spans="6:6" x14ac:dyDescent="0.25">
      <x:c r="F11539" s="11"/>
    </x:row>
    <x:row r="11540" spans="6:6" x14ac:dyDescent="0.25">
      <x:c r="F11540" s="11"/>
    </x:row>
    <x:row r="11541" spans="6:6" x14ac:dyDescent="0.25">
      <x:c r="F11541" s="11"/>
    </x:row>
    <x:row r="11542" spans="6:6" x14ac:dyDescent="0.25">
      <x:c r="F11542" s="11"/>
    </x:row>
    <x:row r="11543" spans="6:6" x14ac:dyDescent="0.25">
      <x:c r="F11543" s="11"/>
    </x:row>
    <x:row r="11544" spans="6:6" x14ac:dyDescent="0.25">
      <x:c r="F11544" s="11"/>
    </x:row>
    <x:row r="11545" spans="6:6" x14ac:dyDescent="0.25">
      <x:c r="F11545" s="11"/>
    </x:row>
    <x:row r="11546" spans="6:6" x14ac:dyDescent="0.25">
      <x:c r="F11546" s="11"/>
    </x:row>
    <x:row r="11547" spans="6:6" x14ac:dyDescent="0.25">
      <x:c r="F11547" s="11"/>
    </x:row>
    <x:row r="11548" spans="6:6" x14ac:dyDescent="0.25">
      <x:c r="F11548" s="11"/>
    </x:row>
    <x:row r="11549" spans="6:6" x14ac:dyDescent="0.25">
      <x:c r="F11549" s="11"/>
    </x:row>
    <x:row r="11550" spans="6:6" x14ac:dyDescent="0.25">
      <x:c r="F11550" s="11"/>
    </x:row>
    <x:row r="11551" spans="6:6" x14ac:dyDescent="0.25">
      <x:c r="F11551" s="11"/>
    </x:row>
    <x:row r="11552" spans="6:6" x14ac:dyDescent="0.25">
      <x:c r="F11552" s="11"/>
    </x:row>
    <x:row r="11553" spans="6:6" x14ac:dyDescent="0.25">
      <x:c r="F11553" s="11"/>
    </x:row>
    <x:row r="11554" spans="6:6" x14ac:dyDescent="0.25">
      <x:c r="F11554" s="11"/>
    </x:row>
    <x:row r="11555" spans="6:6" x14ac:dyDescent="0.25">
      <x:c r="F11555" s="11"/>
    </x:row>
    <x:row r="11556" spans="6:6" x14ac:dyDescent="0.25">
      <x:c r="F11556" s="11"/>
    </x:row>
    <x:row r="11557" spans="6:6" x14ac:dyDescent="0.25">
      <x:c r="F11557" s="11"/>
    </x:row>
    <x:row r="11558" spans="6:6" x14ac:dyDescent="0.25">
      <x:c r="F11558" s="11"/>
    </x:row>
    <x:row r="11559" spans="6:6" x14ac:dyDescent="0.25">
      <x:c r="F11559" s="11"/>
    </x:row>
    <x:row r="11560" spans="6:6" x14ac:dyDescent="0.25">
      <x:c r="F11560" s="11"/>
    </x:row>
    <x:row r="11561" spans="6:6" x14ac:dyDescent="0.25">
      <x:c r="F11561" s="11"/>
    </x:row>
    <x:row r="11562" spans="6:6" x14ac:dyDescent="0.25">
      <x:c r="F11562" s="11"/>
    </x:row>
    <x:row r="11563" spans="6:6" x14ac:dyDescent="0.25">
      <x:c r="F11563" s="11"/>
    </x:row>
    <x:row r="11564" spans="6:6" x14ac:dyDescent="0.25">
      <x:c r="F11564" s="11"/>
    </x:row>
    <x:row r="11565" spans="6:6" x14ac:dyDescent="0.25">
      <x:c r="F11565" s="11"/>
    </x:row>
    <x:row r="11566" spans="6:6" x14ac:dyDescent="0.25">
      <x:c r="F11566" s="11"/>
    </x:row>
    <x:row r="11567" spans="6:6" x14ac:dyDescent="0.25">
      <x:c r="F11567" s="11"/>
    </x:row>
    <x:row r="11568" spans="6:6" x14ac:dyDescent="0.25">
      <x:c r="F11568" s="11"/>
    </x:row>
    <x:row r="11569" spans="6:6" x14ac:dyDescent="0.25">
      <x:c r="F11569" s="11"/>
    </x:row>
    <x:row r="11570" spans="6:6" x14ac:dyDescent="0.25">
      <x:c r="F11570" s="11"/>
    </x:row>
    <x:row r="11571" spans="6:6" x14ac:dyDescent="0.25">
      <x:c r="F11571" s="11"/>
    </x:row>
    <x:row r="11572" spans="6:6" x14ac:dyDescent="0.25">
      <x:c r="F11572" s="11"/>
    </x:row>
    <x:row r="11573" spans="6:6" x14ac:dyDescent="0.25">
      <x:c r="F11573" s="11"/>
    </x:row>
    <x:row r="11574" spans="6:6" x14ac:dyDescent="0.25">
      <x:c r="F11574" s="11"/>
    </x:row>
    <x:row r="11575" spans="6:6" x14ac:dyDescent="0.25">
      <x:c r="F11575" s="11"/>
    </x:row>
    <x:row r="11576" spans="6:6" x14ac:dyDescent="0.25">
      <x:c r="F11576" s="11"/>
    </x:row>
    <x:row r="11577" spans="6:6" x14ac:dyDescent="0.25">
      <x:c r="F11577" s="11"/>
    </x:row>
    <x:row r="11578" spans="6:6" x14ac:dyDescent="0.25">
      <x:c r="F11578" s="11"/>
    </x:row>
    <x:row r="11579" spans="6:6" x14ac:dyDescent="0.25">
      <x:c r="F11579" s="11"/>
    </x:row>
    <x:row r="11580" spans="6:6" x14ac:dyDescent="0.25">
      <x:c r="F11580" s="11"/>
    </x:row>
    <x:row r="11581" spans="6:6" x14ac:dyDescent="0.25">
      <x:c r="F11581" s="11"/>
    </x:row>
    <x:row r="11582" spans="6:6" x14ac:dyDescent="0.25">
      <x:c r="F11582" s="11"/>
    </x:row>
    <x:row r="11583" spans="6:6" x14ac:dyDescent="0.25">
      <x:c r="F11583" s="11"/>
    </x:row>
    <x:row r="11584" spans="6:6" x14ac:dyDescent="0.25">
      <x:c r="F11584" s="11"/>
    </x:row>
    <x:row r="11585" spans="6:6" x14ac:dyDescent="0.25">
      <x:c r="F11585" s="11"/>
    </x:row>
    <x:row r="11586" spans="6:6" x14ac:dyDescent="0.25">
      <x:c r="F11586" s="11"/>
    </x:row>
    <x:row r="11587" spans="6:6" x14ac:dyDescent="0.25">
      <x:c r="F11587" s="11"/>
    </x:row>
    <x:row r="11588" spans="6:6" x14ac:dyDescent="0.25">
      <x:c r="F11588" s="11"/>
    </x:row>
    <x:row r="11589" spans="6:6" x14ac:dyDescent="0.25">
      <x:c r="F11589" s="11"/>
    </x:row>
    <x:row r="11590" spans="6:6" x14ac:dyDescent="0.25">
      <x:c r="F11590" s="11"/>
    </x:row>
    <x:row r="11591" spans="6:6" x14ac:dyDescent="0.25">
      <x:c r="F11591" s="11"/>
    </x:row>
    <x:row r="11592" spans="6:6" x14ac:dyDescent="0.25">
      <x:c r="F11592" s="11"/>
    </x:row>
    <x:row r="11593" spans="6:6" x14ac:dyDescent="0.25">
      <x:c r="F11593" s="11"/>
    </x:row>
    <x:row r="11594" spans="6:6" x14ac:dyDescent="0.25">
      <x:c r="F11594" s="11"/>
    </x:row>
    <x:row r="11595" spans="6:6" x14ac:dyDescent="0.25">
      <x:c r="F11595" s="11"/>
    </x:row>
    <x:row r="11596" spans="6:6" x14ac:dyDescent="0.25">
      <x:c r="F11596" s="11"/>
    </x:row>
    <x:row r="11597" spans="6:6" x14ac:dyDescent="0.25">
      <x:c r="F11597" s="11"/>
    </x:row>
    <x:row r="11598" spans="6:6" x14ac:dyDescent="0.25">
      <x:c r="F11598" s="11"/>
    </x:row>
    <x:row r="11599" spans="6:6" x14ac:dyDescent="0.25">
      <x:c r="F11599" s="11"/>
    </x:row>
    <x:row r="11600" spans="6:6" x14ac:dyDescent="0.25">
      <x:c r="F11600" s="11"/>
    </x:row>
    <x:row r="11601" spans="6:6" x14ac:dyDescent="0.25">
      <x:c r="F11601" s="11"/>
    </x:row>
    <x:row r="11602" spans="6:6" x14ac:dyDescent="0.25">
      <x:c r="F11602" s="11"/>
    </x:row>
    <x:row r="11603" spans="6:6" x14ac:dyDescent="0.25">
      <x:c r="F11603" s="11"/>
    </x:row>
    <x:row r="11604" spans="6:6" x14ac:dyDescent="0.25">
      <x:c r="F11604" s="11"/>
    </x:row>
    <x:row r="11605" spans="6:6" x14ac:dyDescent="0.25">
      <x:c r="F11605" s="11"/>
    </x:row>
    <x:row r="11606" spans="6:6" x14ac:dyDescent="0.25">
      <x:c r="F11606" s="11"/>
    </x:row>
    <x:row r="11607" spans="6:6" x14ac:dyDescent="0.25">
      <x:c r="F11607" s="11"/>
    </x:row>
    <x:row r="11608" spans="6:6" x14ac:dyDescent="0.25">
      <x:c r="F11608" s="11"/>
    </x:row>
    <x:row r="11609" spans="6:6" x14ac:dyDescent="0.25">
      <x:c r="F11609" s="11"/>
    </x:row>
    <x:row r="11610" spans="6:6" x14ac:dyDescent="0.25">
      <x:c r="F11610" s="11"/>
    </x:row>
    <x:row r="11611" spans="6:6" x14ac:dyDescent="0.25">
      <x:c r="F11611" s="11"/>
    </x:row>
    <x:row r="11612" spans="6:6" x14ac:dyDescent="0.25">
      <x:c r="F11612" s="11"/>
    </x:row>
    <x:row r="11613" spans="6:6" x14ac:dyDescent="0.25">
      <x:c r="F11613" s="11"/>
    </x:row>
    <x:row r="11614" spans="6:6" x14ac:dyDescent="0.25">
      <x:c r="F11614" s="11"/>
    </x:row>
    <x:row r="11615" spans="6:6" x14ac:dyDescent="0.25">
      <x:c r="F11615" s="11"/>
    </x:row>
    <x:row r="11616" spans="6:6" x14ac:dyDescent="0.25">
      <x:c r="F11616" s="11"/>
    </x:row>
    <x:row r="11617" spans="6:6" x14ac:dyDescent="0.25">
      <x:c r="F11617" s="11"/>
    </x:row>
    <x:row r="11618" spans="6:6" x14ac:dyDescent="0.25">
      <x:c r="F11618" s="11"/>
    </x:row>
    <x:row r="11619" spans="6:6" x14ac:dyDescent="0.25">
      <x:c r="F11619" s="11"/>
    </x:row>
    <x:row r="11620" spans="6:6" x14ac:dyDescent="0.25">
      <x:c r="F11620" s="11"/>
    </x:row>
    <x:row r="11621" spans="6:6" x14ac:dyDescent="0.25">
      <x:c r="F11621" s="11"/>
    </x:row>
    <x:row r="11622" spans="6:6" x14ac:dyDescent="0.25">
      <x:c r="F11622" s="11"/>
    </x:row>
    <x:row r="11623" spans="6:6" x14ac:dyDescent="0.25">
      <x:c r="F11623" s="11"/>
    </x:row>
    <x:row r="11624" spans="6:6" x14ac:dyDescent="0.25">
      <x:c r="F11624" s="11"/>
    </x:row>
    <x:row r="11625" spans="6:6" x14ac:dyDescent="0.25">
      <x:c r="F11625" s="11"/>
    </x:row>
    <x:row r="11626" spans="6:6" x14ac:dyDescent="0.25">
      <x:c r="F11626" s="11"/>
    </x:row>
    <x:row r="11627" spans="6:6" x14ac:dyDescent="0.25">
      <x:c r="F11627" s="11"/>
    </x:row>
    <x:row r="11628" spans="6:6" x14ac:dyDescent="0.25">
      <x:c r="F11628" s="11"/>
    </x:row>
    <x:row r="11629" spans="6:6" x14ac:dyDescent="0.25">
      <x:c r="F11629" s="11"/>
    </x:row>
    <x:row r="11630" spans="6:6" x14ac:dyDescent="0.25">
      <x:c r="F11630" s="11"/>
    </x:row>
    <x:row r="11631" spans="6:6" x14ac:dyDescent="0.25">
      <x:c r="F11631" s="11"/>
    </x:row>
    <x:row r="11632" spans="6:6" x14ac:dyDescent="0.25">
      <x:c r="F11632" s="11"/>
    </x:row>
    <x:row r="11633" spans="6:6" x14ac:dyDescent="0.25">
      <x:c r="F11633" s="11"/>
    </x:row>
    <x:row r="11634" spans="6:6" x14ac:dyDescent="0.25">
      <x:c r="F11634" s="11"/>
    </x:row>
    <x:row r="11635" spans="6:6" x14ac:dyDescent="0.25">
      <x:c r="F11635" s="11"/>
    </x:row>
    <x:row r="11636" spans="6:6" x14ac:dyDescent="0.25">
      <x:c r="F11636" s="11"/>
    </x:row>
    <x:row r="11637" spans="6:6" x14ac:dyDescent="0.25">
      <x:c r="F11637" s="11"/>
    </x:row>
    <x:row r="11638" spans="6:6" x14ac:dyDescent="0.25">
      <x:c r="F11638" s="11"/>
    </x:row>
    <x:row r="11639" spans="6:6" x14ac:dyDescent="0.25">
      <x:c r="F11639" s="11"/>
    </x:row>
    <x:row r="11640" spans="6:6" x14ac:dyDescent="0.25">
      <x:c r="F11640" s="11"/>
    </x:row>
    <x:row r="11641" spans="6:6" x14ac:dyDescent="0.25">
      <x:c r="F11641" s="11"/>
    </x:row>
    <x:row r="11642" spans="6:6" x14ac:dyDescent="0.25">
      <x:c r="F11642" s="11"/>
    </x:row>
    <x:row r="11643" spans="6:6" x14ac:dyDescent="0.25">
      <x:c r="F11643" s="11"/>
    </x:row>
    <x:row r="11644" spans="6:6" x14ac:dyDescent="0.25">
      <x:c r="F11644" s="11"/>
    </x:row>
    <x:row r="11645" spans="6:6" x14ac:dyDescent="0.25">
      <x:c r="F11645" s="11"/>
    </x:row>
    <x:row r="11646" spans="6:6" x14ac:dyDescent="0.25">
      <x:c r="F11646" s="11"/>
    </x:row>
    <x:row r="11647" spans="6:6" x14ac:dyDescent="0.25">
      <x:c r="F11647" s="11"/>
    </x:row>
    <x:row r="11648" spans="6:6" x14ac:dyDescent="0.25">
      <x:c r="F11648" s="11"/>
    </x:row>
    <x:row r="11649" spans="6:6" x14ac:dyDescent="0.25">
      <x:c r="F11649" s="11"/>
    </x:row>
    <x:row r="11650" spans="6:6" x14ac:dyDescent="0.25">
      <x:c r="F11650" s="11"/>
    </x:row>
    <x:row r="11651" spans="6:6" x14ac:dyDescent="0.25">
      <x:c r="F11651" s="11"/>
    </x:row>
    <x:row r="11652" spans="6:6" x14ac:dyDescent="0.25">
      <x:c r="F11652" s="11"/>
    </x:row>
    <x:row r="11653" spans="6:6" x14ac:dyDescent="0.25">
      <x:c r="F11653" s="11"/>
    </x:row>
    <x:row r="11654" spans="6:6" x14ac:dyDescent="0.25">
      <x:c r="F11654" s="11"/>
    </x:row>
    <x:row r="11655" spans="6:6" x14ac:dyDescent="0.25">
      <x:c r="F11655" s="11"/>
    </x:row>
    <x:row r="11656" spans="6:6" x14ac:dyDescent="0.25">
      <x:c r="F11656" s="11"/>
    </x:row>
    <x:row r="11657" spans="6:6" x14ac:dyDescent="0.25">
      <x:c r="F11657" s="11"/>
    </x:row>
    <x:row r="11658" spans="6:6" x14ac:dyDescent="0.25">
      <x:c r="F11658" s="11"/>
    </x:row>
    <x:row r="11659" spans="6:6" x14ac:dyDescent="0.25">
      <x:c r="F11659" s="11"/>
    </x:row>
    <x:row r="11660" spans="6:6" x14ac:dyDescent="0.25">
      <x:c r="F11660" s="11"/>
    </x:row>
    <x:row r="11661" spans="6:6" x14ac:dyDescent="0.25">
      <x:c r="F11661" s="11"/>
    </x:row>
    <x:row r="11662" spans="6:6" x14ac:dyDescent="0.25">
      <x:c r="F11662" s="11"/>
    </x:row>
    <x:row r="11663" spans="6:6" x14ac:dyDescent="0.25">
      <x:c r="F11663" s="11"/>
    </x:row>
    <x:row r="11664" spans="6:6" x14ac:dyDescent="0.25">
      <x:c r="F11664" s="11"/>
    </x:row>
    <x:row r="11665" spans="6:6" x14ac:dyDescent="0.25">
      <x:c r="F11665" s="11"/>
    </x:row>
    <x:row r="11666" spans="6:6" x14ac:dyDescent="0.25">
      <x:c r="F11666" s="11"/>
    </x:row>
    <x:row r="11667" spans="6:6" x14ac:dyDescent="0.25">
      <x:c r="F11667" s="11"/>
    </x:row>
    <x:row r="11668" spans="6:6" x14ac:dyDescent="0.25">
      <x:c r="F11668" s="11"/>
    </x:row>
    <x:row r="11669" spans="6:6" x14ac:dyDescent="0.25">
      <x:c r="F11669" s="11"/>
    </x:row>
    <x:row r="11670" spans="6:6" x14ac:dyDescent="0.25">
      <x:c r="F11670" s="11"/>
    </x:row>
    <x:row r="11671" spans="6:6" x14ac:dyDescent="0.25">
      <x:c r="F11671" s="11"/>
    </x:row>
    <x:row r="11672" spans="6:6" x14ac:dyDescent="0.25">
      <x:c r="F11672" s="11"/>
    </x:row>
    <x:row r="11673" spans="6:6" x14ac:dyDescent="0.25">
      <x:c r="F11673" s="11"/>
    </x:row>
    <x:row r="11674" spans="6:6" x14ac:dyDescent="0.25">
      <x:c r="F11674" s="11"/>
    </x:row>
    <x:row r="11675" spans="6:6" x14ac:dyDescent="0.25">
      <x:c r="F11675" s="11"/>
    </x:row>
    <x:row r="11676" spans="6:6" x14ac:dyDescent="0.25">
      <x:c r="F11676" s="11"/>
    </x:row>
    <x:row r="11677" spans="6:6" x14ac:dyDescent="0.25">
      <x:c r="F11677" s="11"/>
    </x:row>
    <x:row r="11678" spans="6:6" x14ac:dyDescent="0.25">
      <x:c r="F11678" s="11"/>
    </x:row>
    <x:row r="11679" spans="6:6" x14ac:dyDescent="0.25">
      <x:c r="F11679" s="11"/>
    </x:row>
    <x:row r="11680" spans="6:6" x14ac:dyDescent="0.25">
      <x:c r="F11680" s="11"/>
    </x:row>
    <x:row r="11681" spans="6:6" x14ac:dyDescent="0.25">
      <x:c r="F11681" s="11"/>
    </x:row>
    <x:row r="11682" spans="6:6" x14ac:dyDescent="0.25">
      <x:c r="F11682" s="11"/>
    </x:row>
    <x:row r="11683" spans="6:6" x14ac:dyDescent="0.25">
      <x:c r="F11683" s="11"/>
    </x:row>
    <x:row r="11684" spans="6:6" x14ac:dyDescent="0.25">
      <x:c r="F11684" s="11"/>
    </x:row>
    <x:row r="11685" spans="6:6" x14ac:dyDescent="0.25">
      <x:c r="F11685" s="11"/>
    </x:row>
    <x:row r="11686" spans="6:6" x14ac:dyDescent="0.25">
      <x:c r="F11686" s="11"/>
    </x:row>
    <x:row r="11687" spans="6:6" x14ac:dyDescent="0.25">
      <x:c r="F11687" s="11"/>
    </x:row>
    <x:row r="11688" spans="6:6" x14ac:dyDescent="0.25">
      <x:c r="F11688" s="11"/>
    </x:row>
    <x:row r="11689" spans="6:6" x14ac:dyDescent="0.25">
      <x:c r="F11689" s="11"/>
    </x:row>
    <x:row r="11690" spans="6:6" x14ac:dyDescent="0.25">
      <x:c r="F11690" s="11"/>
    </x:row>
    <x:row r="11691" spans="6:6" x14ac:dyDescent="0.25">
      <x:c r="F11691" s="11"/>
    </x:row>
    <x:row r="11692" spans="6:6" x14ac:dyDescent="0.25">
      <x:c r="F11692" s="11"/>
    </x:row>
    <x:row r="11693" spans="6:6" x14ac:dyDescent="0.25">
      <x:c r="F11693" s="11"/>
    </x:row>
    <x:row r="11694" spans="6:6" x14ac:dyDescent="0.25">
      <x:c r="F11694" s="11"/>
    </x:row>
    <x:row r="11695" spans="6:6" x14ac:dyDescent="0.25">
      <x:c r="F11695" s="11"/>
    </x:row>
    <x:row r="11696" spans="6:6" x14ac:dyDescent="0.25">
      <x:c r="F11696" s="11"/>
    </x:row>
    <x:row r="11697" spans="6:6" x14ac:dyDescent="0.25">
      <x:c r="F11697" s="11"/>
    </x:row>
    <x:row r="11698" spans="6:6" x14ac:dyDescent="0.25">
      <x:c r="F11698" s="11"/>
    </x:row>
    <x:row r="11699" spans="6:6" x14ac:dyDescent="0.25">
      <x:c r="F11699" s="11"/>
    </x:row>
    <x:row r="11700" spans="6:6" x14ac:dyDescent="0.25">
      <x:c r="F11700" s="11"/>
    </x:row>
    <x:row r="11701" spans="6:6" x14ac:dyDescent="0.25">
      <x:c r="F11701" s="11"/>
    </x:row>
    <x:row r="11702" spans="6:6" x14ac:dyDescent="0.25">
      <x:c r="F11702" s="11"/>
    </x:row>
    <x:row r="11703" spans="6:6" x14ac:dyDescent="0.25">
      <x:c r="F11703" s="11"/>
    </x:row>
    <x:row r="11704" spans="6:6" x14ac:dyDescent="0.25">
      <x:c r="F11704" s="11"/>
    </x:row>
    <x:row r="11705" spans="6:6" x14ac:dyDescent="0.25">
      <x:c r="F11705" s="11"/>
    </x:row>
    <x:row r="11706" spans="6:6" x14ac:dyDescent="0.25">
      <x:c r="F11706" s="11"/>
    </x:row>
    <x:row r="11707" spans="6:6" x14ac:dyDescent="0.25">
      <x:c r="F11707" s="11"/>
    </x:row>
    <x:row r="11708" spans="6:6" x14ac:dyDescent="0.25">
      <x:c r="F11708" s="11"/>
    </x:row>
    <x:row r="11709" spans="6:6" x14ac:dyDescent="0.25">
      <x:c r="F11709" s="11"/>
    </x:row>
    <x:row r="11710" spans="6:6" x14ac:dyDescent="0.25">
      <x:c r="F11710" s="11"/>
    </x:row>
    <x:row r="11711" spans="6:6" x14ac:dyDescent="0.25">
      <x:c r="F11711" s="11"/>
    </x:row>
    <x:row r="11712" spans="6:6" x14ac:dyDescent="0.25">
      <x:c r="F11712" s="11"/>
    </x:row>
    <x:row r="11713" spans="6:6" x14ac:dyDescent="0.25">
      <x:c r="F11713" s="11"/>
    </x:row>
    <x:row r="11714" spans="6:6" x14ac:dyDescent="0.25">
      <x:c r="F11714" s="11"/>
    </x:row>
    <x:row r="11715" spans="6:6" x14ac:dyDescent="0.25">
      <x:c r="F11715" s="11"/>
    </x:row>
    <x:row r="11716" spans="6:6" x14ac:dyDescent="0.25">
      <x:c r="F11716" s="11"/>
    </x:row>
    <x:row r="11717" spans="6:6" x14ac:dyDescent="0.25">
      <x:c r="F11717" s="11"/>
    </x:row>
    <x:row r="11718" spans="6:6" x14ac:dyDescent="0.25">
      <x:c r="F11718" s="11"/>
    </x:row>
    <x:row r="11719" spans="6:6" x14ac:dyDescent="0.25">
      <x:c r="F11719" s="11"/>
    </x:row>
    <x:row r="11720" spans="6:6" x14ac:dyDescent="0.25">
      <x:c r="F11720" s="11"/>
    </x:row>
    <x:row r="11721" spans="6:6" x14ac:dyDescent="0.25">
      <x:c r="F11721" s="11"/>
    </x:row>
    <x:row r="11722" spans="6:6" x14ac:dyDescent="0.25">
      <x:c r="F11722" s="11"/>
    </x:row>
    <x:row r="11723" spans="6:6" x14ac:dyDescent="0.25">
      <x:c r="F11723" s="11"/>
    </x:row>
    <x:row r="11724" spans="6:6" x14ac:dyDescent="0.25">
      <x:c r="F11724" s="11"/>
    </x:row>
    <x:row r="11725" spans="6:6" x14ac:dyDescent="0.25">
      <x:c r="F11725" s="11"/>
    </x:row>
    <x:row r="11726" spans="6:6" x14ac:dyDescent="0.25">
      <x:c r="F11726" s="11"/>
    </x:row>
    <x:row r="11727" spans="6:6" x14ac:dyDescent="0.25">
      <x:c r="F11727" s="11"/>
    </x:row>
    <x:row r="11728" spans="6:6" x14ac:dyDescent="0.25">
      <x:c r="F11728" s="11"/>
    </x:row>
    <x:row r="11729" spans="6:6" x14ac:dyDescent="0.25">
      <x:c r="F11729" s="11"/>
    </x:row>
    <x:row r="11730" spans="6:6" x14ac:dyDescent="0.25">
      <x:c r="F11730" s="11"/>
    </x:row>
    <x:row r="11731" spans="6:6" x14ac:dyDescent="0.25">
      <x:c r="F11731" s="11"/>
    </x:row>
    <x:row r="11732" spans="6:6" x14ac:dyDescent="0.25">
      <x:c r="F11732" s="11"/>
    </x:row>
    <x:row r="11733" spans="6:6" x14ac:dyDescent="0.25">
      <x:c r="F11733" s="11"/>
    </x:row>
    <x:row r="11734" spans="6:6" x14ac:dyDescent="0.25">
      <x:c r="F11734" s="11"/>
    </x:row>
    <x:row r="11735" spans="6:6" x14ac:dyDescent="0.25">
      <x:c r="F11735" s="11"/>
    </x:row>
    <x:row r="11736" spans="6:6" x14ac:dyDescent="0.25">
      <x:c r="F11736" s="11"/>
    </x:row>
    <x:row r="11737" spans="6:6" x14ac:dyDescent="0.25">
      <x:c r="F11737" s="11"/>
    </x:row>
    <x:row r="11738" spans="6:6" x14ac:dyDescent="0.25">
      <x:c r="F11738" s="11"/>
    </x:row>
    <x:row r="11739" spans="6:6" x14ac:dyDescent="0.25">
      <x:c r="F11739" s="11"/>
    </x:row>
    <x:row r="11740" spans="6:6" x14ac:dyDescent="0.25">
      <x:c r="F11740" s="11"/>
    </x:row>
    <x:row r="11741" spans="6:6" x14ac:dyDescent="0.25">
      <x:c r="F11741" s="11"/>
    </x:row>
    <x:row r="11742" spans="6:6" x14ac:dyDescent="0.25">
      <x:c r="F11742" s="11"/>
    </x:row>
    <x:row r="11743" spans="6:6" x14ac:dyDescent="0.25">
      <x:c r="F11743" s="11"/>
    </x:row>
    <x:row r="11744" spans="6:6" x14ac:dyDescent="0.25">
      <x:c r="F11744" s="11"/>
    </x:row>
    <x:row r="11745" spans="6:6" x14ac:dyDescent="0.25">
      <x:c r="F11745" s="11"/>
    </x:row>
    <x:row r="11746" spans="6:6" x14ac:dyDescent="0.25">
      <x:c r="F11746" s="11"/>
    </x:row>
    <x:row r="11747" spans="6:6" x14ac:dyDescent="0.25">
      <x:c r="F11747" s="11"/>
    </x:row>
    <x:row r="11748" spans="6:6" x14ac:dyDescent="0.25">
      <x:c r="F11748" s="11"/>
    </x:row>
    <x:row r="11749" spans="6:6" x14ac:dyDescent="0.25">
      <x:c r="F11749" s="11"/>
    </x:row>
    <x:row r="11750" spans="6:6" x14ac:dyDescent="0.25">
      <x:c r="F11750" s="11"/>
    </x:row>
    <x:row r="11751" spans="6:6" x14ac:dyDescent="0.25">
      <x:c r="F11751" s="11"/>
    </x:row>
    <x:row r="11752" spans="6:6" x14ac:dyDescent="0.25">
      <x:c r="F11752" s="11"/>
    </x:row>
    <x:row r="11753" spans="6:6" x14ac:dyDescent="0.25">
      <x:c r="F11753" s="11"/>
    </x:row>
    <x:row r="11754" spans="6:6" x14ac:dyDescent="0.25">
      <x:c r="F11754" s="11"/>
    </x:row>
    <x:row r="11755" spans="6:6" x14ac:dyDescent="0.25">
      <x:c r="F11755" s="11"/>
    </x:row>
    <x:row r="11756" spans="6:6" x14ac:dyDescent="0.25">
      <x:c r="F11756" s="11"/>
    </x:row>
    <x:row r="11757" spans="6:6" x14ac:dyDescent="0.25">
      <x:c r="F11757" s="11"/>
    </x:row>
    <x:row r="11758" spans="6:6" x14ac:dyDescent="0.25">
      <x:c r="F11758" s="11"/>
    </x:row>
    <x:row r="11759" spans="6:6" x14ac:dyDescent="0.25">
      <x:c r="F11759" s="11"/>
    </x:row>
    <x:row r="11760" spans="6:6" x14ac:dyDescent="0.25">
      <x:c r="F11760" s="11"/>
    </x:row>
    <x:row r="11761" spans="6:6" x14ac:dyDescent="0.25">
      <x:c r="F11761" s="11"/>
    </x:row>
    <x:row r="11762" spans="6:6" x14ac:dyDescent="0.25">
      <x:c r="F11762" s="11"/>
    </x:row>
    <x:row r="11763" spans="6:6" x14ac:dyDescent="0.25">
      <x:c r="F11763" s="11"/>
    </x:row>
    <x:row r="11764" spans="6:6" x14ac:dyDescent="0.25">
      <x:c r="F11764" s="11"/>
    </x:row>
    <x:row r="11765" spans="6:6" x14ac:dyDescent="0.25">
      <x:c r="F11765" s="11"/>
    </x:row>
    <x:row r="11766" spans="6:6" x14ac:dyDescent="0.25">
      <x:c r="F11766" s="11"/>
    </x:row>
    <x:row r="11767" spans="6:6" x14ac:dyDescent="0.25">
      <x:c r="F11767" s="11"/>
    </x:row>
    <x:row r="11768" spans="6:6" x14ac:dyDescent="0.25">
      <x:c r="F11768" s="11"/>
    </x:row>
    <x:row r="11769" spans="6:6" x14ac:dyDescent="0.25">
      <x:c r="F11769" s="11"/>
    </x:row>
    <x:row r="11770" spans="6:6" x14ac:dyDescent="0.25">
      <x:c r="F11770" s="11"/>
    </x:row>
    <x:row r="11771" spans="6:6" x14ac:dyDescent="0.25">
      <x:c r="F11771" s="11"/>
    </x:row>
    <x:row r="11772" spans="6:6" x14ac:dyDescent="0.25">
      <x:c r="F11772" s="11"/>
    </x:row>
    <x:row r="11773" spans="6:6" x14ac:dyDescent="0.25">
      <x:c r="F11773" s="11"/>
    </x:row>
    <x:row r="11774" spans="6:6" x14ac:dyDescent="0.25">
      <x:c r="F11774" s="11"/>
    </x:row>
    <x:row r="11775" spans="6:6" x14ac:dyDescent="0.25">
      <x:c r="F11775" s="11"/>
    </x:row>
    <x:row r="11776" spans="6:6" x14ac:dyDescent="0.25">
      <x:c r="F11776" s="11"/>
    </x:row>
    <x:row r="11777" spans="6:6" x14ac:dyDescent="0.25">
      <x:c r="F11777" s="11"/>
    </x:row>
    <x:row r="11778" spans="6:6" x14ac:dyDescent="0.25">
      <x:c r="F11778" s="11"/>
    </x:row>
    <x:row r="11779" spans="6:6" x14ac:dyDescent="0.25">
      <x:c r="F11779" s="11"/>
    </x:row>
    <x:row r="11780" spans="6:6" x14ac:dyDescent="0.25">
      <x:c r="F11780" s="11"/>
    </x:row>
    <x:row r="11781" spans="6:6" x14ac:dyDescent="0.25">
      <x:c r="F11781" s="11"/>
    </x:row>
    <x:row r="11782" spans="6:6" x14ac:dyDescent="0.25">
      <x:c r="F11782" s="11"/>
    </x:row>
    <x:row r="11783" spans="6:6" x14ac:dyDescent="0.25">
      <x:c r="F11783" s="11"/>
    </x:row>
    <x:row r="11784" spans="6:6" x14ac:dyDescent="0.25">
      <x:c r="F11784" s="11"/>
    </x:row>
    <x:row r="11785" spans="6:6" x14ac:dyDescent="0.25">
      <x:c r="F11785" s="11"/>
    </x:row>
    <x:row r="11786" spans="6:6" x14ac:dyDescent="0.25">
      <x:c r="F11786" s="11"/>
    </x:row>
    <x:row r="11787" spans="6:6" x14ac:dyDescent="0.25">
      <x:c r="F11787" s="11"/>
    </x:row>
    <x:row r="11788" spans="6:6" x14ac:dyDescent="0.25">
      <x:c r="F11788" s="11"/>
    </x:row>
    <x:row r="11789" spans="6:6" x14ac:dyDescent="0.25">
      <x:c r="F11789" s="11"/>
    </x:row>
    <x:row r="11790" spans="6:6" x14ac:dyDescent="0.25">
      <x:c r="F11790" s="11"/>
    </x:row>
    <x:row r="11791" spans="6:6" x14ac:dyDescent="0.25">
      <x:c r="F11791" s="11"/>
    </x:row>
    <x:row r="11792" spans="6:6" x14ac:dyDescent="0.25">
      <x:c r="F11792" s="11"/>
    </x:row>
    <x:row r="11793" spans="6:6" x14ac:dyDescent="0.25">
      <x:c r="F11793" s="11"/>
    </x:row>
    <x:row r="11794" spans="6:6" x14ac:dyDescent="0.25">
      <x:c r="F11794" s="11"/>
    </x:row>
    <x:row r="11795" spans="6:6" x14ac:dyDescent="0.25">
      <x:c r="F11795" s="11"/>
    </x:row>
    <x:row r="11796" spans="6:6" x14ac:dyDescent="0.25">
      <x:c r="F11796" s="11"/>
    </x:row>
    <x:row r="11797" spans="6:6" x14ac:dyDescent="0.25">
      <x:c r="F11797" s="11"/>
    </x:row>
    <x:row r="11798" spans="6:6" x14ac:dyDescent="0.25">
      <x:c r="F11798" s="11"/>
    </x:row>
    <x:row r="11799" spans="6:6" x14ac:dyDescent="0.25">
      <x:c r="F11799" s="11"/>
    </x:row>
    <x:row r="11800" spans="6:6" x14ac:dyDescent="0.25">
      <x:c r="F11800" s="11"/>
    </x:row>
    <x:row r="11801" spans="6:6" x14ac:dyDescent="0.25">
      <x:c r="F11801" s="11"/>
    </x:row>
    <x:row r="11802" spans="6:6" x14ac:dyDescent="0.25">
      <x:c r="F11802" s="11"/>
    </x:row>
    <x:row r="11803" spans="6:6" x14ac:dyDescent="0.25">
      <x:c r="F11803" s="11"/>
    </x:row>
    <x:row r="11804" spans="6:6" x14ac:dyDescent="0.25">
      <x:c r="F11804" s="11"/>
    </x:row>
    <x:row r="11805" spans="6:6" x14ac:dyDescent="0.25">
      <x:c r="F11805" s="11"/>
    </x:row>
    <x:row r="11806" spans="6:6" x14ac:dyDescent="0.25">
      <x:c r="F11806" s="11"/>
    </x:row>
    <x:row r="11807" spans="6:6" x14ac:dyDescent="0.25">
      <x:c r="F11807" s="11"/>
    </x:row>
    <x:row r="11808" spans="6:6" x14ac:dyDescent="0.25">
      <x:c r="F11808" s="11"/>
    </x:row>
    <x:row r="11809" spans="6:6" x14ac:dyDescent="0.25">
      <x:c r="F11809" s="11"/>
    </x:row>
    <x:row r="11810" spans="6:6" x14ac:dyDescent="0.25">
      <x:c r="F11810" s="11"/>
    </x:row>
    <x:row r="11811" spans="6:6" x14ac:dyDescent="0.25">
      <x:c r="F11811" s="11"/>
    </x:row>
    <x:row r="11812" spans="6:6" x14ac:dyDescent="0.25">
      <x:c r="F11812" s="11"/>
    </x:row>
    <x:row r="11813" spans="6:6" x14ac:dyDescent="0.25">
      <x:c r="F11813" s="11"/>
    </x:row>
    <x:row r="11814" spans="6:6" x14ac:dyDescent="0.25">
      <x:c r="F11814" s="11"/>
    </x:row>
    <x:row r="11815" spans="6:6" x14ac:dyDescent="0.25">
      <x:c r="F11815" s="11"/>
    </x:row>
    <x:row r="11816" spans="6:6" x14ac:dyDescent="0.25">
      <x:c r="F11816" s="11"/>
    </x:row>
    <x:row r="11817" spans="6:6" x14ac:dyDescent="0.25">
      <x:c r="F11817" s="11"/>
    </x:row>
    <x:row r="11818" spans="6:6" x14ac:dyDescent="0.25">
      <x:c r="F11818" s="11"/>
    </x:row>
    <x:row r="11819" spans="6:6" x14ac:dyDescent="0.25">
      <x:c r="F11819" s="11"/>
    </x:row>
    <x:row r="11820" spans="6:6" x14ac:dyDescent="0.25">
      <x:c r="F11820" s="11"/>
    </x:row>
    <x:row r="11821" spans="6:6" x14ac:dyDescent="0.25">
      <x:c r="F11821" s="11"/>
    </x:row>
    <x:row r="11822" spans="6:6" x14ac:dyDescent="0.25">
      <x:c r="F11822" s="11"/>
    </x:row>
    <x:row r="11823" spans="6:6" x14ac:dyDescent="0.25">
      <x:c r="F11823" s="11"/>
    </x:row>
    <x:row r="11824" spans="6:6" x14ac:dyDescent="0.25">
      <x:c r="F11824" s="11"/>
    </x:row>
    <x:row r="11825" spans="6:6" x14ac:dyDescent="0.25">
      <x:c r="F11825" s="11"/>
    </x:row>
    <x:row r="11826" spans="6:6" x14ac:dyDescent="0.25">
      <x:c r="F11826" s="11"/>
    </x:row>
    <x:row r="11827" spans="6:6" x14ac:dyDescent="0.25">
      <x:c r="F11827" s="11"/>
    </x:row>
    <x:row r="11828" spans="6:6" x14ac:dyDescent="0.25">
      <x:c r="F11828" s="11"/>
    </x:row>
    <x:row r="11829" spans="6:6" x14ac:dyDescent="0.25">
      <x:c r="F11829" s="11"/>
    </x:row>
    <x:row r="11830" spans="6:6" x14ac:dyDescent="0.25">
      <x:c r="F11830" s="11"/>
    </x:row>
    <x:row r="11831" spans="6:6" x14ac:dyDescent="0.25">
      <x:c r="F11831" s="11"/>
    </x:row>
    <x:row r="11832" spans="6:6" x14ac:dyDescent="0.25">
      <x:c r="F11832" s="11"/>
    </x:row>
    <x:row r="11833" spans="6:6" x14ac:dyDescent="0.25">
      <x:c r="F11833" s="11"/>
    </x:row>
    <x:row r="11834" spans="6:6" x14ac:dyDescent="0.25">
      <x:c r="F11834" s="11"/>
    </x:row>
    <x:row r="11835" spans="6:6" x14ac:dyDescent="0.25">
      <x:c r="F11835" s="11"/>
    </x:row>
    <x:row r="11836" spans="6:6" x14ac:dyDescent="0.25">
      <x:c r="F11836" s="11"/>
    </x:row>
    <x:row r="11837" spans="6:6" x14ac:dyDescent="0.25">
      <x:c r="F11837" s="11"/>
    </x:row>
    <x:row r="11838" spans="6:6" x14ac:dyDescent="0.25">
      <x:c r="F11838" s="11"/>
    </x:row>
    <x:row r="11839" spans="6:6" x14ac:dyDescent="0.25">
      <x:c r="F11839" s="11"/>
    </x:row>
    <x:row r="11840" spans="6:6" x14ac:dyDescent="0.25">
      <x:c r="F11840" s="11"/>
    </x:row>
    <x:row r="11841" spans="6:6" x14ac:dyDescent="0.25">
      <x:c r="F11841" s="11"/>
    </x:row>
    <x:row r="11842" spans="6:6" x14ac:dyDescent="0.25">
      <x:c r="F11842" s="11"/>
    </x:row>
    <x:row r="11843" spans="6:6" x14ac:dyDescent="0.25">
      <x:c r="F11843" s="11"/>
    </x:row>
    <x:row r="11844" spans="6:6" x14ac:dyDescent="0.25">
      <x:c r="F11844" s="11"/>
    </x:row>
    <x:row r="11845" spans="6:6" x14ac:dyDescent="0.25">
      <x:c r="F11845" s="11"/>
    </x:row>
    <x:row r="11846" spans="6:6" x14ac:dyDescent="0.25">
      <x:c r="F11846" s="11"/>
    </x:row>
    <x:row r="11847" spans="6:6" x14ac:dyDescent="0.25">
      <x:c r="F11847" s="11"/>
    </x:row>
    <x:row r="11848" spans="6:6" x14ac:dyDescent="0.25">
      <x:c r="F11848" s="11"/>
    </x:row>
    <x:row r="11849" spans="6:6" x14ac:dyDescent="0.25">
      <x:c r="F11849" s="11"/>
    </x:row>
    <x:row r="11850" spans="6:6" x14ac:dyDescent="0.25">
      <x:c r="F11850" s="11"/>
    </x:row>
    <x:row r="11851" spans="6:6" x14ac:dyDescent="0.25">
      <x:c r="F11851" s="11"/>
    </x:row>
    <x:row r="11852" spans="6:6" x14ac:dyDescent="0.25">
      <x:c r="F11852" s="11"/>
    </x:row>
    <x:row r="11853" spans="6:6" x14ac:dyDescent="0.25">
      <x:c r="F11853" s="11"/>
    </x:row>
    <x:row r="11854" spans="6:6" x14ac:dyDescent="0.25">
      <x:c r="F11854" s="11"/>
    </x:row>
    <x:row r="11855" spans="6:6" x14ac:dyDescent="0.25">
      <x:c r="F11855" s="11"/>
    </x:row>
    <x:row r="11856" spans="6:6" x14ac:dyDescent="0.25">
      <x:c r="F11856" s="11"/>
    </x:row>
    <x:row r="11857" spans="6:6" x14ac:dyDescent="0.25">
      <x:c r="F11857" s="11"/>
    </x:row>
    <x:row r="11858" spans="6:6" x14ac:dyDescent="0.25">
      <x:c r="F11858" s="11"/>
    </x:row>
    <x:row r="11859" spans="6:6" x14ac:dyDescent="0.25">
      <x:c r="F11859" s="11"/>
    </x:row>
    <x:row r="11860" spans="6:6" x14ac:dyDescent="0.25">
      <x:c r="F11860" s="11"/>
    </x:row>
    <x:row r="11861" spans="6:6" x14ac:dyDescent="0.25">
      <x:c r="F11861" s="11"/>
    </x:row>
    <x:row r="11862" spans="6:6" x14ac:dyDescent="0.25">
      <x:c r="F11862" s="11"/>
    </x:row>
    <x:row r="11863" spans="6:6" x14ac:dyDescent="0.25">
      <x:c r="F11863" s="11"/>
    </x:row>
    <x:row r="11864" spans="6:6" x14ac:dyDescent="0.25">
      <x:c r="F11864" s="11"/>
    </x:row>
    <x:row r="11865" spans="6:6" x14ac:dyDescent="0.25">
      <x:c r="F11865" s="11"/>
    </x:row>
    <x:row r="11866" spans="6:6" x14ac:dyDescent="0.25">
      <x:c r="F11866" s="11"/>
    </x:row>
    <x:row r="11867" spans="6:6" x14ac:dyDescent="0.25">
      <x:c r="F11867" s="11"/>
    </x:row>
    <x:row r="11868" spans="6:6" x14ac:dyDescent="0.25">
      <x:c r="F11868" s="11"/>
    </x:row>
    <x:row r="11869" spans="6:6" x14ac:dyDescent="0.25">
      <x:c r="F11869" s="11"/>
    </x:row>
    <x:row r="11870" spans="6:6" x14ac:dyDescent="0.25">
      <x:c r="F11870" s="11"/>
    </x:row>
    <x:row r="11871" spans="6:6" x14ac:dyDescent="0.25">
      <x:c r="F11871" s="11"/>
    </x:row>
    <x:row r="11872" spans="6:6" x14ac:dyDescent="0.25">
      <x:c r="F11872" s="11"/>
    </x:row>
    <x:row r="11873" spans="6:6" x14ac:dyDescent="0.25">
      <x:c r="F11873" s="11"/>
    </x:row>
    <x:row r="11874" spans="6:6" x14ac:dyDescent="0.25">
      <x:c r="F11874" s="11"/>
    </x:row>
    <x:row r="11875" spans="6:6" x14ac:dyDescent="0.25">
      <x:c r="F11875" s="11"/>
    </x:row>
    <x:row r="11876" spans="6:6" x14ac:dyDescent="0.25">
      <x:c r="F11876" s="11"/>
    </x:row>
    <x:row r="11877" spans="6:6" x14ac:dyDescent="0.25">
      <x:c r="F11877" s="11"/>
    </x:row>
    <x:row r="11878" spans="6:6" x14ac:dyDescent="0.25">
      <x:c r="F11878" s="11"/>
    </x:row>
    <x:row r="11879" spans="6:6" x14ac:dyDescent="0.25">
      <x:c r="F11879" s="11"/>
    </x:row>
    <x:row r="11880" spans="6:6" x14ac:dyDescent="0.25">
      <x:c r="F11880" s="11"/>
    </x:row>
    <x:row r="11881" spans="6:6" x14ac:dyDescent="0.25">
      <x:c r="F11881" s="11"/>
    </x:row>
    <x:row r="11882" spans="6:6" x14ac:dyDescent="0.25">
      <x:c r="F11882" s="11"/>
    </x:row>
    <x:row r="11883" spans="6:6" x14ac:dyDescent="0.25">
      <x:c r="F11883" s="11"/>
    </x:row>
    <x:row r="11884" spans="6:6" x14ac:dyDescent="0.25">
      <x:c r="F11884" s="11"/>
    </x:row>
    <x:row r="11885" spans="6:6" x14ac:dyDescent="0.25">
      <x:c r="F11885" s="11"/>
    </x:row>
    <x:row r="11886" spans="6:6" x14ac:dyDescent="0.25">
      <x:c r="F11886" s="11"/>
    </x:row>
    <x:row r="11887" spans="6:6" x14ac:dyDescent="0.25">
      <x:c r="F11887" s="11"/>
    </x:row>
    <x:row r="11888" spans="6:6" x14ac:dyDescent="0.25">
      <x:c r="F11888" s="11"/>
    </x:row>
    <x:row r="11889" spans="6:6" x14ac:dyDescent="0.25">
      <x:c r="F11889" s="11"/>
    </x:row>
    <x:row r="11890" spans="6:6" x14ac:dyDescent="0.25">
      <x:c r="F11890" s="11"/>
    </x:row>
    <x:row r="11891" spans="6:6" x14ac:dyDescent="0.25">
      <x:c r="F11891" s="11"/>
    </x:row>
    <x:row r="11892" spans="6:6" x14ac:dyDescent="0.25">
      <x:c r="F11892" s="11"/>
    </x:row>
    <x:row r="11893" spans="6:6" x14ac:dyDescent="0.25">
      <x:c r="F11893" s="11"/>
    </x:row>
    <x:row r="11894" spans="6:6" x14ac:dyDescent="0.25">
      <x:c r="F11894" s="11"/>
    </x:row>
    <x:row r="11895" spans="6:6" x14ac:dyDescent="0.25">
      <x:c r="F11895" s="11"/>
    </x:row>
    <x:row r="11896" spans="6:6" x14ac:dyDescent="0.25">
      <x:c r="F11896" s="11"/>
    </x:row>
    <x:row r="11897" spans="6:6" x14ac:dyDescent="0.25">
      <x:c r="F11897" s="11"/>
    </x:row>
    <x:row r="11898" spans="6:6" x14ac:dyDescent="0.25">
      <x:c r="F11898" s="11"/>
    </x:row>
    <x:row r="11899" spans="6:6" x14ac:dyDescent="0.25">
      <x:c r="F11899" s="11"/>
    </x:row>
    <x:row r="11900" spans="6:6" x14ac:dyDescent="0.25">
      <x:c r="F11900" s="11"/>
    </x:row>
    <x:row r="11901" spans="6:6" x14ac:dyDescent="0.25">
      <x:c r="F11901" s="11"/>
    </x:row>
    <x:row r="11902" spans="6:6" x14ac:dyDescent="0.25">
      <x:c r="F11902" s="11"/>
    </x:row>
    <x:row r="11903" spans="6:6" x14ac:dyDescent="0.25">
      <x:c r="F11903" s="11"/>
    </x:row>
    <x:row r="11904" spans="6:6" x14ac:dyDescent="0.25">
      <x:c r="F11904" s="11"/>
    </x:row>
    <x:row r="11905" spans="6:6" x14ac:dyDescent="0.25">
      <x:c r="F11905" s="11"/>
    </x:row>
    <x:row r="11906" spans="6:6" x14ac:dyDescent="0.25">
      <x:c r="F11906" s="11"/>
    </x:row>
    <x:row r="11907" spans="6:6" x14ac:dyDescent="0.25">
      <x:c r="F11907" s="11"/>
    </x:row>
    <x:row r="11908" spans="6:6" x14ac:dyDescent="0.25">
      <x:c r="F11908" s="11"/>
    </x:row>
    <x:row r="11909" spans="6:6" x14ac:dyDescent="0.25">
      <x:c r="F11909" s="11"/>
    </x:row>
    <x:row r="11910" spans="6:6" x14ac:dyDescent="0.25">
      <x:c r="F11910" s="11"/>
    </x:row>
    <x:row r="11911" spans="6:6" x14ac:dyDescent="0.25">
      <x:c r="F11911" s="11"/>
    </x:row>
    <x:row r="11912" spans="6:6" x14ac:dyDescent="0.25">
      <x:c r="F11912" s="11"/>
    </x:row>
    <x:row r="11913" spans="6:6" x14ac:dyDescent="0.25">
      <x:c r="F11913" s="11"/>
    </x:row>
    <x:row r="11914" spans="6:6" x14ac:dyDescent="0.25">
      <x:c r="F11914" s="11"/>
    </x:row>
    <x:row r="11915" spans="6:6" x14ac:dyDescent="0.25">
      <x:c r="F11915" s="11"/>
    </x:row>
    <x:row r="11916" spans="6:6" x14ac:dyDescent="0.25">
      <x:c r="F11916" s="11"/>
    </x:row>
    <x:row r="11917" spans="6:6" x14ac:dyDescent="0.25">
      <x:c r="F11917" s="11"/>
    </x:row>
    <x:row r="11918" spans="6:6" x14ac:dyDescent="0.25">
      <x:c r="F11918" s="11"/>
    </x:row>
    <x:row r="11919" spans="6:6" x14ac:dyDescent="0.25">
      <x:c r="F11919" s="11"/>
    </x:row>
    <x:row r="11920" spans="6:6" x14ac:dyDescent="0.25">
      <x:c r="F11920" s="11"/>
    </x:row>
    <x:row r="11921" spans="6:6" x14ac:dyDescent="0.25">
      <x:c r="F11921" s="11"/>
    </x:row>
    <x:row r="11922" spans="6:6" x14ac:dyDescent="0.25">
      <x:c r="F11922" s="11"/>
    </x:row>
    <x:row r="11923" spans="6:6" x14ac:dyDescent="0.25">
      <x:c r="F11923" s="11"/>
    </x:row>
    <x:row r="11924" spans="6:6" x14ac:dyDescent="0.25">
      <x:c r="F11924" s="11"/>
    </x:row>
    <x:row r="11925" spans="6:6" x14ac:dyDescent="0.25">
      <x:c r="F11925" s="11"/>
    </x:row>
    <x:row r="11926" spans="6:6" x14ac:dyDescent="0.25">
      <x:c r="F11926" s="11"/>
    </x:row>
    <x:row r="11927" spans="6:6" x14ac:dyDescent="0.25">
      <x:c r="F11927" s="11"/>
    </x:row>
    <x:row r="11928" spans="6:6" x14ac:dyDescent="0.25">
      <x:c r="F11928" s="11"/>
    </x:row>
    <x:row r="11929" spans="6:6" x14ac:dyDescent="0.25">
      <x:c r="F11929" s="11"/>
    </x:row>
    <x:row r="11930" spans="6:6" x14ac:dyDescent="0.25">
      <x:c r="F11930" s="11"/>
    </x:row>
    <x:row r="11931" spans="6:6" x14ac:dyDescent="0.25">
      <x:c r="F11931" s="11"/>
    </x:row>
    <x:row r="11932" spans="6:6" x14ac:dyDescent="0.25">
      <x:c r="F11932" s="11"/>
    </x:row>
    <x:row r="11933" spans="6:6" x14ac:dyDescent="0.25">
      <x:c r="F11933" s="11"/>
    </x:row>
    <x:row r="11934" spans="6:6" x14ac:dyDescent="0.25">
      <x:c r="F11934" s="11"/>
    </x:row>
    <x:row r="11935" spans="6:6" x14ac:dyDescent="0.25">
      <x:c r="F11935" s="11"/>
    </x:row>
    <x:row r="11936" spans="6:6" x14ac:dyDescent="0.25">
      <x:c r="F11936" s="11"/>
    </x:row>
    <x:row r="11937" spans="6:6" x14ac:dyDescent="0.25">
      <x:c r="F11937" s="11"/>
    </x:row>
    <x:row r="11938" spans="6:6" x14ac:dyDescent="0.25">
      <x:c r="F11938" s="11"/>
    </x:row>
    <x:row r="11939" spans="6:6" x14ac:dyDescent="0.25">
      <x:c r="F11939" s="11"/>
    </x:row>
    <x:row r="11940" spans="6:6" x14ac:dyDescent="0.25">
      <x:c r="F11940" s="11"/>
    </x:row>
    <x:row r="11941" spans="6:6" x14ac:dyDescent="0.25">
      <x:c r="F11941" s="11"/>
    </x:row>
    <x:row r="11942" spans="6:6" x14ac:dyDescent="0.25">
      <x:c r="F11942" s="11"/>
    </x:row>
    <x:row r="11943" spans="6:6" x14ac:dyDescent="0.25">
      <x:c r="F11943" s="11"/>
    </x:row>
    <x:row r="11944" spans="6:6" x14ac:dyDescent="0.25">
      <x:c r="F11944" s="11"/>
    </x:row>
    <x:row r="11945" spans="6:6" x14ac:dyDescent="0.25">
      <x:c r="F11945" s="11"/>
    </x:row>
    <x:row r="11946" spans="6:6" x14ac:dyDescent="0.25">
      <x:c r="F11946" s="11"/>
    </x:row>
    <x:row r="11947" spans="6:6" x14ac:dyDescent="0.25">
      <x:c r="F11947" s="11"/>
    </x:row>
    <x:row r="11948" spans="6:6" x14ac:dyDescent="0.25">
      <x:c r="F11948" s="11"/>
    </x:row>
    <x:row r="11949" spans="6:6" x14ac:dyDescent="0.25">
      <x:c r="F11949" s="11"/>
    </x:row>
    <x:row r="11950" spans="6:6" x14ac:dyDescent="0.25">
      <x:c r="F11950" s="11"/>
    </x:row>
    <x:row r="11951" spans="6:6" x14ac:dyDescent="0.25">
      <x:c r="F11951" s="11"/>
    </x:row>
    <x:row r="11952" spans="6:6" x14ac:dyDescent="0.25">
      <x:c r="F11952" s="11"/>
    </x:row>
    <x:row r="11953" spans="6:6" x14ac:dyDescent="0.25">
      <x:c r="F11953" s="11"/>
    </x:row>
    <x:row r="11954" spans="6:6" x14ac:dyDescent="0.25">
      <x:c r="F11954" s="11"/>
    </x:row>
    <x:row r="11955" spans="6:6" x14ac:dyDescent="0.25">
      <x:c r="F11955" s="11"/>
    </x:row>
    <x:row r="11956" spans="6:6" x14ac:dyDescent="0.25">
      <x:c r="F11956" s="11"/>
    </x:row>
    <x:row r="11957" spans="6:6" x14ac:dyDescent="0.25">
      <x:c r="F11957" s="11"/>
    </x:row>
    <x:row r="11958" spans="6:6" x14ac:dyDescent="0.25">
      <x:c r="F11958" s="11"/>
    </x:row>
    <x:row r="11959" spans="6:6" x14ac:dyDescent="0.25">
      <x:c r="F11959" s="11"/>
    </x:row>
    <x:row r="11960" spans="6:6" x14ac:dyDescent="0.25">
      <x:c r="F11960" s="11"/>
    </x:row>
    <x:row r="11961" spans="6:6" x14ac:dyDescent="0.25">
      <x:c r="F11961" s="11"/>
    </x:row>
    <x:row r="11962" spans="6:6" x14ac:dyDescent="0.25">
      <x:c r="F11962" s="11"/>
    </x:row>
    <x:row r="11963" spans="6:6" x14ac:dyDescent="0.25">
      <x:c r="F11963" s="11"/>
    </x:row>
    <x:row r="11964" spans="6:6" x14ac:dyDescent="0.25">
      <x:c r="F11964" s="11"/>
    </x:row>
    <x:row r="11965" spans="6:6" x14ac:dyDescent="0.25">
      <x:c r="F11965" s="11"/>
    </x:row>
    <x:row r="11966" spans="6:6" x14ac:dyDescent="0.25">
      <x:c r="F11966" s="11"/>
    </x:row>
    <x:row r="11967" spans="6:6" x14ac:dyDescent="0.25">
      <x:c r="F11967" s="11"/>
    </x:row>
    <x:row r="11968" spans="6:6" x14ac:dyDescent="0.25">
      <x:c r="F11968" s="11"/>
    </x:row>
    <x:row r="11969" spans="6:6" x14ac:dyDescent="0.25">
      <x:c r="F11969" s="11"/>
    </x:row>
    <x:row r="11970" spans="6:6" x14ac:dyDescent="0.25">
      <x:c r="F11970" s="11"/>
    </x:row>
    <x:row r="11971" spans="6:6" x14ac:dyDescent="0.25">
      <x:c r="F11971" s="11"/>
    </x:row>
    <x:row r="11972" spans="6:6" x14ac:dyDescent="0.25">
      <x:c r="F11972" s="11"/>
    </x:row>
    <x:row r="11973" spans="6:6" x14ac:dyDescent="0.25">
      <x:c r="F11973" s="11"/>
    </x:row>
    <x:row r="11974" spans="6:6" x14ac:dyDescent="0.25">
      <x:c r="F11974" s="11"/>
    </x:row>
    <x:row r="11975" spans="6:6" x14ac:dyDescent="0.25">
      <x:c r="F11975" s="11"/>
    </x:row>
    <x:row r="11976" spans="6:6" x14ac:dyDescent="0.25">
      <x:c r="F11976" s="11"/>
    </x:row>
    <x:row r="11977" spans="6:6" x14ac:dyDescent="0.25">
      <x:c r="F11977" s="11"/>
    </x:row>
    <x:row r="11978" spans="6:6" x14ac:dyDescent="0.25">
      <x:c r="F11978" s="11"/>
    </x:row>
    <x:row r="11979" spans="6:6" x14ac:dyDescent="0.25">
      <x:c r="F11979" s="11"/>
    </x:row>
    <x:row r="11980" spans="6:6" x14ac:dyDescent="0.25">
      <x:c r="F11980" s="11"/>
    </x:row>
    <x:row r="11981" spans="6:6" x14ac:dyDescent="0.25">
      <x:c r="F11981" s="11"/>
    </x:row>
    <x:row r="11982" spans="6:6" x14ac:dyDescent="0.25">
      <x:c r="F11982" s="11"/>
    </x:row>
    <x:row r="11983" spans="6:6" x14ac:dyDescent="0.25">
      <x:c r="F11983" s="11"/>
    </x:row>
    <x:row r="11984" spans="6:6" x14ac:dyDescent="0.25">
      <x:c r="F11984" s="11"/>
    </x:row>
    <x:row r="11985" spans="6:6" x14ac:dyDescent="0.25">
      <x:c r="F11985" s="11"/>
    </x:row>
    <x:row r="11986" spans="6:6" x14ac:dyDescent="0.25">
      <x:c r="F11986" s="11"/>
    </x:row>
    <x:row r="11987" spans="6:6" x14ac:dyDescent="0.25">
      <x:c r="F11987" s="11"/>
    </x:row>
    <x:row r="11988" spans="6:6" x14ac:dyDescent="0.25">
      <x:c r="F11988" s="11"/>
    </x:row>
    <x:row r="11989" spans="6:6" x14ac:dyDescent="0.25">
      <x:c r="F11989" s="11"/>
    </x:row>
    <x:row r="11990" spans="6:6" x14ac:dyDescent="0.25">
      <x:c r="F11990" s="11"/>
    </x:row>
    <x:row r="11991" spans="6:6" x14ac:dyDescent="0.25">
      <x:c r="F11991" s="11"/>
    </x:row>
    <x:row r="11992" spans="6:6" x14ac:dyDescent="0.25">
      <x:c r="F11992" s="11"/>
    </x:row>
    <x:row r="11993" spans="6:6" x14ac:dyDescent="0.25">
      <x:c r="F11993" s="11"/>
    </x:row>
    <x:row r="11994" spans="6:6" x14ac:dyDescent="0.25">
      <x:c r="F11994" s="11"/>
    </x:row>
    <x:row r="11995" spans="6:6" x14ac:dyDescent="0.25">
      <x:c r="F11995" s="11"/>
    </x:row>
    <x:row r="11996" spans="6:6" x14ac:dyDescent="0.25">
      <x:c r="F11996" s="11"/>
    </x:row>
    <x:row r="11997" spans="6:6" x14ac:dyDescent="0.25">
      <x:c r="F11997" s="11"/>
    </x:row>
    <x:row r="11998" spans="6:6" x14ac:dyDescent="0.25">
      <x:c r="F11998" s="11"/>
    </x:row>
    <x:row r="11999" spans="6:6" x14ac:dyDescent="0.25">
      <x:c r="F11999" s="11"/>
    </x:row>
    <x:row r="12000" spans="6:6" x14ac:dyDescent="0.25">
      <x:c r="F12000" s="11"/>
    </x:row>
    <x:row r="12001" spans="6:6" x14ac:dyDescent="0.25">
      <x:c r="F12001" s="11"/>
    </x:row>
    <x:row r="12002" spans="6:6" x14ac:dyDescent="0.25">
      <x:c r="F12002" s="11"/>
    </x:row>
    <x:row r="12003" spans="6:6" x14ac:dyDescent="0.25">
      <x:c r="F12003" s="11"/>
    </x:row>
    <x:row r="12004" spans="6:6" x14ac:dyDescent="0.25">
      <x:c r="F12004" s="11"/>
    </x:row>
    <x:row r="12005" spans="6:6" x14ac:dyDescent="0.25">
      <x:c r="F12005" s="11"/>
    </x:row>
    <x:row r="12006" spans="6:6" x14ac:dyDescent="0.25">
      <x:c r="F12006" s="11"/>
    </x:row>
    <x:row r="12007" spans="6:6" x14ac:dyDescent="0.25">
      <x:c r="F12007" s="11"/>
    </x:row>
    <x:row r="12008" spans="6:6" x14ac:dyDescent="0.25">
      <x:c r="F12008" s="11"/>
    </x:row>
    <x:row r="12009" spans="6:6" x14ac:dyDescent="0.25">
      <x:c r="F12009" s="11"/>
    </x:row>
    <x:row r="12010" spans="6:6" x14ac:dyDescent="0.25">
      <x:c r="F12010" s="11"/>
    </x:row>
    <x:row r="12011" spans="6:6" x14ac:dyDescent="0.25">
      <x:c r="F12011" s="11"/>
    </x:row>
    <x:row r="12012" spans="6:6" x14ac:dyDescent="0.25">
      <x:c r="F12012" s="11"/>
    </x:row>
    <x:row r="12013" spans="6:6" x14ac:dyDescent="0.25">
      <x:c r="F12013" s="11"/>
    </x:row>
    <x:row r="12014" spans="6:6" x14ac:dyDescent="0.25">
      <x:c r="F12014" s="11"/>
    </x:row>
    <x:row r="12015" spans="6:6" x14ac:dyDescent="0.25">
      <x:c r="F12015" s="11"/>
    </x:row>
    <x:row r="12016" spans="6:6" x14ac:dyDescent="0.25">
      <x:c r="F12016" s="11"/>
    </x:row>
    <x:row r="12017" spans="6:6" x14ac:dyDescent="0.25">
      <x:c r="F12017" s="11"/>
    </x:row>
    <x:row r="12018" spans="6:6" x14ac:dyDescent="0.25">
      <x:c r="F12018" s="11"/>
    </x:row>
    <x:row r="12019" spans="6:6" x14ac:dyDescent="0.25">
      <x:c r="F12019" s="11"/>
    </x:row>
    <x:row r="12020" spans="6:6" x14ac:dyDescent="0.25">
      <x:c r="F12020" s="11"/>
    </x:row>
    <x:row r="12021" spans="6:6" x14ac:dyDescent="0.25">
      <x:c r="F12021" s="11"/>
    </x:row>
    <x:row r="12022" spans="6:6" x14ac:dyDescent="0.25">
      <x:c r="F12022" s="11"/>
    </x:row>
    <x:row r="12023" spans="6:6" x14ac:dyDescent="0.25">
      <x:c r="F12023" s="11"/>
    </x:row>
    <x:row r="12024" spans="6:6" x14ac:dyDescent="0.25">
      <x:c r="F12024" s="11"/>
    </x:row>
    <x:row r="12025" spans="6:6" x14ac:dyDescent="0.25">
      <x:c r="F12025" s="11"/>
    </x:row>
    <x:row r="12026" spans="6:6" x14ac:dyDescent="0.25">
      <x:c r="F12026" s="11"/>
    </x:row>
    <x:row r="12027" spans="6:6" x14ac:dyDescent="0.25">
      <x:c r="F12027" s="11"/>
    </x:row>
    <x:row r="12028" spans="6:6" x14ac:dyDescent="0.25">
      <x:c r="F12028" s="11"/>
    </x:row>
    <x:row r="12029" spans="6:6" x14ac:dyDescent="0.25">
      <x:c r="F12029" s="11"/>
    </x:row>
    <x:row r="12030" spans="6:6" x14ac:dyDescent="0.25">
      <x:c r="F12030" s="11"/>
    </x:row>
    <x:row r="12031" spans="6:6" x14ac:dyDescent="0.25">
      <x:c r="F12031" s="11"/>
    </x:row>
    <x:row r="12032" spans="6:6" x14ac:dyDescent="0.25">
      <x:c r="F12032" s="11"/>
    </x:row>
    <x:row r="12033" spans="6:6" x14ac:dyDescent="0.25">
      <x:c r="F12033" s="11"/>
    </x:row>
    <x:row r="12034" spans="6:6" x14ac:dyDescent="0.25">
      <x:c r="F12034" s="11"/>
    </x:row>
    <x:row r="12035" spans="6:6" x14ac:dyDescent="0.25">
      <x:c r="F12035" s="11"/>
    </x:row>
    <x:row r="12036" spans="6:6" x14ac:dyDescent="0.25">
      <x:c r="F12036" s="11"/>
    </x:row>
    <x:row r="12037" spans="6:6" x14ac:dyDescent="0.25">
      <x:c r="F12037" s="11"/>
    </x:row>
    <x:row r="12038" spans="6:6" x14ac:dyDescent="0.25">
      <x:c r="F12038" s="11"/>
    </x:row>
    <x:row r="12039" spans="6:6" x14ac:dyDescent="0.25">
      <x:c r="F12039" s="11"/>
    </x:row>
    <x:row r="12040" spans="6:6" x14ac:dyDescent="0.25">
      <x:c r="F12040" s="11"/>
    </x:row>
    <x:row r="12041" spans="6:6" x14ac:dyDescent="0.25">
      <x:c r="F12041" s="11"/>
    </x:row>
    <x:row r="12042" spans="6:6" x14ac:dyDescent="0.25">
      <x:c r="F12042" s="11"/>
    </x:row>
    <x:row r="12043" spans="6:6" x14ac:dyDescent="0.25">
      <x:c r="F12043" s="11"/>
    </x:row>
    <x:row r="12044" spans="6:6" x14ac:dyDescent="0.25">
      <x:c r="F12044" s="11"/>
    </x:row>
    <x:row r="12045" spans="6:6" x14ac:dyDescent="0.25">
      <x:c r="F12045" s="11"/>
    </x:row>
    <x:row r="12046" spans="6:6" x14ac:dyDescent="0.25">
      <x:c r="F12046" s="11"/>
    </x:row>
    <x:row r="12047" spans="6:6" x14ac:dyDescent="0.25">
      <x:c r="F12047" s="11"/>
    </x:row>
    <x:row r="12048" spans="6:6" x14ac:dyDescent="0.25">
      <x:c r="F12048" s="11"/>
    </x:row>
    <x:row r="12049" spans="6:6" x14ac:dyDescent="0.25">
      <x:c r="F12049" s="11"/>
    </x:row>
    <x:row r="12050" spans="6:6" x14ac:dyDescent="0.25">
      <x:c r="F12050" s="11"/>
    </x:row>
    <x:row r="12051" spans="6:6" x14ac:dyDescent="0.25">
      <x:c r="F12051" s="11"/>
    </x:row>
    <x:row r="12052" spans="6:6" x14ac:dyDescent="0.25">
      <x:c r="F12052" s="11"/>
    </x:row>
    <x:row r="12053" spans="6:6" x14ac:dyDescent="0.25">
      <x:c r="F12053" s="11"/>
    </x:row>
    <x:row r="12054" spans="6:6" x14ac:dyDescent="0.25">
      <x:c r="F12054" s="11"/>
    </x:row>
    <x:row r="12055" spans="6:6" x14ac:dyDescent="0.25">
      <x:c r="F12055" s="11"/>
    </x:row>
    <x:row r="12056" spans="6:6" x14ac:dyDescent="0.25">
      <x:c r="F12056" s="11"/>
    </x:row>
    <x:row r="12057" spans="6:6" x14ac:dyDescent="0.25">
      <x:c r="F12057" s="11"/>
    </x:row>
    <x:row r="12058" spans="6:6" x14ac:dyDescent="0.25">
      <x:c r="F12058" s="11"/>
    </x:row>
    <x:row r="12059" spans="6:6" x14ac:dyDescent="0.25">
      <x:c r="F12059" s="11"/>
    </x:row>
    <x:row r="12060" spans="6:6" x14ac:dyDescent="0.25">
      <x:c r="F12060" s="11"/>
    </x:row>
    <x:row r="12061" spans="6:6" x14ac:dyDescent="0.25">
      <x:c r="F12061" s="11"/>
    </x:row>
    <x:row r="12062" spans="6:6" x14ac:dyDescent="0.25">
      <x:c r="F12062" s="11"/>
    </x:row>
    <x:row r="12063" spans="6:6" x14ac:dyDescent="0.25">
      <x:c r="F12063" s="11"/>
    </x:row>
    <x:row r="12064" spans="6:6" x14ac:dyDescent="0.25">
      <x:c r="F12064" s="11"/>
    </x:row>
    <x:row r="12065" spans="6:6" x14ac:dyDescent="0.25">
      <x:c r="F12065" s="11"/>
    </x:row>
    <x:row r="12066" spans="6:6" x14ac:dyDescent="0.25">
      <x:c r="F12066" s="11"/>
    </x:row>
    <x:row r="12067" spans="6:6" x14ac:dyDescent="0.25">
      <x:c r="F12067" s="11"/>
    </x:row>
    <x:row r="12068" spans="6:6" x14ac:dyDescent="0.25">
      <x:c r="F12068" s="11"/>
    </x:row>
    <x:row r="12069" spans="6:6" x14ac:dyDescent="0.25">
      <x:c r="F12069" s="11"/>
    </x:row>
    <x:row r="12070" spans="6:6" x14ac:dyDescent="0.25">
      <x:c r="F12070" s="11"/>
    </x:row>
    <x:row r="12071" spans="6:6" x14ac:dyDescent="0.25">
      <x:c r="F12071" s="11"/>
    </x:row>
    <x:row r="12072" spans="6:6" x14ac:dyDescent="0.25">
      <x:c r="F12072" s="11"/>
    </x:row>
    <x:row r="12073" spans="6:6" x14ac:dyDescent="0.25">
      <x:c r="F12073" s="11"/>
    </x:row>
    <x:row r="12074" spans="6:6" x14ac:dyDescent="0.25">
      <x:c r="F12074" s="11"/>
    </x:row>
    <x:row r="12075" spans="6:6" x14ac:dyDescent="0.25">
      <x:c r="F12075" s="11"/>
    </x:row>
    <x:row r="12076" spans="6:6" x14ac:dyDescent="0.25">
      <x:c r="F12076" s="11"/>
    </x:row>
    <x:row r="12077" spans="6:6" x14ac:dyDescent="0.25">
      <x:c r="F12077" s="11"/>
    </x:row>
    <x:row r="12078" spans="6:6" x14ac:dyDescent="0.25">
      <x:c r="F12078" s="11"/>
    </x:row>
    <x:row r="12079" spans="6:6" x14ac:dyDescent="0.25">
      <x:c r="F12079" s="11"/>
    </x:row>
    <x:row r="12080" spans="6:6" x14ac:dyDescent="0.25">
      <x:c r="F12080" s="11"/>
    </x:row>
    <x:row r="12081" spans="6:6" x14ac:dyDescent="0.25">
      <x:c r="F12081" s="11"/>
    </x:row>
    <x:row r="12082" spans="6:6" x14ac:dyDescent="0.25">
      <x:c r="F12082" s="11"/>
    </x:row>
    <x:row r="12083" spans="6:6" x14ac:dyDescent="0.25">
      <x:c r="F12083" s="11"/>
    </x:row>
    <x:row r="12084" spans="6:6" x14ac:dyDescent="0.25">
      <x:c r="F12084" s="11"/>
    </x:row>
    <x:row r="12085" spans="6:6" x14ac:dyDescent="0.25">
      <x:c r="F12085" s="11"/>
    </x:row>
    <x:row r="12086" spans="6:6" x14ac:dyDescent="0.25">
      <x:c r="F12086" s="11"/>
    </x:row>
    <x:row r="12087" spans="6:6" x14ac:dyDescent="0.25">
      <x:c r="F12087" s="11"/>
    </x:row>
    <x:row r="12088" spans="6:6" x14ac:dyDescent="0.25">
      <x:c r="F12088" s="11"/>
    </x:row>
    <x:row r="12089" spans="6:6" x14ac:dyDescent="0.25">
      <x:c r="F12089" s="11"/>
    </x:row>
    <x:row r="12090" spans="6:6" x14ac:dyDescent="0.25">
      <x:c r="F12090" s="11"/>
    </x:row>
    <x:row r="12091" spans="6:6" x14ac:dyDescent="0.25">
      <x:c r="F12091" s="11"/>
    </x:row>
    <x:row r="12092" spans="6:6" x14ac:dyDescent="0.25">
      <x:c r="F12092" s="11"/>
    </x:row>
    <x:row r="12093" spans="6:6" x14ac:dyDescent="0.25">
      <x:c r="F12093" s="11"/>
    </x:row>
    <x:row r="12094" spans="6:6" x14ac:dyDescent="0.25">
      <x:c r="F12094" s="11"/>
    </x:row>
    <x:row r="12095" spans="6:6" x14ac:dyDescent="0.25">
      <x:c r="F12095" s="11"/>
    </x:row>
    <x:row r="12096" spans="6:6" x14ac:dyDescent="0.25">
      <x:c r="F12096" s="11"/>
    </x:row>
    <x:row r="12097" spans="6:6" x14ac:dyDescent="0.25">
      <x:c r="F12097" s="11"/>
    </x:row>
    <x:row r="12098" spans="6:6" x14ac:dyDescent="0.25">
      <x:c r="F12098" s="11"/>
    </x:row>
    <x:row r="12099" spans="6:6" x14ac:dyDescent="0.25">
      <x:c r="F12099" s="11"/>
    </x:row>
    <x:row r="12100" spans="6:6" x14ac:dyDescent="0.25">
      <x:c r="F12100" s="11"/>
    </x:row>
    <x:row r="12101" spans="6:6" x14ac:dyDescent="0.25">
      <x:c r="F12101" s="11"/>
    </x:row>
    <x:row r="12102" spans="6:6" x14ac:dyDescent="0.25">
      <x:c r="F12102" s="11"/>
    </x:row>
    <x:row r="12103" spans="6:6" x14ac:dyDescent="0.25">
      <x:c r="F12103" s="11"/>
    </x:row>
    <x:row r="12104" spans="6:6" x14ac:dyDescent="0.25">
      <x:c r="F12104" s="11"/>
    </x:row>
    <x:row r="12105" spans="6:6" x14ac:dyDescent="0.25">
      <x:c r="F12105" s="11"/>
    </x:row>
    <x:row r="12106" spans="6:6" x14ac:dyDescent="0.25">
      <x:c r="F12106" s="11"/>
    </x:row>
    <x:row r="12107" spans="6:6" x14ac:dyDescent="0.25">
      <x:c r="F12107" s="11"/>
    </x:row>
    <x:row r="12108" spans="6:6" x14ac:dyDescent="0.25">
      <x:c r="F12108" s="11"/>
    </x:row>
    <x:row r="12109" spans="6:6" x14ac:dyDescent="0.25">
      <x:c r="F12109" s="11"/>
    </x:row>
    <x:row r="12110" spans="6:6" x14ac:dyDescent="0.25">
      <x:c r="F12110" s="11"/>
    </x:row>
    <x:row r="12111" spans="6:6" x14ac:dyDescent="0.25">
      <x:c r="F12111" s="11"/>
    </x:row>
    <x:row r="12112" spans="6:6" x14ac:dyDescent="0.25">
      <x:c r="F12112" s="11"/>
    </x:row>
    <x:row r="12113" spans="6:6" x14ac:dyDescent="0.25">
      <x:c r="F12113" s="11"/>
    </x:row>
    <x:row r="12114" spans="6:6" x14ac:dyDescent="0.25">
      <x:c r="F12114" s="11"/>
    </x:row>
    <x:row r="12115" spans="6:6" x14ac:dyDescent="0.25">
      <x:c r="F12115" s="11"/>
    </x:row>
    <x:row r="12116" spans="6:6" x14ac:dyDescent="0.25">
      <x:c r="F12116" s="11"/>
    </x:row>
    <x:row r="12117" spans="6:6" x14ac:dyDescent="0.25">
      <x:c r="F12117" s="11"/>
    </x:row>
    <x:row r="12118" spans="6:6" x14ac:dyDescent="0.25">
      <x:c r="F12118" s="11"/>
    </x:row>
    <x:row r="12119" spans="6:6" x14ac:dyDescent="0.25">
      <x:c r="F12119" s="11"/>
    </x:row>
    <x:row r="12120" spans="6:6" x14ac:dyDescent="0.25">
      <x:c r="F12120" s="11"/>
    </x:row>
    <x:row r="12121" spans="6:6" x14ac:dyDescent="0.25">
      <x:c r="F12121" s="11"/>
    </x:row>
    <x:row r="12122" spans="6:6" x14ac:dyDescent="0.25">
      <x:c r="F12122" s="11"/>
    </x:row>
    <x:row r="12123" spans="6:6" x14ac:dyDescent="0.25">
      <x:c r="F12123" s="11"/>
    </x:row>
    <x:row r="12124" spans="6:6" x14ac:dyDescent="0.25">
      <x:c r="F12124" s="11"/>
    </x:row>
    <x:row r="12125" spans="6:6" x14ac:dyDescent="0.25">
      <x:c r="F12125" s="11"/>
    </x:row>
    <x:row r="12126" spans="6:6" x14ac:dyDescent="0.25">
      <x:c r="F12126" s="11"/>
    </x:row>
    <x:row r="12127" spans="6:6" x14ac:dyDescent="0.25">
      <x:c r="F12127" s="11"/>
    </x:row>
    <x:row r="12128" spans="6:6" x14ac:dyDescent="0.25">
      <x:c r="F12128" s="11"/>
    </x:row>
    <x:row r="12129" spans="6:6" x14ac:dyDescent="0.25">
      <x:c r="F12129" s="11"/>
    </x:row>
    <x:row r="12130" spans="6:6" x14ac:dyDescent="0.25">
      <x:c r="F12130" s="11"/>
    </x:row>
    <x:row r="12131" spans="6:6" x14ac:dyDescent="0.25">
      <x:c r="F12131" s="11"/>
    </x:row>
    <x:row r="12132" spans="6:6" x14ac:dyDescent="0.25">
      <x:c r="F12132" s="11"/>
    </x:row>
    <x:row r="12133" spans="6:6" x14ac:dyDescent="0.25">
      <x:c r="F12133" s="11"/>
    </x:row>
    <x:row r="12134" spans="6:6" x14ac:dyDescent="0.25">
      <x:c r="F12134" s="11"/>
    </x:row>
    <x:row r="12135" spans="6:6" x14ac:dyDescent="0.25">
      <x:c r="F12135" s="11"/>
    </x:row>
    <x:row r="12136" spans="6:6" x14ac:dyDescent="0.25">
      <x:c r="F12136" s="11"/>
    </x:row>
    <x:row r="12137" spans="6:6" x14ac:dyDescent="0.25">
      <x:c r="F12137" s="11"/>
    </x:row>
    <x:row r="12138" spans="6:6" x14ac:dyDescent="0.25">
      <x:c r="F12138" s="11"/>
    </x:row>
    <x:row r="12139" spans="6:6" x14ac:dyDescent="0.25">
      <x:c r="F12139" s="11"/>
    </x:row>
    <x:row r="12140" spans="6:6" x14ac:dyDescent="0.25">
      <x:c r="F12140" s="11"/>
    </x:row>
    <x:row r="12141" spans="6:6" x14ac:dyDescent="0.25">
      <x:c r="F12141" s="11"/>
    </x:row>
    <x:row r="12142" spans="6:6" x14ac:dyDescent="0.25">
      <x:c r="F12142" s="11"/>
    </x:row>
    <x:row r="12143" spans="6:6" x14ac:dyDescent="0.25">
      <x:c r="F12143" s="11"/>
    </x:row>
    <x:row r="12144" spans="6:6" x14ac:dyDescent="0.25">
      <x:c r="F12144" s="11"/>
    </x:row>
    <x:row r="12145" spans="6:6" x14ac:dyDescent="0.25">
      <x:c r="F12145" s="11"/>
    </x:row>
    <x:row r="12146" spans="6:6" x14ac:dyDescent="0.25">
      <x:c r="F12146" s="11"/>
    </x:row>
    <x:row r="12147" spans="6:6" x14ac:dyDescent="0.25">
      <x:c r="F12147" s="11"/>
    </x:row>
    <x:row r="12148" spans="6:6" x14ac:dyDescent="0.25">
      <x:c r="F12148" s="11"/>
    </x:row>
    <x:row r="12149" spans="6:6" x14ac:dyDescent="0.25">
      <x:c r="F12149" s="11"/>
    </x:row>
    <x:row r="12150" spans="6:6" x14ac:dyDescent="0.25">
      <x:c r="F12150" s="11"/>
    </x:row>
    <x:row r="12151" spans="6:6" x14ac:dyDescent="0.25">
      <x:c r="F12151" s="11"/>
    </x:row>
    <x:row r="12152" spans="6:6" x14ac:dyDescent="0.25">
      <x:c r="F12152" s="11"/>
    </x:row>
    <x:row r="12153" spans="6:6" x14ac:dyDescent="0.25">
      <x:c r="F12153" s="11"/>
    </x:row>
    <x:row r="12154" spans="6:6" x14ac:dyDescent="0.25">
      <x:c r="F12154" s="11"/>
    </x:row>
    <x:row r="12155" spans="6:6" x14ac:dyDescent="0.25">
      <x:c r="F12155" s="11"/>
    </x:row>
    <x:row r="12156" spans="6:6" x14ac:dyDescent="0.25">
      <x:c r="F12156" s="11"/>
    </x:row>
    <x:row r="12157" spans="6:6" x14ac:dyDescent="0.25">
      <x:c r="F12157" s="11"/>
    </x:row>
    <x:row r="12158" spans="6:6" x14ac:dyDescent="0.25">
      <x:c r="F12158" s="11"/>
    </x:row>
    <x:row r="12159" spans="6:6" x14ac:dyDescent="0.25">
      <x:c r="F12159" s="11"/>
    </x:row>
    <x:row r="12160" spans="6:6" x14ac:dyDescent="0.25">
      <x:c r="F12160" s="11"/>
    </x:row>
    <x:row r="12161" spans="6:6" x14ac:dyDescent="0.25">
      <x:c r="F12161" s="11"/>
    </x:row>
    <x:row r="12162" spans="6:6" x14ac:dyDescent="0.25">
      <x:c r="F12162" s="11"/>
    </x:row>
    <x:row r="12163" spans="6:6" x14ac:dyDescent="0.25">
      <x:c r="F12163" s="11"/>
    </x:row>
    <x:row r="12164" spans="6:6" x14ac:dyDescent="0.25">
      <x:c r="F12164" s="11"/>
    </x:row>
    <x:row r="12165" spans="6:6" x14ac:dyDescent="0.25">
      <x:c r="F12165" s="11"/>
    </x:row>
    <x:row r="12166" spans="6:6" x14ac:dyDescent="0.25">
      <x:c r="F12166" s="11"/>
    </x:row>
    <x:row r="12167" spans="6:6" x14ac:dyDescent="0.25">
      <x:c r="F12167" s="11"/>
    </x:row>
    <x:row r="12168" spans="6:6" x14ac:dyDescent="0.25">
      <x:c r="F12168" s="11"/>
    </x:row>
    <x:row r="12169" spans="6:6" x14ac:dyDescent="0.25">
      <x:c r="F12169" s="11"/>
    </x:row>
    <x:row r="12170" spans="6:6" x14ac:dyDescent="0.25">
      <x:c r="F12170" s="11"/>
    </x:row>
    <x:row r="12171" spans="6:6" x14ac:dyDescent="0.25">
      <x:c r="F12171" s="11"/>
    </x:row>
    <x:row r="12172" spans="6:6" x14ac:dyDescent="0.25">
      <x:c r="F12172" s="11"/>
    </x:row>
    <x:row r="12173" spans="6:6" x14ac:dyDescent="0.25">
      <x:c r="F12173" s="11"/>
    </x:row>
    <x:row r="12174" spans="6:6" x14ac:dyDescent="0.25">
      <x:c r="F12174" s="11"/>
    </x:row>
    <x:row r="12175" spans="6:6" x14ac:dyDescent="0.25">
      <x:c r="F12175" s="11"/>
    </x:row>
    <x:row r="12176" spans="6:6" x14ac:dyDescent="0.25">
      <x:c r="F12176" s="11"/>
    </x:row>
    <x:row r="12177" spans="6:6" x14ac:dyDescent="0.25">
      <x:c r="F12177" s="11"/>
    </x:row>
    <x:row r="12178" spans="6:6" x14ac:dyDescent="0.25">
      <x:c r="F12178" s="11"/>
    </x:row>
    <x:row r="12179" spans="6:6" x14ac:dyDescent="0.25">
      <x:c r="F12179" s="11"/>
    </x:row>
    <x:row r="12180" spans="6:6" x14ac:dyDescent="0.25">
      <x:c r="F12180" s="11"/>
    </x:row>
    <x:row r="12181" spans="6:6" x14ac:dyDescent="0.25">
      <x:c r="F12181" s="11"/>
    </x:row>
    <x:row r="12182" spans="6:6" x14ac:dyDescent="0.25">
      <x:c r="F12182" s="11"/>
    </x:row>
    <x:row r="12183" spans="6:6" x14ac:dyDescent="0.25">
      <x:c r="F12183" s="11"/>
    </x:row>
    <x:row r="12184" spans="6:6" x14ac:dyDescent="0.25">
      <x:c r="F12184" s="11"/>
    </x:row>
    <x:row r="12185" spans="6:6" x14ac:dyDescent="0.25">
      <x:c r="F12185" s="11"/>
    </x:row>
    <x:row r="12186" spans="6:6" x14ac:dyDescent="0.25">
      <x:c r="F12186" s="11"/>
    </x:row>
    <x:row r="12187" spans="6:6" x14ac:dyDescent="0.25">
      <x:c r="F12187" s="11"/>
    </x:row>
    <x:row r="12188" spans="6:6" x14ac:dyDescent="0.25">
      <x:c r="F12188" s="11"/>
    </x:row>
    <x:row r="12189" spans="6:6" x14ac:dyDescent="0.25">
      <x:c r="F12189" s="11"/>
    </x:row>
    <x:row r="12190" spans="6:6" x14ac:dyDescent="0.25">
      <x:c r="F12190" s="11"/>
    </x:row>
    <x:row r="12191" spans="6:6" x14ac:dyDescent="0.25">
      <x:c r="F12191" s="11"/>
    </x:row>
    <x:row r="12192" spans="6:6" x14ac:dyDescent="0.25">
      <x:c r="F12192" s="11"/>
    </x:row>
    <x:row r="12193" spans="6:6" x14ac:dyDescent="0.25">
      <x:c r="F12193" s="11"/>
    </x:row>
    <x:row r="12194" spans="6:6" x14ac:dyDescent="0.25">
      <x:c r="F12194" s="11"/>
    </x:row>
    <x:row r="12195" spans="6:6" x14ac:dyDescent="0.25">
      <x:c r="F12195" s="11"/>
    </x:row>
    <x:row r="12196" spans="6:6" x14ac:dyDescent="0.25">
      <x:c r="F12196" s="11"/>
    </x:row>
    <x:row r="12197" spans="6:6" x14ac:dyDescent="0.25">
      <x:c r="F12197" s="11"/>
    </x:row>
    <x:row r="12198" spans="6:6" x14ac:dyDescent="0.25">
      <x:c r="F12198" s="11"/>
    </x:row>
    <x:row r="12199" spans="6:6" x14ac:dyDescent="0.25">
      <x:c r="F12199" s="11"/>
    </x:row>
    <x:row r="12200" spans="6:6" x14ac:dyDescent="0.25">
      <x:c r="F12200" s="11"/>
    </x:row>
    <x:row r="12201" spans="6:6" x14ac:dyDescent="0.25">
      <x:c r="F12201" s="11"/>
    </x:row>
    <x:row r="12202" spans="6:6" x14ac:dyDescent="0.25">
      <x:c r="F12202" s="11"/>
    </x:row>
    <x:row r="12203" spans="6:6" x14ac:dyDescent="0.25">
      <x:c r="F12203" s="11"/>
    </x:row>
    <x:row r="12204" spans="6:6" x14ac:dyDescent="0.25">
      <x:c r="F12204" s="11"/>
    </x:row>
    <x:row r="12205" spans="6:6" x14ac:dyDescent="0.25">
      <x:c r="F12205" s="11"/>
    </x:row>
    <x:row r="12206" spans="6:6" x14ac:dyDescent="0.25">
      <x:c r="F12206" s="11"/>
    </x:row>
    <x:row r="12207" spans="6:6" x14ac:dyDescent="0.25">
      <x:c r="F12207" s="11"/>
    </x:row>
    <x:row r="12208" spans="6:6" x14ac:dyDescent="0.25">
      <x:c r="F12208" s="11"/>
    </x:row>
    <x:row r="12209" spans="6:6" x14ac:dyDescent="0.25">
      <x:c r="F12209" s="11"/>
    </x:row>
    <x:row r="12210" spans="6:6" x14ac:dyDescent="0.25">
      <x:c r="F12210" s="11"/>
    </x:row>
    <x:row r="12211" spans="6:6" x14ac:dyDescent="0.25">
      <x:c r="F12211" s="11"/>
    </x:row>
    <x:row r="12212" spans="6:6" x14ac:dyDescent="0.25">
      <x:c r="F12212" s="11"/>
    </x:row>
    <x:row r="12213" spans="6:6" x14ac:dyDescent="0.25">
      <x:c r="F12213" s="11"/>
    </x:row>
    <x:row r="12214" spans="6:6" x14ac:dyDescent="0.25">
      <x:c r="F12214" s="11"/>
    </x:row>
    <x:row r="12215" spans="6:6" x14ac:dyDescent="0.25">
      <x:c r="F12215" s="11"/>
    </x:row>
    <x:row r="12216" spans="6:6" x14ac:dyDescent="0.25">
      <x:c r="F12216" s="11"/>
    </x:row>
    <x:row r="12217" spans="6:6" x14ac:dyDescent="0.25">
      <x:c r="F12217" s="11"/>
    </x:row>
    <x:row r="12218" spans="6:6" x14ac:dyDescent="0.25">
      <x:c r="F12218" s="11"/>
    </x:row>
    <x:row r="12219" spans="6:6" x14ac:dyDescent="0.25">
      <x:c r="F12219" s="11"/>
    </x:row>
    <x:row r="12220" spans="6:6" x14ac:dyDescent="0.25">
      <x:c r="F12220" s="11"/>
    </x:row>
    <x:row r="12221" spans="6:6" x14ac:dyDescent="0.25">
      <x:c r="F12221" s="11"/>
    </x:row>
    <x:row r="12222" spans="6:6" x14ac:dyDescent="0.25">
      <x:c r="F12222" s="11"/>
    </x:row>
    <x:row r="12223" spans="6:6" x14ac:dyDescent="0.25">
      <x:c r="F12223" s="11"/>
    </x:row>
    <x:row r="12224" spans="6:6" x14ac:dyDescent="0.25">
      <x:c r="F12224" s="11"/>
    </x:row>
    <x:row r="12225" spans="6:6" x14ac:dyDescent="0.25">
      <x:c r="F12225" s="11"/>
    </x:row>
    <x:row r="12226" spans="6:6" x14ac:dyDescent="0.25">
      <x:c r="F12226" s="11"/>
    </x:row>
    <x:row r="12227" spans="6:6" x14ac:dyDescent="0.25">
      <x:c r="F12227" s="11"/>
    </x:row>
    <x:row r="12228" spans="6:6" x14ac:dyDescent="0.25">
      <x:c r="F12228" s="11"/>
    </x:row>
    <x:row r="12229" spans="6:6" x14ac:dyDescent="0.25">
      <x:c r="F12229" s="11"/>
    </x:row>
    <x:row r="12230" spans="6:6" x14ac:dyDescent="0.25">
      <x:c r="F12230" s="11"/>
    </x:row>
    <x:row r="12231" spans="6:6" x14ac:dyDescent="0.25">
      <x:c r="F12231" s="11"/>
    </x:row>
    <x:row r="12232" spans="6:6" x14ac:dyDescent="0.25">
      <x:c r="F12232" s="11"/>
    </x:row>
    <x:row r="12233" spans="6:6" x14ac:dyDescent="0.25">
      <x:c r="F12233" s="11"/>
    </x:row>
    <x:row r="12234" spans="6:6" x14ac:dyDescent="0.25">
      <x:c r="F12234" s="11"/>
    </x:row>
    <x:row r="12235" spans="6:6" x14ac:dyDescent="0.25">
      <x:c r="F12235" s="11"/>
    </x:row>
    <x:row r="12236" spans="6:6" x14ac:dyDescent="0.25">
      <x:c r="F12236" s="11"/>
    </x:row>
    <x:row r="12237" spans="6:6" x14ac:dyDescent="0.25">
      <x:c r="F12237" s="11"/>
    </x:row>
    <x:row r="12238" spans="6:6" x14ac:dyDescent="0.25">
      <x:c r="F12238" s="11"/>
    </x:row>
    <x:row r="12239" spans="6:6" x14ac:dyDescent="0.25">
      <x:c r="F12239" s="11"/>
    </x:row>
    <x:row r="12240" spans="6:6" x14ac:dyDescent="0.25">
      <x:c r="F12240" s="11"/>
    </x:row>
    <x:row r="12241" spans="6:6" x14ac:dyDescent="0.25">
      <x:c r="F12241" s="11"/>
    </x:row>
    <x:row r="12242" spans="6:6" x14ac:dyDescent="0.25">
      <x:c r="F12242" s="11"/>
    </x:row>
    <x:row r="12243" spans="6:6" x14ac:dyDescent="0.25">
      <x:c r="F12243" s="11"/>
    </x:row>
    <x:row r="12244" spans="6:6" x14ac:dyDescent="0.25">
      <x:c r="F12244" s="11"/>
    </x:row>
    <x:row r="12245" spans="6:6" x14ac:dyDescent="0.25">
      <x:c r="F12245" s="11"/>
    </x:row>
    <x:row r="12246" spans="6:6" x14ac:dyDescent="0.25">
      <x:c r="F12246" s="11"/>
    </x:row>
    <x:row r="12247" spans="6:6" x14ac:dyDescent="0.25">
      <x:c r="F12247" s="11"/>
    </x:row>
    <x:row r="12248" spans="6:6" x14ac:dyDescent="0.25">
      <x:c r="F12248" s="11"/>
    </x:row>
    <x:row r="12249" spans="6:6" x14ac:dyDescent="0.25">
      <x:c r="F12249" s="11"/>
    </x:row>
    <x:row r="12250" spans="6:6" x14ac:dyDescent="0.25">
      <x:c r="F12250" s="11"/>
    </x:row>
    <x:row r="12251" spans="6:6" x14ac:dyDescent="0.25">
      <x:c r="F12251" s="11"/>
    </x:row>
    <x:row r="12252" spans="6:6" x14ac:dyDescent="0.25">
      <x:c r="F12252" s="11"/>
    </x:row>
    <x:row r="12253" spans="6:6" x14ac:dyDescent="0.25">
      <x:c r="F12253" s="11"/>
    </x:row>
    <x:row r="12254" spans="6:6" x14ac:dyDescent="0.25">
      <x:c r="F12254" s="11"/>
    </x:row>
    <x:row r="12255" spans="6:6" x14ac:dyDescent="0.25">
      <x:c r="F12255" s="11"/>
    </x:row>
    <x:row r="12256" spans="6:6" x14ac:dyDescent="0.25">
      <x:c r="F12256" s="11"/>
    </x:row>
    <x:row r="12257" spans="6:6" x14ac:dyDescent="0.25">
      <x:c r="F12257" s="11"/>
    </x:row>
    <x:row r="12258" spans="6:6" x14ac:dyDescent="0.25">
      <x:c r="F12258" s="11"/>
    </x:row>
    <x:row r="12259" spans="6:6" x14ac:dyDescent="0.25">
      <x:c r="F12259" s="11"/>
    </x:row>
    <x:row r="12260" spans="6:6" x14ac:dyDescent="0.25">
      <x:c r="F12260" s="11"/>
    </x:row>
    <x:row r="12261" spans="6:6" x14ac:dyDescent="0.25">
      <x:c r="F12261" s="11"/>
    </x:row>
    <x:row r="12262" spans="6:6" x14ac:dyDescent="0.25">
      <x:c r="F12262" s="11"/>
    </x:row>
    <x:row r="12263" spans="6:6" x14ac:dyDescent="0.25">
      <x:c r="F12263" s="11"/>
    </x:row>
    <x:row r="12264" spans="6:6" x14ac:dyDescent="0.25">
      <x:c r="F12264" s="11"/>
    </x:row>
    <x:row r="12265" spans="6:6" x14ac:dyDescent="0.25">
      <x:c r="F12265" s="11"/>
    </x:row>
    <x:row r="12266" spans="6:6" x14ac:dyDescent="0.25">
      <x:c r="F12266" s="11"/>
    </x:row>
    <x:row r="12267" spans="6:6" x14ac:dyDescent="0.25">
      <x:c r="F12267" s="11"/>
    </x:row>
    <x:row r="12268" spans="6:6" x14ac:dyDescent="0.25">
      <x:c r="F12268" s="11"/>
    </x:row>
    <x:row r="12269" spans="6:6" x14ac:dyDescent="0.25">
      <x:c r="F12269" s="11"/>
    </x:row>
    <x:row r="12270" spans="6:6" x14ac:dyDescent="0.25">
      <x:c r="F12270" s="11"/>
    </x:row>
    <x:row r="12271" spans="6:6" x14ac:dyDescent="0.25">
      <x:c r="F12271" s="11"/>
    </x:row>
    <x:row r="12272" spans="6:6" x14ac:dyDescent="0.25">
      <x:c r="F12272" s="11"/>
    </x:row>
    <x:row r="12273" spans="6:6" x14ac:dyDescent="0.25">
      <x:c r="F12273" s="11"/>
    </x:row>
    <x:row r="12274" spans="6:6" x14ac:dyDescent="0.25">
      <x:c r="F12274" s="11"/>
    </x:row>
    <x:row r="12275" spans="6:6" x14ac:dyDescent="0.25">
      <x:c r="F12275" s="11"/>
    </x:row>
    <x:row r="12276" spans="6:6" x14ac:dyDescent="0.25">
      <x:c r="F12276" s="11"/>
    </x:row>
    <x:row r="12277" spans="6:6" x14ac:dyDescent="0.25">
      <x:c r="F12277" s="11"/>
    </x:row>
    <x:row r="12278" spans="6:6" x14ac:dyDescent="0.25">
      <x:c r="F12278" s="11"/>
    </x:row>
    <x:row r="12279" spans="6:6" x14ac:dyDescent="0.25">
      <x:c r="F12279" s="11"/>
    </x:row>
    <x:row r="12280" spans="6:6" x14ac:dyDescent="0.25">
      <x:c r="F12280" s="11"/>
    </x:row>
    <x:row r="12281" spans="6:6" x14ac:dyDescent="0.25">
      <x:c r="F12281" s="11"/>
    </x:row>
    <x:row r="12282" spans="6:6" x14ac:dyDescent="0.25">
      <x:c r="F12282" s="11"/>
    </x:row>
    <x:row r="12283" spans="6:6" x14ac:dyDescent="0.25">
      <x:c r="F12283" s="11"/>
    </x:row>
    <x:row r="12284" spans="6:6" x14ac:dyDescent="0.25">
      <x:c r="F12284" s="11"/>
    </x:row>
    <x:row r="12285" spans="6:6" x14ac:dyDescent="0.25">
      <x:c r="F12285" s="11"/>
    </x:row>
    <x:row r="12286" spans="6:6" x14ac:dyDescent="0.25">
      <x:c r="F12286" s="11"/>
    </x:row>
    <x:row r="12287" spans="6:6" x14ac:dyDescent="0.25">
      <x:c r="F12287" s="11"/>
    </x:row>
    <x:row r="12288" spans="6:6" x14ac:dyDescent="0.25">
      <x:c r="F12288" s="11"/>
    </x:row>
    <x:row r="12289" spans="6:6" x14ac:dyDescent="0.25">
      <x:c r="F12289" s="11"/>
    </x:row>
    <x:row r="12290" spans="6:6" x14ac:dyDescent="0.25">
      <x:c r="F12290" s="11"/>
    </x:row>
    <x:row r="12291" spans="6:6" x14ac:dyDescent="0.25">
      <x:c r="F12291" s="11"/>
    </x:row>
    <x:row r="12292" spans="6:6" x14ac:dyDescent="0.25">
      <x:c r="F12292" s="11"/>
    </x:row>
    <x:row r="12293" spans="6:6" x14ac:dyDescent="0.25">
      <x:c r="F12293" s="11"/>
    </x:row>
    <x:row r="12294" spans="6:6" x14ac:dyDescent="0.25">
      <x:c r="F12294" s="11"/>
    </x:row>
    <x:row r="12295" spans="6:6" x14ac:dyDescent="0.25">
      <x:c r="F12295" s="11"/>
    </x:row>
    <x:row r="12296" spans="6:6" x14ac:dyDescent="0.25">
      <x:c r="F12296" s="11"/>
    </x:row>
    <x:row r="12297" spans="6:6" x14ac:dyDescent="0.25">
      <x:c r="F12297" s="11"/>
    </x:row>
    <x:row r="12298" spans="6:6" x14ac:dyDescent="0.25">
      <x:c r="F12298" s="11"/>
    </x:row>
    <x:row r="12299" spans="6:6" x14ac:dyDescent="0.25">
      <x:c r="F12299" s="11"/>
    </x:row>
    <x:row r="12300" spans="6:6" x14ac:dyDescent="0.25">
      <x:c r="F12300" s="11"/>
    </x:row>
    <x:row r="12301" spans="6:6" x14ac:dyDescent="0.25">
      <x:c r="F12301" s="11"/>
    </x:row>
    <x:row r="12302" spans="6:6" x14ac:dyDescent="0.25">
      <x:c r="F12302" s="11"/>
    </x:row>
    <x:row r="12303" spans="6:6" x14ac:dyDescent="0.25">
      <x:c r="F12303" s="11"/>
    </x:row>
    <x:row r="12304" spans="6:6" x14ac:dyDescent="0.25">
      <x:c r="F12304" s="11"/>
    </x:row>
    <x:row r="12305" spans="6:6" x14ac:dyDescent="0.25">
      <x:c r="F12305" s="11"/>
    </x:row>
    <x:row r="12306" spans="6:6" x14ac:dyDescent="0.25">
      <x:c r="F12306" s="11"/>
    </x:row>
    <x:row r="12307" spans="6:6" x14ac:dyDescent="0.25">
      <x:c r="F12307" s="11"/>
    </x:row>
    <x:row r="12308" spans="6:6" x14ac:dyDescent="0.25">
      <x:c r="F12308" s="11"/>
    </x:row>
    <x:row r="12309" spans="6:6" x14ac:dyDescent="0.25">
      <x:c r="F12309" s="11"/>
    </x:row>
    <x:row r="12310" spans="6:6" x14ac:dyDescent="0.25">
      <x:c r="F12310" s="11"/>
    </x:row>
    <x:row r="12311" spans="6:6" x14ac:dyDescent="0.25">
      <x:c r="F12311" s="11"/>
    </x:row>
    <x:row r="12312" spans="6:6" x14ac:dyDescent="0.25">
      <x:c r="F12312" s="11"/>
    </x:row>
    <x:row r="12313" spans="6:6" x14ac:dyDescent="0.25">
      <x:c r="F12313" s="11"/>
    </x:row>
    <x:row r="12314" spans="6:6" x14ac:dyDescent="0.25">
      <x:c r="F12314" s="11"/>
    </x:row>
    <x:row r="12315" spans="6:6" x14ac:dyDescent="0.25">
      <x:c r="F12315" s="11"/>
    </x:row>
    <x:row r="12316" spans="6:6" x14ac:dyDescent="0.25">
      <x:c r="F12316" s="11"/>
    </x:row>
    <x:row r="12317" spans="6:6" x14ac:dyDescent="0.25">
      <x:c r="F12317" s="11"/>
    </x:row>
    <x:row r="12318" spans="6:6" x14ac:dyDescent="0.25">
      <x:c r="F12318" s="11"/>
    </x:row>
    <x:row r="12319" spans="6:6" x14ac:dyDescent="0.25">
      <x:c r="F12319" s="11"/>
    </x:row>
    <x:row r="12320" spans="6:6" x14ac:dyDescent="0.25">
      <x:c r="F12320" s="11"/>
    </x:row>
    <x:row r="12321" spans="6:6" x14ac:dyDescent="0.25">
      <x:c r="F12321" s="11"/>
    </x:row>
    <x:row r="12322" spans="6:6" x14ac:dyDescent="0.25">
      <x:c r="F12322" s="11"/>
    </x:row>
    <x:row r="12323" spans="6:6" x14ac:dyDescent="0.25">
      <x:c r="F12323" s="11"/>
    </x:row>
    <x:row r="12324" spans="6:6" x14ac:dyDescent="0.25">
      <x:c r="F12324" s="11"/>
    </x:row>
    <x:row r="12325" spans="6:6" x14ac:dyDescent="0.25">
      <x:c r="F12325" s="11"/>
    </x:row>
    <x:row r="12326" spans="6:6" x14ac:dyDescent="0.25">
      <x:c r="F12326" s="11"/>
    </x:row>
    <x:row r="12327" spans="6:6" x14ac:dyDescent="0.25">
      <x:c r="F12327" s="11"/>
    </x:row>
    <x:row r="12328" spans="6:6" x14ac:dyDescent="0.25">
      <x:c r="F12328" s="11"/>
    </x:row>
    <x:row r="12329" spans="6:6" x14ac:dyDescent="0.25">
      <x:c r="F12329" s="11"/>
    </x:row>
    <x:row r="12330" spans="6:6" x14ac:dyDescent="0.25">
      <x:c r="F12330" s="11"/>
    </x:row>
    <x:row r="12331" spans="6:6" x14ac:dyDescent="0.25">
      <x:c r="F12331" s="11"/>
    </x:row>
    <x:row r="12332" spans="6:6" x14ac:dyDescent="0.25">
      <x:c r="F12332" s="11"/>
    </x:row>
    <x:row r="12333" spans="6:6" x14ac:dyDescent="0.25">
      <x:c r="F12333" s="11"/>
    </x:row>
    <x:row r="12334" spans="6:6" x14ac:dyDescent="0.25">
      <x:c r="F12334" s="11"/>
    </x:row>
    <x:row r="12335" spans="6:6" x14ac:dyDescent="0.25">
      <x:c r="F12335" s="11"/>
    </x:row>
    <x:row r="12336" spans="6:6" x14ac:dyDescent="0.25">
      <x:c r="F12336" s="11"/>
    </x:row>
    <x:row r="12337" spans="6:6" x14ac:dyDescent="0.25">
      <x:c r="F12337" s="11"/>
    </x:row>
    <x:row r="12338" spans="6:6" x14ac:dyDescent="0.25">
      <x:c r="F12338" s="11"/>
    </x:row>
    <x:row r="12339" spans="6:6" x14ac:dyDescent="0.25">
      <x:c r="F12339" s="11"/>
    </x:row>
    <x:row r="12340" spans="6:6" x14ac:dyDescent="0.25">
      <x:c r="F12340" s="11"/>
    </x:row>
    <x:row r="12341" spans="6:6" x14ac:dyDescent="0.25">
      <x:c r="F12341" s="11"/>
    </x:row>
    <x:row r="12342" spans="6:6" x14ac:dyDescent="0.25">
      <x:c r="F12342" s="11"/>
    </x:row>
    <x:row r="12343" spans="6:6" x14ac:dyDescent="0.25">
      <x:c r="F12343" s="11"/>
    </x:row>
    <x:row r="12344" spans="6:6" x14ac:dyDescent="0.25">
      <x:c r="F12344" s="11"/>
    </x:row>
    <x:row r="12345" spans="6:6" x14ac:dyDescent="0.25">
      <x:c r="F12345" s="11"/>
    </x:row>
    <x:row r="12346" spans="6:6" x14ac:dyDescent="0.25">
      <x:c r="F12346" s="11"/>
    </x:row>
    <x:row r="12347" spans="6:6" x14ac:dyDescent="0.25">
      <x:c r="F12347" s="11"/>
    </x:row>
    <x:row r="12348" spans="6:6" x14ac:dyDescent="0.25">
      <x:c r="F12348" s="11"/>
    </x:row>
    <x:row r="12349" spans="6:6" x14ac:dyDescent="0.25">
      <x:c r="F12349" s="11"/>
    </x:row>
    <x:row r="12350" spans="6:6" x14ac:dyDescent="0.25">
      <x:c r="F12350" s="11"/>
    </x:row>
    <x:row r="12351" spans="6:6" x14ac:dyDescent="0.25">
      <x:c r="F12351" s="11"/>
    </x:row>
    <x:row r="12352" spans="6:6" x14ac:dyDescent="0.25">
      <x:c r="F12352" s="11"/>
    </x:row>
    <x:row r="12353" spans="6:6" x14ac:dyDescent="0.25">
      <x:c r="F12353" s="11"/>
    </x:row>
    <x:row r="12354" spans="6:6" x14ac:dyDescent="0.25">
      <x:c r="F12354" s="11"/>
    </x:row>
    <x:row r="12355" spans="6:6" x14ac:dyDescent="0.25">
      <x:c r="F12355" s="11"/>
    </x:row>
    <x:row r="12356" spans="6:6" x14ac:dyDescent="0.25">
      <x:c r="F12356" s="11"/>
    </x:row>
    <x:row r="12357" spans="6:6" x14ac:dyDescent="0.25">
      <x:c r="F12357" s="11"/>
    </x:row>
    <x:row r="12358" spans="6:6" x14ac:dyDescent="0.25">
      <x:c r="F12358" s="11"/>
    </x:row>
    <x:row r="12359" spans="6:6" x14ac:dyDescent="0.25">
      <x:c r="F12359" s="11"/>
    </x:row>
    <x:row r="12360" spans="6:6" x14ac:dyDescent="0.25">
      <x:c r="F12360" s="11"/>
    </x:row>
    <x:row r="12361" spans="6:6" x14ac:dyDescent="0.25">
      <x:c r="F12361" s="11"/>
    </x:row>
    <x:row r="12362" spans="6:6" x14ac:dyDescent="0.25">
      <x:c r="F12362" s="11"/>
    </x:row>
    <x:row r="12363" spans="6:6" x14ac:dyDescent="0.25">
      <x:c r="F12363" s="11"/>
    </x:row>
    <x:row r="12364" spans="6:6" x14ac:dyDescent="0.25">
      <x:c r="F12364" s="11"/>
    </x:row>
    <x:row r="12365" spans="6:6" x14ac:dyDescent="0.25">
      <x:c r="F12365" s="11"/>
    </x:row>
    <x:row r="12366" spans="6:6" x14ac:dyDescent="0.25">
      <x:c r="F12366" s="11"/>
    </x:row>
    <x:row r="12367" spans="6:6" x14ac:dyDescent="0.25">
      <x:c r="F12367" s="11"/>
    </x:row>
    <x:row r="12368" spans="6:6" x14ac:dyDescent="0.25">
      <x:c r="F12368" s="11"/>
    </x:row>
    <x:row r="12369" spans="6:6" x14ac:dyDescent="0.25">
      <x:c r="F12369" s="11"/>
    </x:row>
    <x:row r="12370" spans="6:6" x14ac:dyDescent="0.25">
      <x:c r="F12370" s="11"/>
    </x:row>
    <x:row r="12371" spans="6:6" x14ac:dyDescent="0.25">
      <x:c r="F12371" s="11"/>
    </x:row>
    <x:row r="12372" spans="6:6" x14ac:dyDescent="0.25">
      <x:c r="F12372" s="11"/>
    </x:row>
    <x:row r="12373" spans="6:6" x14ac:dyDescent="0.25">
      <x:c r="F12373" s="11"/>
    </x:row>
    <x:row r="12374" spans="6:6" x14ac:dyDescent="0.25">
      <x:c r="F12374" s="11"/>
    </x:row>
    <x:row r="12375" spans="6:6" x14ac:dyDescent="0.25">
      <x:c r="F12375" s="11"/>
    </x:row>
    <x:row r="12376" spans="6:6" x14ac:dyDescent="0.25">
      <x:c r="F12376" s="11"/>
    </x:row>
    <x:row r="12377" spans="6:6" x14ac:dyDescent="0.25">
      <x:c r="F12377" s="11"/>
    </x:row>
    <x:row r="12378" spans="6:6" x14ac:dyDescent="0.25">
      <x:c r="F12378" s="11"/>
    </x:row>
    <x:row r="12379" spans="6:6" x14ac:dyDescent="0.25">
      <x:c r="F12379" s="11"/>
    </x:row>
    <x:row r="12380" spans="6:6" x14ac:dyDescent="0.25">
      <x:c r="F12380" s="11"/>
    </x:row>
    <x:row r="12381" spans="6:6" x14ac:dyDescent="0.25">
      <x:c r="F12381" s="11"/>
    </x:row>
    <x:row r="12382" spans="6:6" x14ac:dyDescent="0.25">
      <x:c r="F12382" s="11"/>
    </x:row>
    <x:row r="12383" spans="6:6" x14ac:dyDescent="0.25">
      <x:c r="F12383" s="11"/>
    </x:row>
    <x:row r="12384" spans="6:6" x14ac:dyDescent="0.25">
      <x:c r="F12384" s="11"/>
    </x:row>
    <x:row r="12385" spans="6:6" x14ac:dyDescent="0.25">
      <x:c r="F12385" s="11"/>
    </x:row>
    <x:row r="12386" spans="6:6" x14ac:dyDescent="0.25">
      <x:c r="F12386" s="11"/>
    </x:row>
    <x:row r="12387" spans="6:6" x14ac:dyDescent="0.25">
      <x:c r="F12387" s="11"/>
    </x:row>
    <x:row r="12388" spans="6:6" x14ac:dyDescent="0.25">
      <x:c r="F12388" s="11"/>
    </x:row>
    <x:row r="12389" spans="6:6" x14ac:dyDescent="0.25">
      <x:c r="F12389" s="11"/>
    </x:row>
    <x:row r="12390" spans="6:6" x14ac:dyDescent="0.25">
      <x:c r="F12390" s="11"/>
    </x:row>
    <x:row r="12391" spans="6:6" x14ac:dyDescent="0.25">
      <x:c r="F12391" s="11"/>
    </x:row>
    <x:row r="12392" spans="6:6" x14ac:dyDescent="0.25">
      <x:c r="F12392" s="11"/>
    </x:row>
    <x:row r="12393" spans="6:6" x14ac:dyDescent="0.25">
      <x:c r="F12393" s="11"/>
    </x:row>
    <x:row r="12394" spans="6:6" x14ac:dyDescent="0.25">
      <x:c r="F12394" s="11"/>
    </x:row>
    <x:row r="12395" spans="6:6" x14ac:dyDescent="0.25">
      <x:c r="F12395" s="11"/>
    </x:row>
    <x:row r="12396" spans="6:6" x14ac:dyDescent="0.25">
      <x:c r="F12396" s="11"/>
    </x:row>
    <x:row r="12397" spans="6:6" x14ac:dyDescent="0.25">
      <x:c r="F12397" s="11"/>
    </x:row>
    <x:row r="12398" spans="6:6" x14ac:dyDescent="0.25">
      <x:c r="F12398" s="11"/>
    </x:row>
    <x:row r="12399" spans="6:6" x14ac:dyDescent="0.25">
      <x:c r="F12399" s="11"/>
    </x:row>
    <x:row r="12400" spans="6:6" x14ac:dyDescent="0.25">
      <x:c r="F12400" s="11"/>
    </x:row>
    <x:row r="12401" spans="6:6" x14ac:dyDescent="0.25">
      <x:c r="F12401" s="11"/>
    </x:row>
    <x:row r="12402" spans="6:6" x14ac:dyDescent="0.25">
      <x:c r="F12402" s="11"/>
    </x:row>
    <x:row r="12403" spans="6:6" x14ac:dyDescent="0.25">
      <x:c r="F12403" s="11"/>
    </x:row>
    <x:row r="12404" spans="6:6" x14ac:dyDescent="0.25">
      <x:c r="F12404" s="11"/>
    </x:row>
    <x:row r="12405" spans="6:6" x14ac:dyDescent="0.25">
      <x:c r="F12405" s="11"/>
    </x:row>
    <x:row r="12406" spans="6:6" x14ac:dyDescent="0.25">
      <x:c r="F12406" s="11"/>
    </x:row>
    <x:row r="12407" spans="6:6" x14ac:dyDescent="0.25">
      <x:c r="F12407" s="11"/>
    </x:row>
    <x:row r="12408" spans="6:6" x14ac:dyDescent="0.25">
      <x:c r="F12408" s="11"/>
    </x:row>
    <x:row r="12409" spans="6:6" x14ac:dyDescent="0.25">
      <x:c r="F12409" s="11"/>
    </x:row>
    <x:row r="12410" spans="6:6" x14ac:dyDescent="0.25">
      <x:c r="F12410" s="11"/>
    </x:row>
    <x:row r="12411" spans="6:6" x14ac:dyDescent="0.25">
      <x:c r="F12411" s="11"/>
    </x:row>
    <x:row r="12412" spans="6:6" x14ac:dyDescent="0.25">
      <x:c r="F12412" s="11"/>
    </x:row>
    <x:row r="12413" spans="6:6" x14ac:dyDescent="0.25">
      <x:c r="F12413" s="11"/>
    </x:row>
    <x:row r="12414" spans="6:6" x14ac:dyDescent="0.25">
      <x:c r="F12414" s="11"/>
    </x:row>
    <x:row r="12415" spans="6:6" x14ac:dyDescent="0.25">
      <x:c r="F12415" s="11"/>
    </x:row>
    <x:row r="12416" spans="6:6" x14ac:dyDescent="0.25">
      <x:c r="F12416" s="11"/>
    </x:row>
    <x:row r="12417" spans="6:6" x14ac:dyDescent="0.25">
      <x:c r="F12417" s="11"/>
    </x:row>
    <x:row r="12418" spans="6:6" x14ac:dyDescent="0.25">
      <x:c r="F12418" s="11"/>
    </x:row>
    <x:row r="12419" spans="6:6" x14ac:dyDescent="0.25">
      <x:c r="F12419" s="11"/>
    </x:row>
    <x:row r="12420" spans="6:6" x14ac:dyDescent="0.25">
      <x:c r="F12420" s="11"/>
    </x:row>
    <x:row r="12421" spans="6:6" x14ac:dyDescent="0.25">
      <x:c r="F12421" s="11"/>
    </x:row>
    <x:row r="12422" spans="6:6" x14ac:dyDescent="0.25">
      <x:c r="F12422" s="11"/>
    </x:row>
    <x:row r="12423" spans="6:6" x14ac:dyDescent="0.25">
      <x:c r="F12423" s="11"/>
    </x:row>
    <x:row r="12424" spans="6:6" x14ac:dyDescent="0.25">
      <x:c r="F12424" s="11"/>
    </x:row>
    <x:row r="12425" spans="6:6" x14ac:dyDescent="0.25">
      <x:c r="F12425" s="11"/>
    </x:row>
    <x:row r="12426" spans="6:6" x14ac:dyDescent="0.25">
      <x:c r="F12426" s="11"/>
    </x:row>
    <x:row r="12427" spans="6:6" x14ac:dyDescent="0.25">
      <x:c r="F12427" s="11"/>
    </x:row>
    <x:row r="12428" spans="6:6" x14ac:dyDescent="0.25">
      <x:c r="F12428" s="11"/>
    </x:row>
    <x:row r="12429" spans="6:6" x14ac:dyDescent="0.25">
      <x:c r="F12429" s="11"/>
    </x:row>
    <x:row r="12430" spans="6:6" x14ac:dyDescent="0.25">
      <x:c r="F12430" s="11"/>
    </x:row>
    <x:row r="12431" spans="6:6" x14ac:dyDescent="0.25">
      <x:c r="F12431" s="11"/>
    </x:row>
    <x:row r="12432" spans="6:6" x14ac:dyDescent="0.25">
      <x:c r="F12432" s="11"/>
    </x:row>
    <x:row r="12433" spans="6:6" x14ac:dyDescent="0.25">
      <x:c r="F12433" s="11"/>
    </x:row>
    <x:row r="12434" spans="6:6" x14ac:dyDescent="0.25">
      <x:c r="F12434" s="11"/>
    </x:row>
    <x:row r="12435" spans="6:6" x14ac:dyDescent="0.25">
      <x:c r="F12435" s="11"/>
    </x:row>
    <x:row r="12436" spans="6:6" x14ac:dyDescent="0.25">
      <x:c r="F12436" s="11"/>
    </x:row>
    <x:row r="12437" spans="6:6" x14ac:dyDescent="0.25">
      <x:c r="F12437" s="11"/>
    </x:row>
    <x:row r="12438" spans="6:6" x14ac:dyDescent="0.25">
      <x:c r="F12438" s="11"/>
    </x:row>
    <x:row r="12439" spans="6:6" x14ac:dyDescent="0.25">
      <x:c r="F12439" s="11"/>
    </x:row>
    <x:row r="12440" spans="6:6" x14ac:dyDescent="0.25">
      <x:c r="F12440" s="11"/>
    </x:row>
    <x:row r="12441" spans="6:6" x14ac:dyDescent="0.25">
      <x:c r="F12441" s="11"/>
    </x:row>
    <x:row r="12442" spans="6:6" x14ac:dyDescent="0.25">
      <x:c r="F12442" s="11"/>
    </x:row>
    <x:row r="12443" spans="6:6" x14ac:dyDescent="0.25">
      <x:c r="F12443" s="11"/>
    </x:row>
    <x:row r="12444" spans="6:6" x14ac:dyDescent="0.25">
      <x:c r="F12444" s="11"/>
    </x:row>
    <x:row r="12445" spans="6:6" x14ac:dyDescent="0.25">
      <x:c r="F12445" s="11"/>
    </x:row>
    <x:row r="12446" spans="6:6" x14ac:dyDescent="0.25">
      <x:c r="F12446" s="11"/>
    </x:row>
    <x:row r="12447" spans="6:6" x14ac:dyDescent="0.25">
      <x:c r="F12447" s="11"/>
    </x:row>
    <x:row r="12448" spans="6:6" x14ac:dyDescent="0.25">
      <x:c r="F12448" s="11"/>
    </x:row>
    <x:row r="12449" spans="6:6" x14ac:dyDescent="0.25">
      <x:c r="F12449" s="11"/>
    </x:row>
    <x:row r="12450" spans="6:6" x14ac:dyDescent="0.25">
      <x:c r="F12450" s="11"/>
    </x:row>
    <x:row r="12451" spans="6:6" x14ac:dyDescent="0.25">
      <x:c r="F12451" s="11"/>
    </x:row>
    <x:row r="12452" spans="6:6" x14ac:dyDescent="0.25">
      <x:c r="F12452" s="11"/>
    </x:row>
    <x:row r="12453" spans="6:6" x14ac:dyDescent="0.25">
      <x:c r="F12453" s="11"/>
    </x:row>
    <x:row r="12454" spans="6:6" x14ac:dyDescent="0.25">
      <x:c r="F12454" s="11"/>
    </x:row>
    <x:row r="12455" spans="6:6" x14ac:dyDescent="0.25">
      <x:c r="F12455" s="11"/>
    </x:row>
    <x:row r="12456" spans="6:6" x14ac:dyDescent="0.25">
      <x:c r="F12456" s="11"/>
    </x:row>
    <x:row r="12457" spans="6:6" x14ac:dyDescent="0.25">
      <x:c r="F12457" s="11"/>
    </x:row>
    <x:row r="12458" spans="6:6" x14ac:dyDescent="0.25">
      <x:c r="F12458" s="11"/>
    </x:row>
    <x:row r="12459" spans="6:6" x14ac:dyDescent="0.25">
      <x:c r="F12459" s="11"/>
    </x:row>
    <x:row r="12460" spans="6:6" x14ac:dyDescent="0.25">
      <x:c r="F12460" s="11"/>
    </x:row>
    <x:row r="12461" spans="6:6" x14ac:dyDescent="0.25">
      <x:c r="F12461" s="11"/>
    </x:row>
    <x:row r="12462" spans="6:6" x14ac:dyDescent="0.25">
      <x:c r="F12462" s="11"/>
    </x:row>
    <x:row r="12463" spans="6:6" x14ac:dyDescent="0.25">
      <x:c r="F12463" s="11"/>
    </x:row>
    <x:row r="12464" spans="6:6" x14ac:dyDescent="0.25">
      <x:c r="F12464" s="11"/>
    </x:row>
    <x:row r="12465" spans="6:6" x14ac:dyDescent="0.25">
      <x:c r="F12465" s="11"/>
    </x:row>
    <x:row r="12466" spans="6:6" x14ac:dyDescent="0.25">
      <x:c r="F12466" s="11"/>
    </x:row>
    <x:row r="12467" spans="6:6" x14ac:dyDescent="0.25">
      <x:c r="F12467" s="11"/>
    </x:row>
    <x:row r="12468" spans="6:6" x14ac:dyDescent="0.25">
      <x:c r="F12468" s="11"/>
    </x:row>
    <x:row r="12469" spans="6:6" x14ac:dyDescent="0.25">
      <x:c r="F12469" s="11"/>
    </x:row>
    <x:row r="12470" spans="6:6" x14ac:dyDescent="0.25">
      <x:c r="F12470" s="11"/>
    </x:row>
    <x:row r="12471" spans="6:6" x14ac:dyDescent="0.25">
      <x:c r="F12471" s="11"/>
    </x:row>
    <x:row r="12472" spans="6:6" x14ac:dyDescent="0.25">
      <x:c r="F12472" s="11"/>
    </x:row>
    <x:row r="12473" spans="6:6" x14ac:dyDescent="0.25">
      <x:c r="F12473" s="11"/>
    </x:row>
    <x:row r="12474" spans="6:6" x14ac:dyDescent="0.25">
      <x:c r="F12474" s="11"/>
    </x:row>
    <x:row r="12475" spans="6:6" x14ac:dyDescent="0.25">
      <x:c r="F12475" s="11"/>
    </x:row>
    <x:row r="12476" spans="6:6" x14ac:dyDescent="0.25">
      <x:c r="F12476" s="11"/>
    </x:row>
    <x:row r="12477" spans="6:6" x14ac:dyDescent="0.25">
      <x:c r="F12477" s="11"/>
    </x:row>
    <x:row r="12478" spans="6:6" x14ac:dyDescent="0.25">
      <x:c r="F12478" s="11"/>
    </x:row>
    <x:row r="12479" spans="6:6" x14ac:dyDescent="0.25">
      <x:c r="F12479" s="11"/>
    </x:row>
    <x:row r="12480" spans="6:6" x14ac:dyDescent="0.25">
      <x:c r="F12480" s="11"/>
    </x:row>
    <x:row r="12481" spans="6:6" x14ac:dyDescent="0.25">
      <x:c r="F12481" s="11"/>
    </x:row>
    <x:row r="12482" spans="6:6" x14ac:dyDescent="0.25">
      <x:c r="F12482" s="11"/>
    </x:row>
    <x:row r="12483" spans="6:6" x14ac:dyDescent="0.25">
      <x:c r="F12483" s="11"/>
    </x:row>
    <x:row r="12484" spans="6:6" x14ac:dyDescent="0.25">
      <x:c r="F12484" s="11"/>
    </x:row>
    <x:row r="12485" spans="6:6" x14ac:dyDescent="0.25">
      <x:c r="F12485" s="11"/>
    </x:row>
    <x:row r="12486" spans="6:6" x14ac:dyDescent="0.25">
      <x:c r="F12486" s="11"/>
    </x:row>
    <x:row r="12487" spans="6:6" x14ac:dyDescent="0.25">
      <x:c r="F12487" s="11"/>
    </x:row>
    <x:row r="12488" spans="6:6" x14ac:dyDescent="0.25">
      <x:c r="F12488" s="11"/>
    </x:row>
    <x:row r="12489" spans="6:6" x14ac:dyDescent="0.25">
      <x:c r="F12489" s="11"/>
    </x:row>
    <x:row r="12490" spans="6:6" x14ac:dyDescent="0.25">
      <x:c r="F12490" s="11"/>
    </x:row>
    <x:row r="12491" spans="6:6" x14ac:dyDescent="0.25">
      <x:c r="F12491" s="11"/>
    </x:row>
    <x:row r="12492" spans="6:6" x14ac:dyDescent="0.25">
      <x:c r="F12492" s="11"/>
    </x:row>
    <x:row r="12493" spans="6:6" x14ac:dyDescent="0.25">
      <x:c r="F12493" s="11"/>
    </x:row>
    <x:row r="12494" spans="6:6" x14ac:dyDescent="0.25">
      <x:c r="F12494" s="11"/>
    </x:row>
    <x:row r="12495" spans="6:6" x14ac:dyDescent="0.25">
      <x:c r="F12495" s="11"/>
    </x:row>
    <x:row r="12496" spans="6:6" x14ac:dyDescent="0.25">
      <x:c r="F12496" s="11"/>
    </x:row>
    <x:row r="12497" spans="6:6" x14ac:dyDescent="0.25">
      <x:c r="F12497" s="11"/>
    </x:row>
    <x:row r="12498" spans="6:6" x14ac:dyDescent="0.25">
      <x:c r="F12498" s="11"/>
    </x:row>
    <x:row r="12499" spans="6:6" x14ac:dyDescent="0.25">
      <x:c r="F12499" s="11"/>
    </x:row>
    <x:row r="12500" spans="6:6" x14ac:dyDescent="0.25">
      <x:c r="F12500" s="11"/>
    </x:row>
    <x:row r="12501" spans="6:6" x14ac:dyDescent="0.25">
      <x:c r="F12501" s="11"/>
    </x:row>
    <x:row r="12502" spans="6:6" x14ac:dyDescent="0.25">
      <x:c r="F12502" s="11"/>
    </x:row>
    <x:row r="12503" spans="6:6" x14ac:dyDescent="0.25">
      <x:c r="F12503" s="11"/>
    </x:row>
    <x:row r="12504" spans="6:6" x14ac:dyDescent="0.25">
      <x:c r="F12504" s="11"/>
    </x:row>
    <x:row r="12505" spans="6:6" x14ac:dyDescent="0.25">
      <x:c r="F12505" s="11"/>
    </x:row>
    <x:row r="12506" spans="6:6" x14ac:dyDescent="0.25">
      <x:c r="F12506" s="11"/>
    </x:row>
    <x:row r="12507" spans="6:6" x14ac:dyDescent="0.25">
      <x:c r="F12507" s="11"/>
    </x:row>
    <x:row r="12508" spans="6:6" x14ac:dyDescent="0.25">
      <x:c r="F12508" s="11"/>
    </x:row>
    <x:row r="12509" spans="6:6" x14ac:dyDescent="0.25">
      <x:c r="F12509" s="11"/>
    </x:row>
    <x:row r="12510" spans="6:6" x14ac:dyDescent="0.25">
      <x:c r="F12510" s="11"/>
    </x:row>
    <x:row r="12511" spans="6:6" x14ac:dyDescent="0.25">
      <x:c r="F12511" s="11"/>
    </x:row>
    <x:row r="12512" spans="6:6" x14ac:dyDescent="0.25">
      <x:c r="F12512" s="11"/>
    </x:row>
    <x:row r="12513" spans="6:6" x14ac:dyDescent="0.25">
      <x:c r="F12513" s="11"/>
    </x:row>
    <x:row r="12514" spans="6:6" x14ac:dyDescent="0.25">
      <x:c r="F12514" s="11"/>
    </x:row>
    <x:row r="12515" spans="6:6" x14ac:dyDescent="0.25">
      <x:c r="F12515" s="11"/>
    </x:row>
    <x:row r="12516" spans="6:6" x14ac:dyDescent="0.25">
      <x:c r="F12516" s="11"/>
    </x:row>
    <x:row r="12517" spans="6:6" x14ac:dyDescent="0.25">
      <x:c r="F12517" s="11"/>
    </x:row>
    <x:row r="12518" spans="6:6" x14ac:dyDescent="0.25">
      <x:c r="F12518" s="11"/>
    </x:row>
    <x:row r="12519" spans="6:6" x14ac:dyDescent="0.25">
      <x:c r="F12519" s="11"/>
    </x:row>
    <x:row r="12520" spans="6:6" x14ac:dyDescent="0.25">
      <x:c r="F12520" s="11"/>
    </x:row>
    <x:row r="12521" spans="6:6" x14ac:dyDescent="0.25">
      <x:c r="F12521" s="11"/>
    </x:row>
    <x:row r="12522" spans="6:6" x14ac:dyDescent="0.25">
      <x:c r="F12522" s="11"/>
    </x:row>
    <x:row r="12523" spans="6:6" x14ac:dyDescent="0.25">
      <x:c r="F12523" s="11"/>
    </x:row>
    <x:row r="12524" spans="6:6" x14ac:dyDescent="0.25">
      <x:c r="F12524" s="11"/>
    </x:row>
    <x:row r="12525" spans="6:6" x14ac:dyDescent="0.25">
      <x:c r="F12525" s="11"/>
    </x:row>
    <x:row r="12526" spans="6:6" x14ac:dyDescent="0.25">
      <x:c r="F12526" s="11"/>
    </x:row>
    <x:row r="12527" spans="6:6" x14ac:dyDescent="0.25">
      <x:c r="F12527" s="11"/>
    </x:row>
    <x:row r="12528" spans="6:6" x14ac:dyDescent="0.25">
      <x:c r="F12528" s="11"/>
    </x:row>
    <x:row r="12529" spans="6:6" x14ac:dyDescent="0.25">
      <x:c r="F12529" s="11"/>
    </x:row>
    <x:row r="12530" spans="6:6" x14ac:dyDescent="0.25">
      <x:c r="F12530" s="11"/>
    </x:row>
    <x:row r="12531" spans="6:6" x14ac:dyDescent="0.25">
      <x:c r="F12531" s="11"/>
    </x:row>
    <x:row r="12532" spans="6:6" x14ac:dyDescent="0.25">
      <x:c r="F12532" s="11"/>
    </x:row>
    <x:row r="12533" spans="6:6" x14ac:dyDescent="0.25">
      <x:c r="F12533" s="11"/>
    </x:row>
    <x:row r="12534" spans="6:6" x14ac:dyDescent="0.25">
      <x:c r="F12534" s="11"/>
    </x:row>
    <x:row r="12535" spans="6:6" x14ac:dyDescent="0.25">
      <x:c r="F12535" s="11"/>
    </x:row>
    <x:row r="12536" spans="6:6" x14ac:dyDescent="0.25">
      <x:c r="F12536" s="11"/>
    </x:row>
    <x:row r="12537" spans="6:6" x14ac:dyDescent="0.25">
      <x:c r="F12537" s="11"/>
    </x:row>
    <x:row r="12538" spans="6:6" x14ac:dyDescent="0.25">
      <x:c r="F12538" s="11"/>
    </x:row>
    <x:row r="12539" spans="6:6" x14ac:dyDescent="0.25">
      <x:c r="F12539" s="11"/>
    </x:row>
    <x:row r="12540" spans="6:6" x14ac:dyDescent="0.25">
      <x:c r="F12540" s="11"/>
    </x:row>
    <x:row r="12541" spans="6:6" x14ac:dyDescent="0.25">
      <x:c r="F12541" s="11"/>
    </x:row>
    <x:row r="12542" spans="6:6" x14ac:dyDescent="0.25">
      <x:c r="F12542" s="11"/>
    </x:row>
    <x:row r="12543" spans="6:6" x14ac:dyDescent="0.25">
      <x:c r="F12543" s="11"/>
    </x:row>
    <x:row r="12544" spans="6:6" x14ac:dyDescent="0.25">
      <x:c r="F12544" s="11"/>
    </x:row>
    <x:row r="12545" spans="6:6" x14ac:dyDescent="0.25">
      <x:c r="F12545" s="11"/>
    </x:row>
    <x:row r="12546" spans="6:6" x14ac:dyDescent="0.25">
      <x:c r="F12546" s="11"/>
    </x:row>
    <x:row r="12547" spans="6:6" x14ac:dyDescent="0.25">
      <x:c r="F12547" s="11"/>
    </x:row>
    <x:row r="12548" spans="6:6" x14ac:dyDescent="0.25">
      <x:c r="F12548" s="11"/>
    </x:row>
    <x:row r="12549" spans="6:6" x14ac:dyDescent="0.25">
      <x:c r="F12549" s="11"/>
    </x:row>
    <x:row r="12550" spans="6:6" x14ac:dyDescent="0.25">
      <x:c r="F12550" s="11"/>
    </x:row>
    <x:row r="12551" spans="6:6" x14ac:dyDescent="0.25">
      <x:c r="F12551" s="11"/>
    </x:row>
    <x:row r="12552" spans="6:6" x14ac:dyDescent="0.25">
      <x:c r="F12552" s="11"/>
    </x:row>
    <x:row r="12553" spans="6:6" x14ac:dyDescent="0.25">
      <x:c r="F12553" s="11"/>
    </x:row>
    <x:row r="12554" spans="6:6" x14ac:dyDescent="0.25">
      <x:c r="F12554" s="11"/>
    </x:row>
    <x:row r="12555" spans="6:6" x14ac:dyDescent="0.25">
      <x:c r="F12555" s="11"/>
    </x:row>
    <x:row r="12556" spans="6:6" x14ac:dyDescent="0.25">
      <x:c r="F12556" s="11"/>
    </x:row>
    <x:row r="12557" spans="6:6" x14ac:dyDescent="0.25">
      <x:c r="F12557" s="11"/>
    </x:row>
    <x:row r="12558" spans="6:6" x14ac:dyDescent="0.25">
      <x:c r="F12558" s="11"/>
    </x:row>
    <x:row r="12559" spans="6:6" x14ac:dyDescent="0.25">
      <x:c r="F12559" s="11"/>
    </x:row>
    <x:row r="12560" spans="6:6" x14ac:dyDescent="0.25">
      <x:c r="F12560" s="11"/>
    </x:row>
    <x:row r="12561" spans="6:6" x14ac:dyDescent="0.25">
      <x:c r="F12561" s="11"/>
    </x:row>
    <x:row r="12562" spans="6:6" x14ac:dyDescent="0.25">
      <x:c r="F12562" s="11"/>
    </x:row>
    <x:row r="12563" spans="6:6" x14ac:dyDescent="0.25">
      <x:c r="F12563" s="11"/>
    </x:row>
    <x:row r="12564" spans="6:6" x14ac:dyDescent="0.25">
      <x:c r="F12564" s="11"/>
    </x:row>
    <x:row r="12565" spans="6:6" x14ac:dyDescent="0.25">
      <x:c r="F12565" s="11"/>
    </x:row>
    <x:row r="12566" spans="6:6" x14ac:dyDescent="0.25">
      <x:c r="F12566" s="11"/>
    </x:row>
    <x:row r="12567" spans="6:6" x14ac:dyDescent="0.25">
      <x:c r="F12567" s="11"/>
    </x:row>
    <x:row r="12568" spans="6:6" x14ac:dyDescent="0.25">
      <x:c r="F12568" s="11"/>
    </x:row>
    <x:row r="12569" spans="6:6" x14ac:dyDescent="0.25">
      <x:c r="F12569" s="11"/>
    </x:row>
    <x:row r="12570" spans="6:6" x14ac:dyDescent="0.25">
      <x:c r="F12570" s="11"/>
    </x:row>
    <x:row r="12571" spans="6:6" x14ac:dyDescent="0.25">
      <x:c r="F12571" s="11"/>
    </x:row>
    <x:row r="12572" spans="6:6" x14ac:dyDescent="0.25">
      <x:c r="F12572" s="11"/>
    </x:row>
    <x:row r="12573" spans="6:6" x14ac:dyDescent="0.25">
      <x:c r="F12573" s="11"/>
    </x:row>
    <x:row r="12574" spans="6:6" x14ac:dyDescent="0.25">
      <x:c r="F12574" s="11"/>
    </x:row>
    <x:row r="12575" spans="6:6" x14ac:dyDescent="0.25">
      <x:c r="F12575" s="11"/>
    </x:row>
    <x:row r="12576" spans="6:6" x14ac:dyDescent="0.25">
      <x:c r="F12576" s="11"/>
    </x:row>
    <x:row r="12577" spans="6:6" x14ac:dyDescent="0.25">
      <x:c r="F12577" s="11"/>
    </x:row>
    <x:row r="12578" spans="6:6" x14ac:dyDescent="0.25">
      <x:c r="F12578" s="11"/>
    </x:row>
    <x:row r="12579" spans="6:6" x14ac:dyDescent="0.25">
      <x:c r="F12579" s="11"/>
    </x:row>
    <x:row r="12580" spans="6:6" x14ac:dyDescent="0.25">
      <x:c r="F12580" s="11"/>
    </x:row>
    <x:row r="12581" spans="6:6" x14ac:dyDescent="0.25">
      <x:c r="F12581" s="11"/>
    </x:row>
    <x:row r="12582" spans="6:6" x14ac:dyDescent="0.25">
      <x:c r="F12582" s="11"/>
    </x:row>
    <x:row r="12583" spans="6:6" x14ac:dyDescent="0.25">
      <x:c r="F12583" s="11"/>
    </x:row>
    <x:row r="12584" spans="6:6" x14ac:dyDescent="0.25">
      <x:c r="F12584" s="11"/>
    </x:row>
    <x:row r="12585" spans="6:6" x14ac:dyDescent="0.25">
      <x:c r="F12585" s="11"/>
    </x:row>
    <x:row r="12586" spans="6:6" x14ac:dyDescent="0.25">
      <x:c r="F12586" s="11"/>
    </x:row>
    <x:row r="12587" spans="6:6" x14ac:dyDescent="0.25">
      <x:c r="F12587" s="11"/>
    </x:row>
    <x:row r="12588" spans="6:6" x14ac:dyDescent="0.25">
      <x:c r="F12588" s="11"/>
    </x:row>
    <x:row r="12589" spans="6:6" x14ac:dyDescent="0.25">
      <x:c r="F12589" s="11"/>
    </x:row>
    <x:row r="12590" spans="6:6" x14ac:dyDescent="0.25">
      <x:c r="F12590" s="11"/>
    </x:row>
    <x:row r="12591" spans="6:6" x14ac:dyDescent="0.25">
      <x:c r="F12591" s="11"/>
    </x:row>
    <x:row r="12592" spans="6:6" x14ac:dyDescent="0.25">
      <x:c r="F12592" s="11"/>
    </x:row>
    <x:row r="12593" spans="6:6" x14ac:dyDescent="0.25">
      <x:c r="F12593" s="11"/>
    </x:row>
    <x:row r="12594" spans="6:6" x14ac:dyDescent="0.25">
      <x:c r="F12594" s="11"/>
    </x:row>
    <x:row r="12595" spans="6:6" x14ac:dyDescent="0.25">
      <x:c r="F12595" s="11"/>
    </x:row>
    <x:row r="12596" spans="6:6" x14ac:dyDescent="0.25">
      <x:c r="F12596" s="11"/>
    </x:row>
    <x:row r="12597" spans="6:6" x14ac:dyDescent="0.25">
      <x:c r="F12597" s="11"/>
    </x:row>
    <x:row r="12598" spans="6:6" x14ac:dyDescent="0.25">
      <x:c r="F12598" s="11"/>
    </x:row>
    <x:row r="12599" spans="6:6" x14ac:dyDescent="0.25">
      <x:c r="F12599" s="11"/>
    </x:row>
    <x:row r="12600" spans="6:6" x14ac:dyDescent="0.25">
      <x:c r="F12600" s="11"/>
    </x:row>
    <x:row r="12601" spans="6:6" x14ac:dyDescent="0.25">
      <x:c r="F12601" s="11"/>
    </x:row>
    <x:row r="12602" spans="6:6" x14ac:dyDescent="0.25">
      <x:c r="F12602" s="11"/>
    </x:row>
    <x:row r="12603" spans="6:6" x14ac:dyDescent="0.25">
      <x:c r="F12603" s="11"/>
    </x:row>
    <x:row r="12604" spans="6:6" x14ac:dyDescent="0.25">
      <x:c r="F12604" s="11"/>
    </x:row>
    <x:row r="12605" spans="6:6" x14ac:dyDescent="0.25">
      <x:c r="F12605" s="11"/>
    </x:row>
    <x:row r="12606" spans="6:6" x14ac:dyDescent="0.25">
      <x:c r="F12606" s="11"/>
    </x:row>
    <x:row r="12607" spans="6:6" x14ac:dyDescent="0.25">
      <x:c r="F12607" s="11"/>
    </x:row>
    <x:row r="12608" spans="6:6" x14ac:dyDescent="0.25">
      <x:c r="F12608" s="11"/>
    </x:row>
    <x:row r="12609" spans="6:6" x14ac:dyDescent="0.25">
      <x:c r="F12609" s="11"/>
    </x:row>
    <x:row r="12610" spans="6:6" x14ac:dyDescent="0.25">
      <x:c r="F12610" s="11"/>
    </x:row>
    <x:row r="12611" spans="6:6" x14ac:dyDescent="0.25">
      <x:c r="F12611" s="11"/>
    </x:row>
    <x:row r="12612" spans="6:6" x14ac:dyDescent="0.25">
      <x:c r="F12612" s="11"/>
    </x:row>
    <x:row r="12613" spans="6:6" x14ac:dyDescent="0.25">
      <x:c r="F12613" s="11"/>
    </x:row>
    <x:row r="12614" spans="6:6" x14ac:dyDescent="0.25">
      <x:c r="F12614" s="11"/>
    </x:row>
    <x:row r="12615" spans="6:6" x14ac:dyDescent="0.25">
      <x:c r="F12615" s="11"/>
    </x:row>
    <x:row r="12616" spans="6:6" x14ac:dyDescent="0.25">
      <x:c r="F12616" s="11"/>
    </x:row>
    <x:row r="12617" spans="6:6" x14ac:dyDescent="0.25">
      <x:c r="F12617" s="11"/>
    </x:row>
    <x:row r="12618" spans="6:6" x14ac:dyDescent="0.25">
      <x:c r="F12618" s="11"/>
    </x:row>
    <x:row r="12619" spans="6:6" x14ac:dyDescent="0.25">
      <x:c r="F12619" s="11"/>
    </x:row>
    <x:row r="12620" spans="6:6" x14ac:dyDescent="0.25">
      <x:c r="F12620" s="11"/>
    </x:row>
    <x:row r="12621" spans="6:6" x14ac:dyDescent="0.25">
      <x:c r="F12621" s="11"/>
    </x:row>
    <x:row r="12622" spans="6:6" x14ac:dyDescent="0.25">
      <x:c r="F12622" s="11"/>
    </x:row>
    <x:row r="12623" spans="6:6" x14ac:dyDescent="0.25">
      <x:c r="F12623" s="11"/>
    </x:row>
    <x:row r="12624" spans="6:6" x14ac:dyDescent="0.25">
      <x:c r="F12624" s="11"/>
    </x:row>
    <x:row r="12625" spans="6:6" x14ac:dyDescent="0.25">
      <x:c r="F12625" s="11"/>
    </x:row>
    <x:row r="12626" spans="6:6" x14ac:dyDescent="0.25">
      <x:c r="F12626" s="11"/>
    </x:row>
    <x:row r="12627" spans="6:6" x14ac:dyDescent="0.25">
      <x:c r="F12627" s="11"/>
    </x:row>
    <x:row r="12628" spans="6:6" x14ac:dyDescent="0.25">
      <x:c r="F12628" s="11"/>
    </x:row>
    <x:row r="12629" spans="6:6" x14ac:dyDescent="0.25">
      <x:c r="F12629" s="11"/>
    </x:row>
    <x:row r="12630" spans="6:6" x14ac:dyDescent="0.25">
      <x:c r="F12630" s="11"/>
    </x:row>
    <x:row r="12631" spans="6:6" x14ac:dyDescent="0.25">
      <x:c r="F12631" s="11"/>
    </x:row>
    <x:row r="12632" spans="6:6" x14ac:dyDescent="0.25">
      <x:c r="F12632" s="11"/>
    </x:row>
    <x:row r="12633" spans="6:6" x14ac:dyDescent="0.25">
      <x:c r="F12633" s="11"/>
    </x:row>
    <x:row r="12634" spans="6:6" x14ac:dyDescent="0.25">
      <x:c r="F12634" s="11"/>
    </x:row>
    <x:row r="12635" spans="6:6" x14ac:dyDescent="0.25">
      <x:c r="F12635" s="11"/>
    </x:row>
    <x:row r="12636" spans="6:6" x14ac:dyDescent="0.25">
      <x:c r="F12636" s="11"/>
    </x:row>
    <x:row r="12637" spans="6:6" x14ac:dyDescent="0.25">
      <x:c r="F12637" s="11"/>
    </x:row>
    <x:row r="12638" spans="6:6" x14ac:dyDescent="0.25">
      <x:c r="F12638" s="11"/>
    </x:row>
    <x:row r="12639" spans="6:6" x14ac:dyDescent="0.25">
      <x:c r="F12639" s="11"/>
    </x:row>
    <x:row r="12640" spans="6:6" x14ac:dyDescent="0.25">
      <x:c r="F12640" s="11"/>
    </x:row>
    <x:row r="12641" spans="6:6" x14ac:dyDescent="0.25">
      <x:c r="F12641" s="11"/>
    </x:row>
    <x:row r="12642" spans="6:6" x14ac:dyDescent="0.25">
      <x:c r="F12642" s="11"/>
    </x:row>
    <x:row r="12643" spans="6:6" x14ac:dyDescent="0.25">
      <x:c r="F12643" s="11"/>
    </x:row>
    <x:row r="12644" spans="6:6" x14ac:dyDescent="0.25">
      <x:c r="F12644" s="11"/>
    </x:row>
    <x:row r="12645" spans="6:6" x14ac:dyDescent="0.25">
      <x:c r="F12645" s="11"/>
    </x:row>
    <x:row r="12646" spans="6:6" x14ac:dyDescent="0.25">
      <x:c r="F12646" s="11"/>
    </x:row>
    <x:row r="12647" spans="6:6" x14ac:dyDescent="0.25">
      <x:c r="F12647" s="11"/>
    </x:row>
    <x:row r="12648" spans="6:6" x14ac:dyDescent="0.25">
      <x:c r="F12648" s="11"/>
    </x:row>
    <x:row r="12649" spans="6:6" x14ac:dyDescent="0.25">
      <x:c r="F12649" s="11"/>
    </x:row>
    <x:row r="12650" spans="6:6" x14ac:dyDescent="0.25">
      <x:c r="F12650" s="11"/>
    </x:row>
    <x:row r="12651" spans="6:6" x14ac:dyDescent="0.25">
      <x:c r="F12651" s="11"/>
    </x:row>
    <x:row r="12652" spans="6:6" x14ac:dyDescent="0.25">
      <x:c r="F12652" s="11"/>
    </x:row>
    <x:row r="12653" spans="6:6" x14ac:dyDescent="0.25">
      <x:c r="F12653" s="11"/>
    </x:row>
    <x:row r="12654" spans="6:6" x14ac:dyDescent="0.25">
      <x:c r="F12654" s="11"/>
    </x:row>
    <x:row r="12655" spans="6:6" x14ac:dyDescent="0.25">
      <x:c r="F12655" s="11"/>
    </x:row>
    <x:row r="12656" spans="6:6" x14ac:dyDescent="0.25">
      <x:c r="F12656" s="11"/>
    </x:row>
    <x:row r="12657" spans="6:6" x14ac:dyDescent="0.25">
      <x:c r="F12657" s="11"/>
    </x:row>
    <x:row r="12658" spans="6:6" x14ac:dyDescent="0.25">
      <x:c r="F12658" s="11"/>
    </x:row>
    <x:row r="12659" spans="6:6" x14ac:dyDescent="0.25">
      <x:c r="F12659" s="11"/>
    </x:row>
    <x:row r="12660" spans="6:6" x14ac:dyDescent="0.25">
      <x:c r="F12660" s="11"/>
    </x:row>
    <x:row r="12661" spans="6:6" x14ac:dyDescent="0.25">
      <x:c r="F12661" s="11"/>
    </x:row>
    <x:row r="12662" spans="6:6" x14ac:dyDescent="0.25">
      <x:c r="F12662" s="11"/>
    </x:row>
    <x:row r="12663" spans="6:6" x14ac:dyDescent="0.25">
      <x:c r="F12663" s="11"/>
    </x:row>
    <x:row r="12664" spans="6:6" x14ac:dyDescent="0.25">
      <x:c r="F12664" s="11"/>
    </x:row>
    <x:row r="12665" spans="6:6" x14ac:dyDescent="0.25">
      <x:c r="F12665" s="11"/>
    </x:row>
    <x:row r="12666" spans="6:6" x14ac:dyDescent="0.25">
      <x:c r="F12666" s="11"/>
    </x:row>
    <x:row r="12667" spans="6:6" x14ac:dyDescent="0.25">
      <x:c r="F12667" s="11"/>
    </x:row>
    <x:row r="12668" spans="6:6" x14ac:dyDescent="0.25">
      <x:c r="F12668" s="11"/>
    </x:row>
    <x:row r="12669" spans="6:6" x14ac:dyDescent="0.25">
      <x:c r="F12669" s="11"/>
    </x:row>
    <x:row r="12670" spans="6:6" x14ac:dyDescent="0.25">
      <x:c r="F12670" s="11"/>
    </x:row>
    <x:row r="12671" spans="6:6" x14ac:dyDescent="0.25">
      <x:c r="F12671" s="11"/>
    </x:row>
    <x:row r="12672" spans="6:6" x14ac:dyDescent="0.25">
      <x:c r="F12672" s="11"/>
    </x:row>
    <x:row r="12673" spans="6:6" x14ac:dyDescent="0.25">
      <x:c r="F12673" s="11"/>
    </x:row>
    <x:row r="12674" spans="6:6" x14ac:dyDescent="0.25">
      <x:c r="F12674" s="11"/>
    </x:row>
    <x:row r="12675" spans="6:6" x14ac:dyDescent="0.25">
      <x:c r="F12675" s="11"/>
    </x:row>
    <x:row r="12676" spans="6:6" x14ac:dyDescent="0.25">
      <x:c r="F12676" s="11"/>
    </x:row>
    <x:row r="12677" spans="6:6" x14ac:dyDescent="0.25">
      <x:c r="F12677" s="11"/>
    </x:row>
    <x:row r="12678" spans="6:6" x14ac:dyDescent="0.25">
      <x:c r="F12678" s="11"/>
    </x:row>
    <x:row r="12679" spans="6:6" x14ac:dyDescent="0.25">
      <x:c r="F12679" s="11"/>
    </x:row>
    <x:row r="12680" spans="6:6" x14ac:dyDescent="0.25">
      <x:c r="F12680" s="11"/>
    </x:row>
    <x:row r="12681" spans="6:6" x14ac:dyDescent="0.25">
      <x:c r="F12681" s="11"/>
    </x:row>
    <x:row r="12682" spans="6:6" x14ac:dyDescent="0.25">
      <x:c r="F12682" s="11"/>
    </x:row>
    <x:row r="12683" spans="6:6" x14ac:dyDescent="0.25">
      <x:c r="F12683" s="11"/>
    </x:row>
    <x:row r="12684" spans="6:6" x14ac:dyDescent="0.25">
      <x:c r="F12684" s="11"/>
    </x:row>
    <x:row r="12685" spans="6:6" x14ac:dyDescent="0.25">
      <x:c r="F12685" s="11"/>
    </x:row>
    <x:row r="12686" spans="6:6" x14ac:dyDescent="0.25">
      <x:c r="F12686" s="11"/>
    </x:row>
    <x:row r="12687" spans="6:6" x14ac:dyDescent="0.25">
      <x:c r="F12687" s="11"/>
    </x:row>
    <x:row r="12688" spans="6:6" x14ac:dyDescent="0.25">
      <x:c r="F12688" s="11"/>
    </x:row>
    <x:row r="12689" spans="6:6" x14ac:dyDescent="0.25">
      <x:c r="F12689" s="11"/>
    </x:row>
    <x:row r="12690" spans="6:6" x14ac:dyDescent="0.25">
      <x:c r="F12690" s="11"/>
    </x:row>
    <x:row r="12691" spans="6:6" x14ac:dyDescent="0.25">
      <x:c r="F12691" s="11"/>
    </x:row>
    <x:row r="12692" spans="6:6" x14ac:dyDescent="0.25">
      <x:c r="F12692" s="11"/>
    </x:row>
    <x:row r="12693" spans="6:6" x14ac:dyDescent="0.25">
      <x:c r="F12693" s="11"/>
    </x:row>
    <x:row r="12694" spans="6:6" x14ac:dyDescent="0.25">
      <x:c r="F12694" s="11"/>
    </x:row>
    <x:row r="12695" spans="6:6" x14ac:dyDescent="0.25">
      <x:c r="F12695" s="11"/>
    </x:row>
    <x:row r="12696" spans="6:6" x14ac:dyDescent="0.25">
      <x:c r="F12696" s="11"/>
    </x:row>
    <x:row r="12697" spans="6:6" x14ac:dyDescent="0.25">
      <x:c r="F12697" s="11"/>
    </x:row>
    <x:row r="12698" spans="6:6" x14ac:dyDescent="0.25">
      <x:c r="F12698" s="11"/>
    </x:row>
    <x:row r="12699" spans="6:6" x14ac:dyDescent="0.25">
      <x:c r="F12699" s="11"/>
    </x:row>
    <x:row r="12700" spans="6:6" x14ac:dyDescent="0.25">
      <x:c r="F12700" s="11"/>
    </x:row>
    <x:row r="12701" spans="6:6" x14ac:dyDescent="0.25">
      <x:c r="F12701" s="11"/>
    </x:row>
    <x:row r="12702" spans="6:6" x14ac:dyDescent="0.25">
      <x:c r="F12702" s="11"/>
    </x:row>
    <x:row r="12703" spans="6:6" x14ac:dyDescent="0.25">
      <x:c r="F12703" s="11"/>
    </x:row>
    <x:row r="12704" spans="6:6" x14ac:dyDescent="0.25">
      <x:c r="F12704" s="11"/>
    </x:row>
    <x:row r="12705" spans="6:6" x14ac:dyDescent="0.25">
      <x:c r="F12705" s="11"/>
    </x:row>
    <x:row r="12706" spans="6:6" x14ac:dyDescent="0.25">
      <x:c r="F12706" s="11"/>
    </x:row>
    <x:row r="12707" spans="6:6" x14ac:dyDescent="0.25">
      <x:c r="F12707" s="11"/>
    </x:row>
    <x:row r="12708" spans="6:6" x14ac:dyDescent="0.25">
      <x:c r="F12708" s="11"/>
    </x:row>
    <x:row r="12709" spans="6:6" x14ac:dyDescent="0.25">
      <x:c r="F12709" s="11"/>
    </x:row>
    <x:row r="12710" spans="6:6" x14ac:dyDescent="0.25">
      <x:c r="F12710" s="11"/>
    </x:row>
    <x:row r="12711" spans="6:6" x14ac:dyDescent="0.25">
      <x:c r="F12711" s="11"/>
    </x:row>
    <x:row r="12712" spans="6:6" x14ac:dyDescent="0.25">
      <x:c r="F12712" s="11"/>
    </x:row>
    <x:row r="12713" spans="6:6" x14ac:dyDescent="0.25">
      <x:c r="F12713" s="11"/>
    </x:row>
    <x:row r="12714" spans="6:6" x14ac:dyDescent="0.25">
      <x:c r="F12714" s="11"/>
    </x:row>
    <x:row r="12715" spans="6:6" x14ac:dyDescent="0.25">
      <x:c r="F12715" s="11"/>
    </x:row>
    <x:row r="12716" spans="6:6" x14ac:dyDescent="0.25">
      <x:c r="F12716" s="11"/>
    </x:row>
    <x:row r="12717" spans="6:6" x14ac:dyDescent="0.25">
      <x:c r="F12717" s="11"/>
    </x:row>
    <x:row r="12718" spans="6:6" x14ac:dyDescent="0.25">
      <x:c r="F12718" s="11"/>
    </x:row>
    <x:row r="12719" spans="6:6" x14ac:dyDescent="0.25">
      <x:c r="F12719" s="11"/>
    </x:row>
    <x:row r="12720" spans="6:6" x14ac:dyDescent="0.25">
      <x:c r="F12720" s="11"/>
    </x:row>
    <x:row r="12721" spans="6:6" x14ac:dyDescent="0.25">
      <x:c r="F12721" s="11"/>
    </x:row>
    <x:row r="12722" spans="6:6" x14ac:dyDescent="0.25">
      <x:c r="F12722" s="11"/>
    </x:row>
    <x:row r="12723" spans="6:6" x14ac:dyDescent="0.25">
      <x:c r="F12723" s="11"/>
    </x:row>
    <x:row r="12724" spans="6:6" x14ac:dyDescent="0.25">
      <x:c r="F12724" s="11"/>
    </x:row>
    <x:row r="12725" spans="6:6" x14ac:dyDescent="0.25">
      <x:c r="F12725" s="11"/>
    </x:row>
    <x:row r="12726" spans="6:6" x14ac:dyDescent="0.25">
      <x:c r="F12726" s="11"/>
    </x:row>
    <x:row r="12727" spans="6:6" x14ac:dyDescent="0.25">
      <x:c r="F12727" s="11"/>
    </x:row>
    <x:row r="12728" spans="6:6" x14ac:dyDescent="0.25">
      <x:c r="F12728" s="11"/>
    </x:row>
    <x:row r="12729" spans="6:6" x14ac:dyDescent="0.25">
      <x:c r="F12729" s="11"/>
    </x:row>
    <x:row r="12730" spans="6:6" x14ac:dyDescent="0.25">
      <x:c r="F12730" s="11"/>
    </x:row>
    <x:row r="12731" spans="6:6" x14ac:dyDescent="0.25">
      <x:c r="F12731" s="11"/>
    </x:row>
    <x:row r="12732" spans="6:6" x14ac:dyDescent="0.25">
      <x:c r="F12732" s="11"/>
    </x:row>
    <x:row r="12733" spans="6:6" x14ac:dyDescent="0.25">
      <x:c r="F12733" s="11"/>
    </x:row>
    <x:row r="12734" spans="6:6" x14ac:dyDescent="0.25">
      <x:c r="F12734" s="11"/>
    </x:row>
    <x:row r="12735" spans="6:6" x14ac:dyDescent="0.25">
      <x:c r="F12735" s="11"/>
    </x:row>
    <x:row r="12736" spans="6:6" x14ac:dyDescent="0.25">
      <x:c r="F12736" s="11"/>
    </x:row>
    <x:row r="12737" spans="6:6" x14ac:dyDescent="0.25">
      <x:c r="F12737" s="11"/>
    </x:row>
    <x:row r="12738" spans="6:6" x14ac:dyDescent="0.25">
      <x:c r="F12738" s="11"/>
    </x:row>
    <x:row r="12739" spans="6:6" x14ac:dyDescent="0.25">
      <x:c r="F12739" s="11"/>
    </x:row>
    <x:row r="12740" spans="6:6" x14ac:dyDescent="0.25">
      <x:c r="F12740" s="11"/>
    </x:row>
    <x:row r="12741" spans="6:6" x14ac:dyDescent="0.25">
      <x:c r="F12741" s="11"/>
    </x:row>
    <x:row r="12742" spans="6:6" x14ac:dyDescent="0.25">
      <x:c r="F12742" s="11"/>
    </x:row>
    <x:row r="12743" spans="6:6" x14ac:dyDescent="0.25">
      <x:c r="F12743" s="11"/>
    </x:row>
    <x:row r="12744" spans="6:6" x14ac:dyDescent="0.25">
      <x:c r="F12744" s="11"/>
    </x:row>
    <x:row r="12745" spans="6:6" x14ac:dyDescent="0.25">
      <x:c r="F12745" s="11"/>
    </x:row>
    <x:row r="12746" spans="6:6" x14ac:dyDescent="0.25">
      <x:c r="F12746" s="11"/>
    </x:row>
    <x:row r="12747" spans="6:6" x14ac:dyDescent="0.25">
      <x:c r="F12747" s="11"/>
    </x:row>
    <x:row r="12748" spans="6:6" x14ac:dyDescent="0.25">
      <x:c r="F12748" s="11"/>
    </x:row>
    <x:row r="12749" spans="6:6" x14ac:dyDescent="0.25">
      <x:c r="F12749" s="11"/>
    </x:row>
    <x:row r="12750" spans="6:6" x14ac:dyDescent="0.25">
      <x:c r="F12750" s="11"/>
    </x:row>
    <x:row r="12751" spans="6:6" x14ac:dyDescent="0.25">
      <x:c r="F12751" s="11"/>
    </x:row>
    <x:row r="12752" spans="6:6" x14ac:dyDescent="0.25">
      <x:c r="F12752" s="11"/>
    </x:row>
    <x:row r="12753" spans="6:6" x14ac:dyDescent="0.25">
      <x:c r="F12753" s="11"/>
    </x:row>
    <x:row r="12754" spans="6:6" x14ac:dyDescent="0.25">
      <x:c r="F12754" s="11"/>
    </x:row>
    <x:row r="12755" spans="6:6" x14ac:dyDescent="0.25">
      <x:c r="F12755" s="11"/>
    </x:row>
    <x:row r="12756" spans="6:6" x14ac:dyDescent="0.25">
      <x:c r="F12756" s="11"/>
    </x:row>
    <x:row r="12757" spans="6:6" x14ac:dyDescent="0.25">
      <x:c r="F12757" s="11"/>
    </x:row>
    <x:row r="12758" spans="6:6" x14ac:dyDescent="0.25">
      <x:c r="F12758" s="11"/>
    </x:row>
    <x:row r="12759" spans="6:6" x14ac:dyDescent="0.25">
      <x:c r="F12759" s="11"/>
    </x:row>
    <x:row r="12760" spans="6:6" x14ac:dyDescent="0.25">
      <x:c r="F12760" s="11"/>
    </x:row>
    <x:row r="12761" spans="6:6" x14ac:dyDescent="0.25">
      <x:c r="F12761" s="11"/>
    </x:row>
    <x:row r="12762" spans="6:6" x14ac:dyDescent="0.25">
      <x:c r="F12762" s="11"/>
    </x:row>
    <x:row r="12763" spans="6:6" x14ac:dyDescent="0.25">
      <x:c r="F12763" s="11"/>
    </x:row>
    <x:row r="12764" spans="6:6" x14ac:dyDescent="0.25">
      <x:c r="F12764" s="11"/>
    </x:row>
    <x:row r="12765" spans="6:6" x14ac:dyDescent="0.25">
      <x:c r="F12765" s="11"/>
    </x:row>
    <x:row r="12766" spans="6:6" x14ac:dyDescent="0.25">
      <x:c r="F12766" s="11"/>
    </x:row>
    <x:row r="12767" spans="6:6" x14ac:dyDescent="0.25">
      <x:c r="F12767" s="11"/>
    </x:row>
    <x:row r="12768" spans="6:6" x14ac:dyDescent="0.25">
      <x:c r="F12768" s="11"/>
    </x:row>
    <x:row r="12769" spans="6:6" x14ac:dyDescent="0.25">
      <x:c r="F12769" s="11"/>
    </x:row>
    <x:row r="12770" spans="6:6" x14ac:dyDescent="0.25">
      <x:c r="F12770" s="11"/>
    </x:row>
    <x:row r="12771" spans="6:6" x14ac:dyDescent="0.25">
      <x:c r="F12771" s="11"/>
    </x:row>
    <x:row r="12772" spans="6:6" x14ac:dyDescent="0.25">
      <x:c r="F12772" s="11"/>
    </x:row>
    <x:row r="12773" spans="6:6" x14ac:dyDescent="0.25">
      <x:c r="F12773" s="11"/>
    </x:row>
    <x:row r="12774" spans="6:6" x14ac:dyDescent="0.25">
      <x:c r="F12774" s="11"/>
    </x:row>
    <x:row r="12775" spans="6:6" x14ac:dyDescent="0.25">
      <x:c r="F12775" s="11"/>
    </x:row>
    <x:row r="12776" spans="6:6" x14ac:dyDescent="0.25">
      <x:c r="F12776" s="11"/>
    </x:row>
    <x:row r="12777" spans="6:6" x14ac:dyDescent="0.25">
      <x:c r="F12777" s="11"/>
    </x:row>
    <x:row r="12778" spans="6:6" x14ac:dyDescent="0.25">
      <x:c r="F12778" s="11"/>
    </x:row>
    <x:row r="12779" spans="6:6" x14ac:dyDescent="0.25">
      <x:c r="F12779" s="11"/>
    </x:row>
    <x:row r="12780" spans="6:6" x14ac:dyDescent="0.25">
      <x:c r="F12780" s="11"/>
    </x:row>
    <x:row r="12781" spans="6:6" x14ac:dyDescent="0.25">
      <x:c r="F12781" s="11"/>
    </x:row>
    <x:row r="12782" spans="6:6" x14ac:dyDescent="0.25">
      <x:c r="F12782" s="11"/>
    </x:row>
    <x:row r="12783" spans="6:6" x14ac:dyDescent="0.25">
      <x:c r="F12783" s="11"/>
    </x:row>
    <x:row r="12784" spans="6:6" x14ac:dyDescent="0.25">
      <x:c r="F12784" s="11"/>
    </x:row>
    <x:row r="12785" spans="6:6" x14ac:dyDescent="0.25">
      <x:c r="F12785" s="11"/>
    </x:row>
    <x:row r="12786" spans="6:6" x14ac:dyDescent="0.25">
      <x:c r="F12786" s="11"/>
    </x:row>
    <x:row r="12787" spans="6:6" x14ac:dyDescent="0.25">
      <x:c r="F12787" s="11"/>
    </x:row>
    <x:row r="12788" spans="6:6" x14ac:dyDescent="0.25">
      <x:c r="F12788" s="11"/>
    </x:row>
    <x:row r="12789" spans="6:6" x14ac:dyDescent="0.25">
      <x:c r="F12789" s="11"/>
    </x:row>
    <x:row r="12790" spans="6:6" x14ac:dyDescent="0.25">
      <x:c r="F12790" s="11"/>
    </x:row>
    <x:row r="12791" spans="6:6" x14ac:dyDescent="0.25">
      <x:c r="F12791" s="11"/>
    </x:row>
    <x:row r="12792" spans="6:6" x14ac:dyDescent="0.25">
      <x:c r="F12792" s="11"/>
    </x:row>
    <x:row r="12793" spans="6:6" x14ac:dyDescent="0.25">
      <x:c r="F12793" s="11"/>
    </x:row>
    <x:row r="12794" spans="6:6" x14ac:dyDescent="0.25">
      <x:c r="F12794" s="11"/>
    </x:row>
    <x:row r="12795" spans="6:6" x14ac:dyDescent="0.25">
      <x:c r="F12795" s="11"/>
    </x:row>
    <x:row r="12796" spans="6:6" x14ac:dyDescent="0.25">
      <x:c r="F12796" s="11"/>
    </x:row>
    <x:row r="12797" spans="6:6" x14ac:dyDescent="0.25">
      <x:c r="F12797" s="11"/>
    </x:row>
    <x:row r="12798" spans="6:6" x14ac:dyDescent="0.25">
      <x:c r="F12798" s="11"/>
    </x:row>
    <x:row r="12799" spans="6:6" x14ac:dyDescent="0.25">
      <x:c r="F12799" s="11"/>
    </x:row>
    <x:row r="12800" spans="6:6" x14ac:dyDescent="0.25">
      <x:c r="F12800" s="11"/>
    </x:row>
    <x:row r="12801" spans="6:6" x14ac:dyDescent="0.25">
      <x:c r="F12801" s="11"/>
    </x:row>
    <x:row r="12802" spans="6:6" x14ac:dyDescent="0.25">
      <x:c r="F12802" s="11"/>
    </x:row>
    <x:row r="12803" spans="6:6" x14ac:dyDescent="0.25">
      <x:c r="F12803" s="11"/>
    </x:row>
    <x:row r="12804" spans="6:6" x14ac:dyDescent="0.25">
      <x:c r="F12804" s="11"/>
    </x:row>
    <x:row r="12805" spans="6:6" x14ac:dyDescent="0.25">
      <x:c r="F12805" s="11"/>
    </x:row>
    <x:row r="12806" spans="6:6" x14ac:dyDescent="0.25">
      <x:c r="F12806" s="11"/>
    </x:row>
    <x:row r="12807" spans="6:6" x14ac:dyDescent="0.25">
      <x:c r="F12807" s="11"/>
    </x:row>
    <x:row r="12808" spans="6:6" x14ac:dyDescent="0.25">
      <x:c r="F12808" s="11"/>
    </x:row>
    <x:row r="12809" spans="6:6" x14ac:dyDescent="0.25">
      <x:c r="F12809" s="11"/>
    </x:row>
    <x:row r="12810" spans="6:6" x14ac:dyDescent="0.25">
      <x:c r="F12810" s="11"/>
    </x:row>
    <x:row r="12811" spans="6:6" x14ac:dyDescent="0.25">
      <x:c r="F12811" s="11"/>
    </x:row>
    <x:row r="12812" spans="6:6" x14ac:dyDescent="0.25">
      <x:c r="F12812" s="11"/>
    </x:row>
    <x:row r="12813" spans="6:6" x14ac:dyDescent="0.25">
      <x:c r="F12813" s="11"/>
    </x:row>
    <x:row r="12814" spans="6:6" x14ac:dyDescent="0.25">
      <x:c r="F12814" s="11"/>
    </x:row>
    <x:row r="12815" spans="6:6" x14ac:dyDescent="0.25">
      <x:c r="F12815" s="11"/>
    </x:row>
    <x:row r="12816" spans="6:6" x14ac:dyDescent="0.25">
      <x:c r="F12816" s="11"/>
    </x:row>
    <x:row r="12817" spans="6:6" x14ac:dyDescent="0.25">
      <x:c r="F12817" s="11"/>
    </x:row>
    <x:row r="12818" spans="6:6" x14ac:dyDescent="0.25">
      <x:c r="F12818" s="11"/>
    </x:row>
    <x:row r="12819" spans="6:6" x14ac:dyDescent="0.25">
      <x:c r="F12819" s="11"/>
    </x:row>
    <x:row r="12820" spans="6:6" x14ac:dyDescent="0.25">
      <x:c r="F12820" s="11"/>
    </x:row>
    <x:row r="12821" spans="6:6" x14ac:dyDescent="0.25">
      <x:c r="F12821" s="11"/>
    </x:row>
    <x:row r="12822" spans="6:6" x14ac:dyDescent="0.25">
      <x:c r="F12822" s="11"/>
    </x:row>
    <x:row r="12823" spans="6:6" x14ac:dyDescent="0.25">
      <x:c r="F12823" s="11"/>
    </x:row>
    <x:row r="12824" spans="6:6" x14ac:dyDescent="0.25">
      <x:c r="F12824" s="11"/>
    </x:row>
    <x:row r="12825" spans="6:6" x14ac:dyDescent="0.25">
      <x:c r="F12825" s="11"/>
    </x:row>
    <x:row r="12826" spans="6:6" x14ac:dyDescent="0.25">
      <x:c r="F12826" s="11"/>
    </x:row>
    <x:row r="12827" spans="6:6" x14ac:dyDescent="0.25">
      <x:c r="F12827" s="11"/>
    </x:row>
    <x:row r="12828" spans="6:6" x14ac:dyDescent="0.25">
      <x:c r="F12828" s="11"/>
    </x:row>
    <x:row r="12829" spans="6:6" x14ac:dyDescent="0.25">
      <x:c r="F12829" s="11"/>
    </x:row>
    <x:row r="12830" spans="6:6" x14ac:dyDescent="0.25">
      <x:c r="F12830" s="11"/>
    </x:row>
    <x:row r="12831" spans="6:6" x14ac:dyDescent="0.25">
      <x:c r="F12831" s="11"/>
    </x:row>
    <x:row r="12832" spans="6:6" x14ac:dyDescent="0.25">
      <x:c r="F12832" s="11"/>
    </x:row>
    <x:row r="12833" spans="6:6" x14ac:dyDescent="0.25">
      <x:c r="F12833" s="11"/>
    </x:row>
    <x:row r="12834" spans="6:6" x14ac:dyDescent="0.25">
      <x:c r="F12834" s="11"/>
    </x:row>
    <x:row r="12835" spans="6:6" x14ac:dyDescent="0.25">
      <x:c r="F12835" s="11"/>
    </x:row>
    <x:row r="12836" spans="6:6" x14ac:dyDescent="0.25">
      <x:c r="F12836" s="11"/>
    </x:row>
    <x:row r="12837" spans="6:6" x14ac:dyDescent="0.25">
      <x:c r="F12837" s="11"/>
    </x:row>
    <x:row r="12838" spans="6:6" x14ac:dyDescent="0.25">
      <x:c r="F12838" s="11"/>
    </x:row>
    <x:row r="12839" spans="6:6" x14ac:dyDescent="0.25">
      <x:c r="F12839" s="11"/>
    </x:row>
    <x:row r="12840" spans="6:6" x14ac:dyDescent="0.25">
      <x:c r="F12840" s="11"/>
    </x:row>
    <x:row r="12841" spans="6:6" x14ac:dyDescent="0.25">
      <x:c r="F12841" s="11"/>
    </x:row>
    <x:row r="12842" spans="6:6" x14ac:dyDescent="0.25">
      <x:c r="F12842" s="11"/>
    </x:row>
    <x:row r="12843" spans="6:6" x14ac:dyDescent="0.25">
      <x:c r="F12843" s="11"/>
    </x:row>
    <x:row r="12844" spans="6:6" x14ac:dyDescent="0.25">
      <x:c r="F12844" s="11"/>
    </x:row>
    <x:row r="12845" spans="6:6" x14ac:dyDescent="0.25">
      <x:c r="F12845" s="11"/>
    </x:row>
    <x:row r="12846" spans="6:6" x14ac:dyDescent="0.25">
      <x:c r="F12846" s="11"/>
    </x:row>
    <x:row r="12847" spans="6:6" x14ac:dyDescent="0.25">
      <x:c r="F12847" s="11"/>
    </x:row>
    <x:row r="12848" spans="6:6" x14ac:dyDescent="0.25">
      <x:c r="F12848" s="11"/>
    </x:row>
    <x:row r="12849" spans="6:6" x14ac:dyDescent="0.25">
      <x:c r="F12849" s="11"/>
    </x:row>
    <x:row r="12850" spans="6:6" x14ac:dyDescent="0.25">
      <x:c r="F12850" s="11"/>
    </x:row>
    <x:row r="12851" spans="6:6" x14ac:dyDescent="0.25">
      <x:c r="F12851" s="11"/>
    </x:row>
    <x:row r="12852" spans="6:6" x14ac:dyDescent="0.25">
      <x:c r="F12852" s="11"/>
    </x:row>
    <x:row r="12853" spans="6:6" x14ac:dyDescent="0.25">
      <x:c r="F12853" s="11"/>
    </x:row>
    <x:row r="12854" spans="6:6" x14ac:dyDescent="0.25">
      <x:c r="F12854" s="11"/>
    </x:row>
    <x:row r="12855" spans="6:6" x14ac:dyDescent="0.25">
      <x:c r="F12855" s="11"/>
    </x:row>
    <x:row r="12856" spans="6:6" x14ac:dyDescent="0.25">
      <x:c r="F12856" s="11"/>
    </x:row>
    <x:row r="12857" spans="6:6" x14ac:dyDescent="0.25">
      <x:c r="F12857" s="11"/>
    </x:row>
    <x:row r="12858" spans="6:6" x14ac:dyDescent="0.25">
      <x:c r="F12858" s="11"/>
    </x:row>
    <x:row r="12859" spans="6:6" x14ac:dyDescent="0.25">
      <x:c r="F12859" s="11"/>
    </x:row>
    <x:row r="12860" spans="6:6" x14ac:dyDescent="0.25">
      <x:c r="F12860" s="11"/>
    </x:row>
    <x:row r="12861" spans="6:6" x14ac:dyDescent="0.25">
      <x:c r="F12861" s="11"/>
    </x:row>
    <x:row r="12862" spans="6:6" x14ac:dyDescent="0.25">
      <x:c r="F12862" s="11"/>
    </x:row>
    <x:row r="12863" spans="6:6" x14ac:dyDescent="0.25">
      <x:c r="F12863" s="11"/>
    </x:row>
    <x:row r="12864" spans="6:6" x14ac:dyDescent="0.25">
      <x:c r="F12864" s="11"/>
    </x:row>
    <x:row r="12865" spans="6:6" x14ac:dyDescent="0.25">
      <x:c r="F12865" s="11"/>
    </x:row>
    <x:row r="12866" spans="6:6" x14ac:dyDescent="0.25">
      <x:c r="F12866" s="11"/>
    </x:row>
    <x:row r="12867" spans="6:6" x14ac:dyDescent="0.25">
      <x:c r="F12867" s="11"/>
    </x:row>
    <x:row r="12868" spans="6:6" x14ac:dyDescent="0.25">
      <x:c r="F12868" s="11"/>
    </x:row>
    <x:row r="12869" spans="6:6" x14ac:dyDescent="0.25">
      <x:c r="F12869" s="11"/>
    </x:row>
    <x:row r="12870" spans="6:6" x14ac:dyDescent="0.25">
      <x:c r="F12870" s="11"/>
    </x:row>
    <x:row r="12871" spans="6:6" x14ac:dyDescent="0.25">
      <x:c r="F12871" s="11"/>
    </x:row>
    <x:row r="12872" spans="6:6" x14ac:dyDescent="0.25">
      <x:c r="F12872" s="11"/>
    </x:row>
    <x:row r="12873" spans="6:6" x14ac:dyDescent="0.25">
      <x:c r="F12873" s="11"/>
    </x:row>
    <x:row r="12874" spans="6:6" x14ac:dyDescent="0.25">
      <x:c r="F12874" s="11"/>
    </x:row>
    <x:row r="12875" spans="6:6" x14ac:dyDescent="0.25">
      <x:c r="F12875" s="11"/>
    </x:row>
    <x:row r="12876" spans="6:6" x14ac:dyDescent="0.25">
      <x:c r="F12876" s="11"/>
    </x:row>
    <x:row r="12877" spans="6:6" x14ac:dyDescent="0.25">
      <x:c r="F12877" s="11"/>
    </x:row>
    <x:row r="12878" spans="6:6" x14ac:dyDescent="0.25">
      <x:c r="F12878" s="11"/>
    </x:row>
    <x:row r="12879" spans="6:6" x14ac:dyDescent="0.25">
      <x:c r="F12879" s="11"/>
    </x:row>
    <x:row r="12880" spans="6:6" x14ac:dyDescent="0.25">
      <x:c r="F12880" s="11"/>
    </x:row>
    <x:row r="12881" spans="6:6" x14ac:dyDescent="0.25">
      <x:c r="F12881" s="11"/>
    </x:row>
    <x:row r="12882" spans="6:6" x14ac:dyDescent="0.25">
      <x:c r="F12882" s="11"/>
    </x:row>
    <x:row r="12883" spans="6:6" x14ac:dyDescent="0.25">
      <x:c r="F12883" s="11"/>
    </x:row>
    <x:row r="12884" spans="6:6" x14ac:dyDescent="0.25">
      <x:c r="F12884" s="11"/>
    </x:row>
    <x:row r="12885" spans="6:6" x14ac:dyDescent="0.25">
      <x:c r="F12885" s="11"/>
    </x:row>
    <x:row r="12886" spans="6:6" x14ac:dyDescent="0.25">
      <x:c r="F12886" s="11"/>
    </x:row>
    <x:row r="12887" spans="6:6" x14ac:dyDescent="0.25">
      <x:c r="F12887" s="11"/>
    </x:row>
    <x:row r="12888" spans="6:6" x14ac:dyDescent="0.25">
      <x:c r="F12888" s="11"/>
    </x:row>
    <x:row r="12889" spans="6:6" x14ac:dyDescent="0.25">
      <x:c r="F12889" s="11"/>
    </x:row>
    <x:row r="12890" spans="6:6" x14ac:dyDescent="0.25">
      <x:c r="F12890" s="11"/>
    </x:row>
    <x:row r="12891" spans="6:6" x14ac:dyDescent="0.25">
      <x:c r="F12891" s="11"/>
    </x:row>
    <x:row r="12892" spans="6:6" x14ac:dyDescent="0.25">
      <x:c r="F12892" s="11"/>
    </x:row>
    <x:row r="12893" spans="6:6" x14ac:dyDescent="0.25">
      <x:c r="F12893" s="11"/>
    </x:row>
    <x:row r="12894" spans="6:6" x14ac:dyDescent="0.25">
      <x:c r="F12894" s="11"/>
    </x:row>
    <x:row r="12895" spans="6:6" x14ac:dyDescent="0.25">
      <x:c r="F12895" s="11"/>
    </x:row>
    <x:row r="12896" spans="6:6" x14ac:dyDescent="0.25">
      <x:c r="F12896" s="11"/>
    </x:row>
    <x:row r="12897" spans="6:6" x14ac:dyDescent="0.25">
      <x:c r="F12897" s="11"/>
    </x:row>
    <x:row r="12898" spans="6:6" x14ac:dyDescent="0.25">
      <x:c r="F12898" s="11"/>
    </x:row>
    <x:row r="12899" spans="6:6" x14ac:dyDescent="0.25">
      <x:c r="F12899" s="11"/>
    </x:row>
    <x:row r="12900" spans="6:6" x14ac:dyDescent="0.25">
      <x:c r="F12900" s="11"/>
    </x:row>
    <x:row r="12901" spans="6:6" x14ac:dyDescent="0.25">
      <x:c r="F12901" s="11"/>
    </x:row>
    <x:row r="12902" spans="6:6" x14ac:dyDescent="0.25">
      <x:c r="F12902" s="11"/>
    </x:row>
    <x:row r="12903" spans="6:6" x14ac:dyDescent="0.25">
      <x:c r="F12903" s="11"/>
    </x:row>
    <x:row r="12904" spans="6:6" x14ac:dyDescent="0.25">
      <x:c r="F12904" s="11"/>
    </x:row>
    <x:row r="12905" spans="6:6" x14ac:dyDescent="0.25">
      <x:c r="F12905" s="11"/>
    </x:row>
    <x:row r="12906" spans="6:6" x14ac:dyDescent="0.25">
      <x:c r="F12906" s="11"/>
    </x:row>
    <x:row r="12907" spans="6:6" x14ac:dyDescent="0.25">
      <x:c r="F12907" s="11"/>
    </x:row>
    <x:row r="12908" spans="6:6" x14ac:dyDescent="0.25">
      <x:c r="F12908" s="11"/>
    </x:row>
    <x:row r="12909" spans="6:6" x14ac:dyDescent="0.25">
      <x:c r="F12909" s="11"/>
    </x:row>
    <x:row r="12910" spans="6:6" x14ac:dyDescent="0.25">
      <x:c r="F12910" s="11"/>
    </x:row>
    <x:row r="12911" spans="6:6" x14ac:dyDescent="0.25">
      <x:c r="F12911" s="11"/>
    </x:row>
    <x:row r="12912" spans="6:6" x14ac:dyDescent="0.25">
      <x:c r="F12912" s="11"/>
    </x:row>
    <x:row r="12913" spans="6:6" x14ac:dyDescent="0.25">
      <x:c r="F12913" s="11"/>
    </x:row>
    <x:row r="12914" spans="6:6" x14ac:dyDescent="0.25">
      <x:c r="F12914" s="11"/>
    </x:row>
    <x:row r="12915" spans="6:6" x14ac:dyDescent="0.25">
      <x:c r="F12915" s="11"/>
    </x:row>
    <x:row r="12916" spans="6:6" x14ac:dyDescent="0.25">
      <x:c r="F12916" s="11"/>
    </x:row>
    <x:row r="12917" spans="6:6" x14ac:dyDescent="0.25">
      <x:c r="F12917" s="11"/>
    </x:row>
    <x:row r="12918" spans="6:6" x14ac:dyDescent="0.25">
      <x:c r="F12918" s="11"/>
    </x:row>
    <x:row r="12919" spans="6:6" x14ac:dyDescent="0.25">
      <x:c r="F12919" s="11"/>
    </x:row>
    <x:row r="12920" spans="6:6" x14ac:dyDescent="0.25">
      <x:c r="F12920" s="11"/>
    </x:row>
    <x:row r="12921" spans="6:6" x14ac:dyDescent="0.25">
      <x:c r="F12921" s="11"/>
    </x:row>
    <x:row r="12922" spans="6:6" x14ac:dyDescent="0.25">
      <x:c r="F12922" s="11"/>
    </x:row>
    <x:row r="12923" spans="6:6" x14ac:dyDescent="0.25">
      <x:c r="F12923" s="11"/>
    </x:row>
    <x:row r="12924" spans="6:6" x14ac:dyDescent="0.25">
      <x:c r="F12924" s="11"/>
    </x:row>
    <x:row r="12925" spans="6:6" x14ac:dyDescent="0.25">
      <x:c r="F12925" s="11"/>
    </x:row>
    <x:row r="12926" spans="6:6" x14ac:dyDescent="0.25">
      <x:c r="F12926" s="11"/>
    </x:row>
    <x:row r="12927" spans="6:6" x14ac:dyDescent="0.25">
      <x:c r="F12927" s="11"/>
    </x:row>
    <x:row r="12928" spans="6:6" x14ac:dyDescent="0.25">
      <x:c r="F12928" s="11"/>
    </x:row>
    <x:row r="12929" spans="6:6" x14ac:dyDescent="0.25">
      <x:c r="F12929" s="11"/>
    </x:row>
    <x:row r="12930" spans="6:6" x14ac:dyDescent="0.25">
      <x:c r="F12930" s="11"/>
    </x:row>
    <x:row r="12931" spans="6:6" x14ac:dyDescent="0.25">
      <x:c r="F12931" s="11"/>
    </x:row>
    <x:row r="12932" spans="6:6" x14ac:dyDescent="0.25">
      <x:c r="F12932" s="11"/>
    </x:row>
    <x:row r="12933" spans="6:6" x14ac:dyDescent="0.25">
      <x:c r="F12933" s="11"/>
    </x:row>
    <x:row r="12934" spans="6:6" x14ac:dyDescent="0.25">
      <x:c r="F12934" s="11"/>
    </x:row>
    <x:row r="12935" spans="6:6" x14ac:dyDescent="0.25">
      <x:c r="F12935" s="11"/>
    </x:row>
    <x:row r="12936" spans="6:6" x14ac:dyDescent="0.25">
      <x:c r="F12936" s="11"/>
    </x:row>
    <x:row r="12937" spans="6:6" x14ac:dyDescent="0.25">
      <x:c r="F12937" s="11"/>
    </x:row>
    <x:row r="12938" spans="6:6" x14ac:dyDescent="0.25">
      <x:c r="F12938" s="11"/>
    </x:row>
    <x:row r="12939" spans="6:6" x14ac:dyDescent="0.25">
      <x:c r="F12939" s="11"/>
    </x:row>
    <x:row r="12940" spans="6:6" x14ac:dyDescent="0.25">
      <x:c r="F12940" s="11"/>
    </x:row>
    <x:row r="12941" spans="6:6" x14ac:dyDescent="0.25">
      <x:c r="F12941" s="11"/>
    </x:row>
    <x:row r="12942" spans="6:6" x14ac:dyDescent="0.25">
      <x:c r="F12942" s="11"/>
    </x:row>
    <x:row r="12943" spans="6:6" x14ac:dyDescent="0.25">
      <x:c r="F12943" s="11"/>
    </x:row>
    <x:row r="12944" spans="6:6" x14ac:dyDescent="0.25">
      <x:c r="F12944" s="11"/>
    </x:row>
    <x:row r="12945" spans="6:6" x14ac:dyDescent="0.25">
      <x:c r="F12945" s="11"/>
    </x:row>
    <x:row r="12946" spans="6:6" x14ac:dyDescent="0.25">
      <x:c r="F12946" s="11"/>
    </x:row>
    <x:row r="12947" spans="6:6" x14ac:dyDescent="0.25">
      <x:c r="F12947" s="11"/>
    </x:row>
    <x:row r="12948" spans="6:6" x14ac:dyDescent="0.25">
      <x:c r="F12948" s="11"/>
    </x:row>
    <x:row r="12949" spans="6:6" x14ac:dyDescent="0.25">
      <x:c r="F12949" s="11"/>
    </x:row>
    <x:row r="12950" spans="6:6" x14ac:dyDescent="0.25">
      <x:c r="F12950" s="11"/>
    </x:row>
    <x:row r="12951" spans="6:6" x14ac:dyDescent="0.25">
      <x:c r="F12951" s="11"/>
    </x:row>
    <x:row r="12952" spans="6:6" x14ac:dyDescent="0.25">
      <x:c r="F12952" s="11"/>
    </x:row>
    <x:row r="12953" spans="6:6" x14ac:dyDescent="0.25">
      <x:c r="F12953" s="11"/>
    </x:row>
    <x:row r="12954" spans="6:6" x14ac:dyDescent="0.25">
      <x:c r="F12954" s="11"/>
    </x:row>
    <x:row r="12955" spans="6:6" x14ac:dyDescent="0.25">
      <x:c r="F12955" s="11"/>
    </x:row>
    <x:row r="12956" spans="6:6" x14ac:dyDescent="0.25">
      <x:c r="F12956" s="11"/>
    </x:row>
    <x:row r="12957" spans="6:6" x14ac:dyDescent="0.25">
      <x:c r="F12957" s="11"/>
    </x:row>
    <x:row r="12958" spans="6:6" x14ac:dyDescent="0.25">
      <x:c r="F12958" s="11"/>
    </x:row>
    <x:row r="12959" spans="6:6" x14ac:dyDescent="0.25">
      <x:c r="F12959" s="11"/>
    </x:row>
    <x:row r="12960" spans="6:6" x14ac:dyDescent="0.25">
      <x:c r="F12960" s="11"/>
    </x:row>
    <x:row r="12961" spans="6:6" x14ac:dyDescent="0.25">
      <x:c r="F12961" s="11"/>
    </x:row>
    <x:row r="12962" spans="6:6" x14ac:dyDescent="0.25">
      <x:c r="F12962" s="11"/>
    </x:row>
    <x:row r="12963" spans="6:6" x14ac:dyDescent="0.25">
      <x:c r="F12963" s="11"/>
    </x:row>
    <x:row r="12964" spans="6:6" x14ac:dyDescent="0.25">
      <x:c r="F12964" s="11"/>
    </x:row>
    <x:row r="12965" spans="6:6" x14ac:dyDescent="0.25">
      <x:c r="F12965" s="11"/>
    </x:row>
    <x:row r="12966" spans="6:6" x14ac:dyDescent="0.25">
      <x:c r="F12966" s="11"/>
    </x:row>
    <x:row r="12967" spans="6:6" x14ac:dyDescent="0.25">
      <x:c r="F12967" s="11"/>
    </x:row>
    <x:row r="12968" spans="6:6" x14ac:dyDescent="0.25">
      <x:c r="F12968" s="11"/>
    </x:row>
    <x:row r="12969" spans="6:6" x14ac:dyDescent="0.25">
      <x:c r="F12969" s="11"/>
    </x:row>
    <x:row r="12970" spans="6:6" x14ac:dyDescent="0.25">
      <x:c r="F12970" s="11"/>
    </x:row>
    <x:row r="12971" spans="6:6" x14ac:dyDescent="0.25">
      <x:c r="F12971" s="11"/>
    </x:row>
    <x:row r="12972" spans="6:6" x14ac:dyDescent="0.25">
      <x:c r="F12972" s="11"/>
    </x:row>
    <x:row r="12973" spans="6:6" x14ac:dyDescent="0.25">
      <x:c r="F12973" s="11"/>
    </x:row>
    <x:row r="12974" spans="6:6" x14ac:dyDescent="0.25">
      <x:c r="F12974" s="11"/>
    </x:row>
    <x:row r="12975" spans="6:6" x14ac:dyDescent="0.25">
      <x:c r="F12975" s="11"/>
    </x:row>
    <x:row r="12976" spans="6:6" x14ac:dyDescent="0.25">
      <x:c r="F12976" s="11"/>
    </x:row>
    <x:row r="12977" spans="6:6" x14ac:dyDescent="0.25">
      <x:c r="F12977" s="11"/>
    </x:row>
    <x:row r="12978" spans="6:6" x14ac:dyDescent="0.25">
      <x:c r="F12978" s="11"/>
    </x:row>
    <x:row r="12979" spans="6:6" x14ac:dyDescent="0.25">
      <x:c r="F12979" s="11"/>
    </x:row>
    <x:row r="12980" spans="6:6" x14ac:dyDescent="0.25">
      <x:c r="F12980" s="11"/>
    </x:row>
    <x:row r="12981" spans="6:6" x14ac:dyDescent="0.25">
      <x:c r="F12981" s="11"/>
    </x:row>
    <x:row r="12982" spans="6:6" x14ac:dyDescent="0.25">
      <x:c r="F12982" s="11"/>
    </x:row>
    <x:row r="12983" spans="6:6" x14ac:dyDescent="0.25">
      <x:c r="F12983" s="11"/>
    </x:row>
    <x:row r="12984" spans="6:6" x14ac:dyDescent="0.25">
      <x:c r="F12984" s="11"/>
    </x:row>
    <x:row r="12985" spans="6:6" x14ac:dyDescent="0.25">
      <x:c r="F12985" s="11"/>
    </x:row>
    <x:row r="12986" spans="6:6" x14ac:dyDescent="0.25">
      <x:c r="F12986" s="11"/>
    </x:row>
    <x:row r="12987" spans="6:6" x14ac:dyDescent="0.25">
      <x:c r="F12987" s="11"/>
    </x:row>
    <x:row r="12988" spans="6:6" x14ac:dyDescent="0.25">
      <x:c r="F12988" s="11"/>
    </x:row>
    <x:row r="12989" spans="6:6" x14ac:dyDescent="0.25">
      <x:c r="F12989" s="11"/>
    </x:row>
    <x:row r="12990" spans="6:6" x14ac:dyDescent="0.25">
      <x:c r="F12990" s="11"/>
    </x:row>
    <x:row r="12991" spans="6:6" x14ac:dyDescent="0.25">
      <x:c r="F12991" s="11"/>
    </x:row>
    <x:row r="12992" spans="6:6" x14ac:dyDescent="0.25">
      <x:c r="F12992" s="11"/>
    </x:row>
    <x:row r="12993" spans="6:6" x14ac:dyDescent="0.25">
      <x:c r="F12993" s="11"/>
    </x:row>
    <x:row r="12994" spans="6:6" x14ac:dyDescent="0.25">
      <x:c r="F12994" s="11"/>
    </x:row>
    <x:row r="12995" spans="6:6" x14ac:dyDescent="0.25">
      <x:c r="F12995" s="11"/>
    </x:row>
    <x:row r="12996" spans="6:6" x14ac:dyDescent="0.25">
      <x:c r="F12996" s="11"/>
    </x:row>
    <x:row r="12997" spans="6:6" x14ac:dyDescent="0.25">
      <x:c r="F12997" s="11"/>
    </x:row>
    <x:row r="12998" spans="6:6" x14ac:dyDescent="0.25">
      <x:c r="F12998" s="11"/>
    </x:row>
    <x:row r="12999" spans="6:6" x14ac:dyDescent="0.25">
      <x:c r="F12999" s="11"/>
    </x:row>
    <x:row r="13000" spans="6:6" x14ac:dyDescent="0.25">
      <x:c r="F13000" s="11"/>
    </x:row>
    <x:row r="13001" spans="6:6" x14ac:dyDescent="0.25">
      <x:c r="F13001" s="11"/>
    </x:row>
    <x:row r="13002" spans="6:6" x14ac:dyDescent="0.25">
      <x:c r="F13002" s="11"/>
    </x:row>
    <x:row r="13003" spans="6:6" x14ac:dyDescent="0.25">
      <x:c r="F13003" s="11"/>
    </x:row>
    <x:row r="13004" spans="6:6" x14ac:dyDescent="0.25">
      <x:c r="F13004" s="11"/>
    </x:row>
    <x:row r="13005" spans="6:6" x14ac:dyDescent="0.25">
      <x:c r="F13005" s="11"/>
    </x:row>
    <x:row r="13006" spans="6:6" x14ac:dyDescent="0.25">
      <x:c r="F13006" s="11"/>
    </x:row>
    <x:row r="13007" spans="6:6" x14ac:dyDescent="0.25">
      <x:c r="F13007" s="11"/>
    </x:row>
    <x:row r="13008" spans="6:6" x14ac:dyDescent="0.25">
      <x:c r="F13008" s="11"/>
    </x:row>
    <x:row r="13009" spans="6:6" x14ac:dyDescent="0.25">
      <x:c r="F13009" s="11"/>
    </x:row>
    <x:row r="13010" spans="6:6" x14ac:dyDescent="0.25">
      <x:c r="F13010" s="11"/>
    </x:row>
    <x:row r="13011" spans="6:6" x14ac:dyDescent="0.25">
      <x:c r="F13011" s="11"/>
    </x:row>
    <x:row r="13012" spans="6:6" x14ac:dyDescent="0.25">
      <x:c r="F13012" s="11"/>
    </x:row>
    <x:row r="13013" spans="6:6" x14ac:dyDescent="0.25">
      <x:c r="F13013" s="11"/>
    </x:row>
    <x:row r="13014" spans="6:6" x14ac:dyDescent="0.25">
      <x:c r="F13014" s="11"/>
    </x:row>
    <x:row r="13015" spans="6:6" x14ac:dyDescent="0.25">
      <x:c r="F13015" s="11"/>
    </x:row>
    <x:row r="13016" spans="6:6" x14ac:dyDescent="0.25">
      <x:c r="F13016" s="11"/>
    </x:row>
    <x:row r="13017" spans="6:6" x14ac:dyDescent="0.25">
      <x:c r="F13017" s="11"/>
    </x:row>
    <x:row r="13018" spans="6:6" x14ac:dyDescent="0.25">
      <x:c r="F13018" s="11"/>
    </x:row>
    <x:row r="13019" spans="6:6" x14ac:dyDescent="0.25">
      <x:c r="F13019" s="11"/>
    </x:row>
    <x:row r="13020" spans="6:6" x14ac:dyDescent="0.25">
      <x:c r="F13020" s="11"/>
    </x:row>
    <x:row r="13021" spans="6:6" x14ac:dyDescent="0.25">
      <x:c r="F13021" s="11"/>
    </x:row>
    <x:row r="13022" spans="6:6" x14ac:dyDescent="0.25">
      <x:c r="F13022" s="11"/>
    </x:row>
    <x:row r="13023" spans="6:6" x14ac:dyDescent="0.25">
      <x:c r="F13023" s="11"/>
    </x:row>
    <x:row r="13024" spans="6:6" x14ac:dyDescent="0.25">
      <x:c r="F13024" s="11"/>
    </x:row>
    <x:row r="13025" spans="6:6" x14ac:dyDescent="0.25">
      <x:c r="F13025" s="11"/>
    </x:row>
    <x:row r="13026" spans="6:6" x14ac:dyDescent="0.25">
      <x:c r="F13026" s="11"/>
    </x:row>
    <x:row r="13027" spans="6:6" x14ac:dyDescent="0.25">
      <x:c r="F13027" s="11"/>
    </x:row>
    <x:row r="13028" spans="6:6" x14ac:dyDescent="0.25">
      <x:c r="F13028" s="11"/>
    </x:row>
    <x:row r="13029" spans="6:6" x14ac:dyDescent="0.25">
      <x:c r="F13029" s="11"/>
    </x:row>
    <x:row r="13030" spans="6:6" x14ac:dyDescent="0.25">
      <x:c r="F13030" s="11"/>
    </x:row>
    <x:row r="13031" spans="6:6" x14ac:dyDescent="0.25">
      <x:c r="F13031" s="11"/>
    </x:row>
    <x:row r="13032" spans="6:6" x14ac:dyDescent="0.25">
      <x:c r="F13032" s="11"/>
    </x:row>
    <x:row r="13033" spans="6:6" x14ac:dyDescent="0.25">
      <x:c r="F13033" s="11"/>
    </x:row>
    <x:row r="13034" spans="6:6" x14ac:dyDescent="0.25">
      <x:c r="F13034" s="11"/>
    </x:row>
    <x:row r="13035" spans="6:6" x14ac:dyDescent="0.25">
      <x:c r="F13035" s="11"/>
    </x:row>
    <x:row r="13036" spans="6:6" x14ac:dyDescent="0.25">
      <x:c r="F13036" s="11"/>
    </x:row>
    <x:row r="13037" spans="6:6" x14ac:dyDescent="0.25">
      <x:c r="F13037" s="11"/>
    </x:row>
    <x:row r="13038" spans="6:6" x14ac:dyDescent="0.25">
      <x:c r="F13038" s="11"/>
    </x:row>
    <x:row r="13039" spans="6:6" x14ac:dyDescent="0.25">
      <x:c r="F13039" s="11"/>
    </x:row>
    <x:row r="13040" spans="6:6" x14ac:dyDescent="0.25">
      <x:c r="F13040" s="11"/>
    </x:row>
    <x:row r="13041" spans="6:6" x14ac:dyDescent="0.25">
      <x:c r="F13041" s="11"/>
    </x:row>
    <x:row r="13042" spans="6:6" x14ac:dyDescent="0.25">
      <x:c r="F13042" s="11"/>
    </x:row>
    <x:row r="13043" spans="6:6" x14ac:dyDescent="0.25">
      <x:c r="F13043" s="11"/>
    </x:row>
    <x:row r="13044" spans="6:6" x14ac:dyDescent="0.25">
      <x:c r="F13044" s="11"/>
    </x:row>
    <x:row r="13045" spans="6:6" x14ac:dyDescent="0.25">
      <x:c r="F13045" s="11"/>
    </x:row>
    <x:row r="13046" spans="6:6" x14ac:dyDescent="0.25">
      <x:c r="F13046" s="11"/>
    </x:row>
    <x:row r="13047" spans="6:6" x14ac:dyDescent="0.25">
      <x:c r="F13047" s="11"/>
    </x:row>
    <x:row r="13048" spans="6:6" x14ac:dyDescent="0.25">
      <x:c r="F13048" s="11"/>
    </x:row>
    <x:row r="13049" spans="6:6" x14ac:dyDescent="0.25">
      <x:c r="F13049" s="11"/>
    </x:row>
    <x:row r="13050" spans="6:6" x14ac:dyDescent="0.25">
      <x:c r="F13050" s="11"/>
    </x:row>
    <x:row r="13051" spans="6:6" x14ac:dyDescent="0.25">
      <x:c r="F13051" s="11"/>
    </x:row>
    <x:row r="13052" spans="6:6" x14ac:dyDescent="0.25">
      <x:c r="F13052" s="11"/>
    </x:row>
    <x:row r="13053" spans="6:6" x14ac:dyDescent="0.25">
      <x:c r="F13053" s="11"/>
    </x:row>
    <x:row r="13054" spans="6:6" x14ac:dyDescent="0.25">
      <x:c r="F13054" s="11"/>
    </x:row>
    <x:row r="13055" spans="6:6" x14ac:dyDescent="0.25">
      <x:c r="F13055" s="11"/>
    </x:row>
    <x:row r="13056" spans="6:6" x14ac:dyDescent="0.25">
      <x:c r="F13056" s="11"/>
    </x:row>
    <x:row r="13057" spans="6:6" x14ac:dyDescent="0.25">
      <x:c r="F13057" s="11"/>
    </x:row>
    <x:row r="13058" spans="6:6" x14ac:dyDescent="0.25">
      <x:c r="F13058" s="11"/>
    </x:row>
    <x:row r="13059" spans="6:6" x14ac:dyDescent="0.25">
      <x:c r="F13059" s="11"/>
    </x:row>
    <x:row r="13060" spans="6:6" x14ac:dyDescent="0.25">
      <x:c r="F13060" s="11"/>
    </x:row>
    <x:row r="13061" spans="6:6" x14ac:dyDescent="0.25">
      <x:c r="F13061" s="11"/>
    </x:row>
    <x:row r="13062" spans="6:6" x14ac:dyDescent="0.25">
      <x:c r="F13062" s="11"/>
    </x:row>
    <x:row r="13063" spans="6:6" x14ac:dyDescent="0.25">
      <x:c r="F13063" s="11"/>
    </x:row>
    <x:row r="13064" spans="6:6" x14ac:dyDescent="0.25">
      <x:c r="F13064" s="11"/>
    </x:row>
    <x:row r="13065" spans="6:6" x14ac:dyDescent="0.25">
      <x:c r="F13065" s="11"/>
    </x:row>
    <x:row r="13066" spans="6:6" x14ac:dyDescent="0.25">
      <x:c r="F13066" s="11"/>
    </x:row>
    <x:row r="13067" spans="6:6" x14ac:dyDescent="0.25">
      <x:c r="F13067" s="11"/>
    </x:row>
  </x:sheetData>
  <x:autoFilter ref="A5:F151"/>
  <x:mergeCells count="1">
    <x:mergeCell ref="A4:F4"/>
  </x:mergeCells>
  <x:pageMargins left="0.7" right="0.7" top="0.75" bottom="0.75" header="0.3" footer="0.3"/>
  <x:pageSetup paperSize="119" orientation="portrait" horizontalDpi="300" verticalDpi="300" r:id="rId1"/>
</x: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25"/>
  <sheetViews>
    <sheetView workbookViewId="0"/>
  </sheetViews>
  <sheetFormatPr defaultRowHeight="15" x14ac:dyDescent="0.25"/>
  <cols>
    <col min="1" max="16384" width="9" style="13"/>
  </cols>
  <sheetData>
    <row r="1" spans="1:1" x14ac:dyDescent="0.25">
      <c r="A1" s="13" t="s">
        <v>29</v>
      </c>
    </row>
    <row r="2" spans="1:1" x14ac:dyDescent="0.25">
      <c r="A2" s="13" t="s">
        <v>28</v>
      </c>
    </row>
    <row r="3" spans="1:1" x14ac:dyDescent="0.25">
      <c r="A3" s="13" t="s">
        <v>27</v>
      </c>
    </row>
    <row r="4" spans="1:1" x14ac:dyDescent="0.25">
      <c r="A4" s="13" t="s">
        <v>26</v>
      </c>
    </row>
    <row r="7" spans="1:1" x14ac:dyDescent="0.25">
      <c r="A7" s="13" t="s">
        <v>25</v>
      </c>
    </row>
    <row r="8" spans="1:1" x14ac:dyDescent="0.25">
      <c r="A8" s="13" t="s">
        <v>24</v>
      </c>
    </row>
    <row r="9" spans="1:1" x14ac:dyDescent="0.25">
      <c r="A9" s="13" t="s">
        <v>23</v>
      </c>
    </row>
    <row r="10" spans="1:1" x14ac:dyDescent="0.25">
      <c r="A10" s="13" t="s">
        <v>22</v>
      </c>
    </row>
    <row r="11" spans="1:1" x14ac:dyDescent="0.25">
      <c r="A11" s="13" t="s">
        <v>21</v>
      </c>
    </row>
    <row r="12" spans="1:1" x14ac:dyDescent="0.25">
      <c r="A12" s="13" t="s">
        <v>20</v>
      </c>
    </row>
    <row r="15" spans="1:1" x14ac:dyDescent="0.25">
      <c r="A15" s="19" t="s">
        <v>19</v>
      </c>
    </row>
    <row r="16" spans="1:1" x14ac:dyDescent="0.25">
      <c r="A16" s="19" t="s">
        <v>31</v>
      </c>
    </row>
    <row r="17" spans="1:1" x14ac:dyDescent="0.25">
      <c r="A17" s="19" t="s">
        <v>33</v>
      </c>
    </row>
    <row r="18" spans="1:1" x14ac:dyDescent="0.25">
      <c r="A18" s="19" t="s">
        <v>34</v>
      </c>
    </row>
    <row r="19" spans="1:1" x14ac:dyDescent="0.25">
      <c r="A19" s="19" t="s">
        <v>35</v>
      </c>
    </row>
    <row r="20" spans="1:1" x14ac:dyDescent="0.25">
      <c r="A20" s="13" t="s">
        <v>36</v>
      </c>
    </row>
    <row r="21" spans="1:1" x14ac:dyDescent="0.25">
      <c r="A21" s="13" t="s">
        <v>37</v>
      </c>
    </row>
    <row r="22" spans="1:1" x14ac:dyDescent="0.25">
      <c r="A22" s="19" t="s">
        <v>39</v>
      </c>
    </row>
    <row r="23" spans="1:1" x14ac:dyDescent="0.25">
      <c r="A23" s="19" t="s">
        <v>38</v>
      </c>
    </row>
    <row r="24" spans="1:1" x14ac:dyDescent="0.25">
      <c r="A24" s="19" t="s">
        <v>32</v>
      </c>
    </row>
    <row r="25" spans="1:1" x14ac:dyDescent="0.25">
      <c r="A25" s="35" t="s">
        <v>46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Legal Obligation Register</vt:lpstr>
      <vt:lpstr>Tools</vt:lpstr>
      <vt:lpstr>Standing Data</vt:lpstr>
      <vt:lpstr>TopLeft</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Peter</dc:creator>
  <cp:lastModifiedBy>Reed Elsevier</cp:lastModifiedBy>
  <dcterms:created xsi:type="dcterms:W3CDTF">2016-04-14T04:08:11Z</dcterms:created>
  <dcterms:modified xsi:type="dcterms:W3CDTF">2016-08-02T05:42:57Z</dcterms:modified>
</cp:coreProperties>
</file>